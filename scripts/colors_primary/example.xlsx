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Romanova\AppData\Local\Microsoft\Windows\INetCache\Content.Outlook\EP5PDEKV\"/>
    </mc:Choice>
  </mc:AlternateContent>
  <xr:revisionPtr revIDLastSave="0" documentId="13_ncr:1_{C3A6E782-45BE-4386-BACC-BFEC368CCEF1}" xr6:coauthVersionLast="36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ЦТО" sheetId="1" r:id="rId1"/>
    <sheet name="1_обработка CО,ВК,ЭК" sheetId="3" r:id="rId2"/>
    <sheet name="2-3_обработка" sheetId="4" r:id="rId3"/>
    <sheet name="ИТОГ" sheetId="5" r:id="rId4"/>
    <sheet name="Результат" sheetId="7" state="hidden" r:id="rId5"/>
    <sheet name="вспомогательные данные" sheetId="2" r:id="rId6"/>
    <sheet name="Диаграммы" sheetId="8" state="hidden" r:id="rId7"/>
  </sheets>
  <externalReferences>
    <externalReference r:id="rId8"/>
  </externalReferences>
  <definedNames>
    <definedName name="_xlnm._FilterDatabase" localSheetId="3" hidden="1">ИТОГ!$A$1:$G$129</definedName>
    <definedName name="_xlnm._FilterDatabase" localSheetId="0" hidden="1">ЦТО!$B$1:$B$27</definedName>
    <definedName name="_xlnm.Print_Area" localSheetId="4">Результат!$A$1:$I$38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4" l="1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W105" i="5" s="1"/>
  <c r="T106" i="4"/>
  <c r="T107" i="4"/>
  <c r="T108" i="4"/>
  <c r="T109" i="4"/>
  <c r="T110" i="4"/>
  <c r="T111" i="4"/>
  <c r="T112" i="4"/>
  <c r="T113" i="4"/>
  <c r="W113" i="5" s="1"/>
  <c r="T114" i="4"/>
  <c r="T115" i="4"/>
  <c r="T116" i="4"/>
  <c r="T117" i="4"/>
  <c r="T118" i="4"/>
  <c r="T119" i="4"/>
  <c r="T120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Q120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O120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R111" i="5" s="1"/>
  <c r="O112" i="4"/>
  <c r="O113" i="4"/>
  <c r="O114" i="4"/>
  <c r="O115" i="4"/>
  <c r="O116" i="4"/>
  <c r="O117" i="4"/>
  <c r="O118" i="4"/>
  <c r="O119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G102" i="5"/>
  <c r="G103" i="5"/>
  <c r="G110" i="5"/>
  <c r="G111" i="5"/>
  <c r="G118" i="5"/>
  <c r="F105" i="5"/>
  <c r="F106" i="5"/>
  <c r="F113" i="5"/>
  <c r="F114" i="5"/>
  <c r="C123" i="3"/>
  <c r="AM10" i="1"/>
  <c r="AM11" i="1"/>
  <c r="X111" i="5"/>
  <c r="X114" i="5"/>
  <c r="W106" i="5"/>
  <c r="W116" i="5"/>
  <c r="W117" i="5"/>
  <c r="V109" i="5"/>
  <c r="V110" i="5"/>
  <c r="U102" i="5"/>
  <c r="U103" i="5"/>
  <c r="U110" i="5"/>
  <c r="U111" i="5"/>
  <c r="U118" i="5"/>
  <c r="T109" i="5"/>
  <c r="T110" i="5"/>
  <c r="T120" i="5"/>
  <c r="S102" i="5"/>
  <c r="S114" i="5"/>
  <c r="R114" i="5"/>
  <c r="Q117" i="5"/>
  <c r="O117" i="5"/>
  <c r="N103" i="5"/>
  <c r="M117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B118" i="5"/>
  <c r="W118" i="5" s="1"/>
  <c r="B119" i="5"/>
  <c r="G119" i="5" s="1"/>
  <c r="B120" i="5"/>
  <c r="M120" i="5" s="1"/>
  <c r="B121" i="5"/>
  <c r="B122" i="5"/>
  <c r="B123" i="5"/>
  <c r="B124" i="5"/>
  <c r="B125" i="5"/>
  <c r="B126" i="5"/>
  <c r="B127" i="5"/>
  <c r="B128" i="5"/>
  <c r="B129" i="5"/>
  <c r="B102" i="5"/>
  <c r="R102" i="5" s="1"/>
  <c r="B103" i="5"/>
  <c r="S103" i="5" s="1"/>
  <c r="B104" i="5"/>
  <c r="M104" i="5" s="1"/>
  <c r="B105" i="5"/>
  <c r="P105" i="5" s="1"/>
  <c r="B106" i="5"/>
  <c r="S106" i="5" s="1"/>
  <c r="B107" i="5"/>
  <c r="N107" i="5" s="1"/>
  <c r="B108" i="5"/>
  <c r="Q108" i="5" s="1"/>
  <c r="B109" i="5"/>
  <c r="P109" i="5" s="1"/>
  <c r="B110" i="5"/>
  <c r="W110" i="5" s="1"/>
  <c r="B111" i="5"/>
  <c r="V111" i="5" s="1"/>
  <c r="B112" i="5"/>
  <c r="M112" i="5" s="1"/>
  <c r="B113" i="5"/>
  <c r="P113" i="5" s="1"/>
  <c r="B114" i="5"/>
  <c r="V114" i="5" s="1"/>
  <c r="B115" i="5"/>
  <c r="N115" i="5" s="1"/>
  <c r="B116" i="5"/>
  <c r="Q116" i="5" s="1"/>
  <c r="B117" i="5"/>
  <c r="R117" i="5" s="1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5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I46" i="3"/>
  <c r="I47" i="3"/>
  <c r="I48" i="3"/>
  <c r="I49" i="3"/>
  <c r="I51" i="3"/>
  <c r="I52" i="3"/>
  <c r="I55" i="3"/>
  <c r="I58" i="3"/>
  <c r="I75" i="3"/>
  <c r="I87" i="3"/>
  <c r="I95" i="3"/>
  <c r="I102" i="3"/>
  <c r="I109" i="3"/>
  <c r="I110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H125" i="3"/>
  <c r="H133" i="3"/>
  <c r="H141" i="3"/>
  <c r="H149" i="3"/>
  <c r="H157" i="3"/>
  <c r="H165" i="3"/>
  <c r="H173" i="3"/>
  <c r="H181" i="3"/>
  <c r="H189" i="3"/>
  <c r="G46" i="3"/>
  <c r="H46" i="3" s="1"/>
  <c r="G47" i="3"/>
  <c r="H47" i="3" s="1"/>
  <c r="G48" i="3"/>
  <c r="H48" i="3" s="1"/>
  <c r="G49" i="3"/>
  <c r="H49" i="3" s="1"/>
  <c r="G51" i="3"/>
  <c r="H51" i="3" s="1"/>
  <c r="G52" i="3"/>
  <c r="H52" i="3" s="1"/>
  <c r="G55" i="3"/>
  <c r="H55" i="3" s="1"/>
  <c r="G58" i="3"/>
  <c r="H58" i="3" s="1"/>
  <c r="G75" i="3"/>
  <c r="H75" i="3" s="1"/>
  <c r="G87" i="3"/>
  <c r="H87" i="3" s="1"/>
  <c r="G95" i="3"/>
  <c r="H95" i="3" s="1"/>
  <c r="G102" i="3"/>
  <c r="H102" i="3" s="1"/>
  <c r="G109" i="3"/>
  <c r="H109" i="3" s="1"/>
  <c r="G110" i="3"/>
  <c r="H110" i="3" s="1"/>
  <c r="G117" i="3"/>
  <c r="H117" i="3" s="1"/>
  <c r="G122" i="3"/>
  <c r="H122" i="3" s="1"/>
  <c r="G123" i="3"/>
  <c r="H123" i="3" s="1"/>
  <c r="G124" i="3"/>
  <c r="H124" i="3" s="1"/>
  <c r="G125" i="3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G190" i="3"/>
  <c r="H190" i="3" s="1"/>
  <c r="G191" i="3"/>
  <c r="H191" i="3" s="1"/>
  <c r="G192" i="3"/>
  <c r="H192" i="3" s="1"/>
  <c r="G193" i="3"/>
  <c r="H193" i="3" s="1"/>
  <c r="G194" i="3"/>
  <c r="H194" i="3" s="1"/>
  <c r="B122" i="3"/>
  <c r="F46" i="3"/>
  <c r="F55" i="3"/>
  <c r="F58" i="3"/>
  <c r="F75" i="3"/>
  <c r="E46" i="3"/>
  <c r="E47" i="3"/>
  <c r="F47" i="3" s="1"/>
  <c r="E48" i="3"/>
  <c r="F48" i="3" s="1"/>
  <c r="E49" i="3"/>
  <c r="F49" i="3" s="1"/>
  <c r="E51" i="3"/>
  <c r="F51" i="3" s="1"/>
  <c r="E52" i="3"/>
  <c r="F52" i="3" s="1"/>
  <c r="E55" i="3"/>
  <c r="E58" i="3"/>
  <c r="E75" i="3"/>
  <c r="E87" i="3"/>
  <c r="F87" i="3" s="1"/>
  <c r="E95" i="3"/>
  <c r="F95" i="3" s="1"/>
  <c r="E102" i="3"/>
  <c r="F102" i="3" s="1"/>
  <c r="E109" i="3"/>
  <c r="F109" i="3" s="1"/>
  <c r="E110" i="3"/>
  <c r="F110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5" i="3"/>
  <c r="E106" i="3"/>
  <c r="F106" i="3" s="1"/>
  <c r="E120" i="3"/>
  <c r="F120" i="3" s="1"/>
  <c r="E113" i="3"/>
  <c r="F113" i="3" s="1"/>
  <c r="E118" i="3"/>
  <c r="F118" i="3" s="1"/>
  <c r="E116" i="5" s="1"/>
  <c r="E122" i="3"/>
  <c r="E103" i="3"/>
  <c r="F103" i="3" s="1"/>
  <c r="E107" i="3"/>
  <c r="F107" i="3" s="1"/>
  <c r="E108" i="3"/>
  <c r="F108" i="3" s="1"/>
  <c r="E111" i="3"/>
  <c r="F111" i="3" s="1"/>
  <c r="E112" i="3"/>
  <c r="F112" i="3" s="1"/>
  <c r="E110" i="5" s="1"/>
  <c r="E114" i="3"/>
  <c r="F114" i="3" s="1"/>
  <c r="E115" i="3"/>
  <c r="F115" i="3" s="1"/>
  <c r="E116" i="3"/>
  <c r="F116" i="3" s="1"/>
  <c r="E117" i="3"/>
  <c r="F117" i="3" s="1"/>
  <c r="E119" i="3"/>
  <c r="F119" i="3" s="1"/>
  <c r="E121" i="3"/>
  <c r="F121" i="3" s="1"/>
  <c r="B40" i="8"/>
  <c r="B41" i="8"/>
  <c r="B42" i="8"/>
  <c r="B43" i="8"/>
  <c r="B44" i="8"/>
  <c r="B39" i="8"/>
  <c r="W75" i="4"/>
  <c r="X75" i="4"/>
  <c r="W76" i="4"/>
  <c r="X76" i="4"/>
  <c r="W77" i="4"/>
  <c r="X77" i="4"/>
  <c r="W78" i="4"/>
  <c r="X78" i="4"/>
  <c r="W79" i="4"/>
  <c r="X79" i="4"/>
  <c r="W80" i="4"/>
  <c r="X80" i="4"/>
  <c r="W81" i="4"/>
  <c r="X81" i="4"/>
  <c r="W82" i="4"/>
  <c r="X82" i="4"/>
  <c r="W83" i="4"/>
  <c r="X83" i="4"/>
  <c r="W84" i="4"/>
  <c r="X84" i="4"/>
  <c r="W85" i="4"/>
  <c r="X85" i="4"/>
  <c r="W86" i="4"/>
  <c r="X86" i="4"/>
  <c r="W87" i="4"/>
  <c r="X87" i="4"/>
  <c r="W88" i="4"/>
  <c r="X88" i="4"/>
  <c r="W89" i="4"/>
  <c r="X89" i="4"/>
  <c r="W4" i="4"/>
  <c r="X4" i="4"/>
  <c r="W5" i="4"/>
  <c r="X5" i="4"/>
  <c r="W6" i="4"/>
  <c r="X6" i="4"/>
  <c r="W7" i="4"/>
  <c r="X7" i="4"/>
  <c r="W8" i="4"/>
  <c r="X8" i="4"/>
  <c r="W9" i="4"/>
  <c r="X9" i="4"/>
  <c r="W10" i="4"/>
  <c r="X10" i="4"/>
  <c r="W11" i="4"/>
  <c r="X11" i="4"/>
  <c r="W12" i="4"/>
  <c r="X12" i="4"/>
  <c r="W13" i="4"/>
  <c r="X13" i="4"/>
  <c r="W14" i="4"/>
  <c r="X14" i="4"/>
  <c r="W15" i="4"/>
  <c r="X15" i="4"/>
  <c r="W16" i="4"/>
  <c r="X16" i="4"/>
  <c r="W17" i="4"/>
  <c r="X17" i="4"/>
  <c r="W18" i="4"/>
  <c r="X18" i="4"/>
  <c r="W19" i="4"/>
  <c r="X19" i="4"/>
  <c r="W20" i="4"/>
  <c r="X20" i="4"/>
  <c r="W21" i="4"/>
  <c r="X21" i="4"/>
  <c r="W22" i="4"/>
  <c r="X22" i="4"/>
  <c r="W23" i="4"/>
  <c r="X23" i="4"/>
  <c r="W24" i="4"/>
  <c r="X24" i="4"/>
  <c r="W25" i="4"/>
  <c r="X25" i="4"/>
  <c r="W26" i="4"/>
  <c r="X26" i="4"/>
  <c r="W27" i="4"/>
  <c r="X27" i="4"/>
  <c r="W28" i="4"/>
  <c r="X28" i="4"/>
  <c r="W29" i="4"/>
  <c r="X29" i="4"/>
  <c r="W30" i="4"/>
  <c r="X30" i="4"/>
  <c r="W31" i="4"/>
  <c r="X31" i="4"/>
  <c r="W32" i="4"/>
  <c r="X32" i="4"/>
  <c r="W33" i="4"/>
  <c r="X33" i="4"/>
  <c r="W34" i="4"/>
  <c r="X34" i="4"/>
  <c r="W35" i="4"/>
  <c r="X35" i="4"/>
  <c r="W36" i="4"/>
  <c r="X36" i="4"/>
  <c r="W37" i="4"/>
  <c r="X37" i="4"/>
  <c r="W38" i="4"/>
  <c r="X38" i="4"/>
  <c r="W39" i="4"/>
  <c r="X39" i="4"/>
  <c r="W40" i="4"/>
  <c r="X40" i="4"/>
  <c r="W41" i="4"/>
  <c r="X41" i="4"/>
  <c r="W42" i="4"/>
  <c r="X42" i="4"/>
  <c r="W43" i="4"/>
  <c r="X43" i="4"/>
  <c r="W44" i="4"/>
  <c r="X44" i="4"/>
  <c r="W45" i="4"/>
  <c r="X45" i="4"/>
  <c r="W46" i="4"/>
  <c r="X46" i="4"/>
  <c r="W47" i="4"/>
  <c r="X47" i="4"/>
  <c r="W48" i="4"/>
  <c r="X48" i="4"/>
  <c r="W49" i="4"/>
  <c r="X49" i="4"/>
  <c r="W50" i="4"/>
  <c r="X50" i="4"/>
  <c r="W51" i="4"/>
  <c r="X51" i="4"/>
  <c r="W52" i="4"/>
  <c r="X52" i="4"/>
  <c r="W53" i="4"/>
  <c r="X53" i="4"/>
  <c r="W54" i="4"/>
  <c r="X54" i="4"/>
  <c r="W55" i="4"/>
  <c r="X55" i="4"/>
  <c r="W56" i="4"/>
  <c r="X56" i="4"/>
  <c r="W57" i="4"/>
  <c r="X57" i="4"/>
  <c r="W58" i="4"/>
  <c r="X58" i="4"/>
  <c r="W59" i="4"/>
  <c r="X59" i="4"/>
  <c r="W60" i="4"/>
  <c r="X60" i="4"/>
  <c r="W61" i="4"/>
  <c r="X61" i="4"/>
  <c r="W62" i="4"/>
  <c r="X62" i="4"/>
  <c r="W63" i="4"/>
  <c r="X63" i="4"/>
  <c r="W64" i="4"/>
  <c r="X64" i="4"/>
  <c r="W65" i="4"/>
  <c r="X65" i="4"/>
  <c r="W66" i="4"/>
  <c r="X66" i="4"/>
  <c r="W67" i="4"/>
  <c r="X67" i="4"/>
  <c r="W68" i="4"/>
  <c r="X68" i="4"/>
  <c r="W69" i="4"/>
  <c r="X69" i="4"/>
  <c r="W70" i="4"/>
  <c r="X70" i="4"/>
  <c r="W71" i="4"/>
  <c r="X71" i="4"/>
  <c r="W72" i="4"/>
  <c r="X72" i="4"/>
  <c r="W73" i="4"/>
  <c r="X73" i="4"/>
  <c r="W74" i="4"/>
  <c r="X74" i="4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E119" i="5" l="1"/>
  <c r="M115" i="5"/>
  <c r="O115" i="5"/>
  <c r="Q109" i="5"/>
  <c r="R113" i="5"/>
  <c r="S111" i="5"/>
  <c r="T118" i="5"/>
  <c r="T108" i="5"/>
  <c r="U117" i="5"/>
  <c r="U109" i="5"/>
  <c r="V119" i="5"/>
  <c r="V108" i="5"/>
  <c r="W115" i="5"/>
  <c r="W103" i="5"/>
  <c r="X110" i="5"/>
  <c r="F120" i="5"/>
  <c r="F112" i="5"/>
  <c r="F104" i="5"/>
  <c r="G117" i="5"/>
  <c r="G109" i="5"/>
  <c r="T112" i="5"/>
  <c r="T104" i="5"/>
  <c r="V115" i="5"/>
  <c r="V107" i="5"/>
  <c r="W120" i="5"/>
  <c r="W112" i="5"/>
  <c r="W104" i="5"/>
  <c r="M111" i="5"/>
  <c r="O109" i="5"/>
  <c r="Q103" i="5"/>
  <c r="R110" i="5"/>
  <c r="S110" i="5"/>
  <c r="T117" i="5"/>
  <c r="T107" i="5"/>
  <c r="U116" i="5"/>
  <c r="U108" i="5"/>
  <c r="V118" i="5"/>
  <c r="V106" i="5"/>
  <c r="W114" i="5"/>
  <c r="W102" i="5"/>
  <c r="X109" i="5"/>
  <c r="F119" i="5"/>
  <c r="F111" i="5"/>
  <c r="F103" i="5"/>
  <c r="G116" i="5"/>
  <c r="G108" i="5"/>
  <c r="O119" i="5"/>
  <c r="O111" i="5"/>
  <c r="S107" i="5"/>
  <c r="T119" i="5"/>
  <c r="T111" i="5"/>
  <c r="T103" i="5"/>
  <c r="E115" i="5"/>
  <c r="M109" i="5"/>
  <c r="O103" i="5"/>
  <c r="R109" i="5"/>
  <c r="S119" i="5"/>
  <c r="S109" i="5"/>
  <c r="T116" i="5"/>
  <c r="T106" i="5"/>
  <c r="U115" i="5"/>
  <c r="U107" i="5"/>
  <c r="V117" i="5"/>
  <c r="V103" i="5"/>
  <c r="W111" i="5"/>
  <c r="X119" i="5"/>
  <c r="X108" i="5"/>
  <c r="F118" i="5"/>
  <c r="F110" i="5"/>
  <c r="F102" i="5"/>
  <c r="G115" i="5"/>
  <c r="G107" i="5"/>
  <c r="X120" i="5"/>
  <c r="V113" i="5"/>
  <c r="V105" i="5"/>
  <c r="X115" i="5"/>
  <c r="M107" i="5"/>
  <c r="P117" i="5"/>
  <c r="R120" i="5"/>
  <c r="S118" i="5"/>
  <c r="S108" i="5"/>
  <c r="T115" i="5"/>
  <c r="T105" i="5"/>
  <c r="U114" i="5"/>
  <c r="U106" i="5"/>
  <c r="V116" i="5"/>
  <c r="V102" i="5"/>
  <c r="X118" i="5"/>
  <c r="X106" i="5"/>
  <c r="F117" i="5"/>
  <c r="F109" i="5"/>
  <c r="G114" i="5"/>
  <c r="G106" i="5"/>
  <c r="X107" i="5"/>
  <c r="R115" i="5"/>
  <c r="S113" i="5"/>
  <c r="S105" i="5"/>
  <c r="V120" i="5"/>
  <c r="V112" i="5"/>
  <c r="V104" i="5"/>
  <c r="E108" i="5"/>
  <c r="M103" i="5"/>
  <c r="P112" i="5"/>
  <c r="R118" i="5"/>
  <c r="S117" i="5"/>
  <c r="T114" i="5"/>
  <c r="T102" i="5"/>
  <c r="U113" i="5"/>
  <c r="U105" i="5"/>
  <c r="W119" i="5"/>
  <c r="W109" i="5"/>
  <c r="X117" i="5"/>
  <c r="X102" i="5"/>
  <c r="F116" i="5"/>
  <c r="F108" i="5"/>
  <c r="G113" i="5"/>
  <c r="G105" i="5"/>
  <c r="X104" i="5"/>
  <c r="N111" i="5"/>
  <c r="S120" i="5"/>
  <c r="S112" i="5"/>
  <c r="S104" i="5"/>
  <c r="Q111" i="5"/>
  <c r="X113" i="5"/>
  <c r="X105" i="5"/>
  <c r="R119" i="5"/>
  <c r="E107" i="5"/>
  <c r="N119" i="5"/>
  <c r="S116" i="5"/>
  <c r="T113" i="5"/>
  <c r="U120" i="5"/>
  <c r="U112" i="5"/>
  <c r="U104" i="5"/>
  <c r="W108" i="5"/>
  <c r="X116" i="5"/>
  <c r="F115" i="5"/>
  <c r="F107" i="5"/>
  <c r="G120" i="5"/>
  <c r="G112" i="5"/>
  <c r="G104" i="5"/>
  <c r="O107" i="5"/>
  <c r="X112" i="5"/>
  <c r="M119" i="5"/>
  <c r="Q119" i="5"/>
  <c r="R116" i="5"/>
  <c r="S115" i="5"/>
  <c r="U119" i="5"/>
  <c r="W107" i="5"/>
  <c r="R112" i="5"/>
  <c r="X103" i="5"/>
  <c r="Q107" i="5"/>
  <c r="Q115" i="5"/>
  <c r="E104" i="3"/>
  <c r="F104" i="3" s="1"/>
  <c r="E102" i="5" s="1"/>
  <c r="I121" i="3"/>
  <c r="G121" i="3"/>
  <c r="H121" i="3" s="1"/>
  <c r="I120" i="3"/>
  <c r="G120" i="3"/>
  <c r="H120" i="3" s="1"/>
  <c r="I118" i="3"/>
  <c r="G118" i="3"/>
  <c r="H118" i="3" s="1"/>
  <c r="G119" i="3"/>
  <c r="H119" i="3" s="1"/>
  <c r="I119" i="3"/>
  <c r="I117" i="3"/>
  <c r="G116" i="3"/>
  <c r="H116" i="3" s="1"/>
  <c r="I116" i="3"/>
  <c r="I115" i="3"/>
  <c r="G115" i="3"/>
  <c r="H115" i="3" s="1"/>
  <c r="G114" i="3"/>
  <c r="H114" i="3" s="1"/>
  <c r="I114" i="3"/>
  <c r="G113" i="3"/>
  <c r="H113" i="3" s="1"/>
  <c r="E111" i="5"/>
  <c r="I113" i="3"/>
  <c r="I112" i="3"/>
  <c r="G112" i="3"/>
  <c r="H112" i="3" s="1"/>
  <c r="I111" i="3"/>
  <c r="G111" i="3"/>
  <c r="H111" i="3" s="1"/>
  <c r="G108" i="3"/>
  <c r="H108" i="3" s="1"/>
  <c r="I108" i="3"/>
  <c r="G107" i="3"/>
  <c r="H107" i="3" s="1"/>
  <c r="I107" i="3"/>
  <c r="I106" i="3"/>
  <c r="G106" i="3"/>
  <c r="H106" i="3" s="1"/>
  <c r="E105" i="3"/>
  <c r="F105" i="3" s="1"/>
  <c r="I105" i="3"/>
  <c r="G105" i="3"/>
  <c r="H105" i="3" s="1"/>
  <c r="E103" i="5"/>
  <c r="G104" i="3"/>
  <c r="H104" i="3" s="1"/>
  <c r="I104" i="3"/>
  <c r="I103" i="3"/>
  <c r="G103" i="3"/>
  <c r="H103" i="3" s="1"/>
  <c r="E118" i="5"/>
  <c r="N114" i="5"/>
  <c r="N106" i="5"/>
  <c r="P120" i="5"/>
  <c r="P104" i="5"/>
  <c r="E117" i="5"/>
  <c r="E109" i="5"/>
  <c r="M118" i="5"/>
  <c r="M110" i="5"/>
  <c r="M102" i="5"/>
  <c r="N113" i="5"/>
  <c r="N105" i="5"/>
  <c r="O116" i="5"/>
  <c r="O108" i="5"/>
  <c r="P119" i="5"/>
  <c r="P111" i="5"/>
  <c r="P103" i="5"/>
  <c r="Q114" i="5"/>
  <c r="Q106" i="5"/>
  <c r="R108" i="5"/>
  <c r="N120" i="5"/>
  <c r="N112" i="5"/>
  <c r="N104" i="5"/>
  <c r="P118" i="5"/>
  <c r="P110" i="5"/>
  <c r="P102" i="5"/>
  <c r="Q113" i="5"/>
  <c r="Q105" i="5"/>
  <c r="R107" i="5"/>
  <c r="M116" i="5"/>
  <c r="M108" i="5"/>
  <c r="O114" i="5"/>
  <c r="O106" i="5"/>
  <c r="Q120" i="5"/>
  <c r="Q112" i="5"/>
  <c r="Q104" i="5"/>
  <c r="R106" i="5"/>
  <c r="E114" i="5"/>
  <c r="E106" i="5"/>
  <c r="N118" i="5"/>
  <c r="N110" i="5"/>
  <c r="N102" i="5"/>
  <c r="O113" i="5"/>
  <c r="O105" i="5"/>
  <c r="P116" i="5"/>
  <c r="P108" i="5"/>
  <c r="R105" i="5"/>
  <c r="E113" i="5"/>
  <c r="E105" i="5"/>
  <c r="M114" i="5"/>
  <c r="M106" i="5"/>
  <c r="N117" i="5"/>
  <c r="N109" i="5"/>
  <c r="O120" i="5"/>
  <c r="O112" i="5"/>
  <c r="O104" i="5"/>
  <c r="P115" i="5"/>
  <c r="P107" i="5"/>
  <c r="Q118" i="5"/>
  <c r="Q110" i="5"/>
  <c r="Q102" i="5"/>
  <c r="R104" i="5"/>
  <c r="E112" i="5"/>
  <c r="E104" i="5"/>
  <c r="M113" i="5"/>
  <c r="M105" i="5"/>
  <c r="N116" i="5"/>
  <c r="N108" i="5"/>
  <c r="P114" i="5"/>
  <c r="P106" i="5"/>
  <c r="R103" i="5"/>
  <c r="O118" i="5"/>
  <c r="O110" i="5"/>
  <c r="O102" i="5"/>
  <c r="B45" i="8"/>
  <c r="C41" i="8" s="1"/>
  <c r="A25" i="7"/>
  <c r="C15" i="7"/>
  <c r="C17" i="7"/>
  <c r="C16" i="7"/>
  <c r="H15" i="7"/>
  <c r="H16" i="7"/>
  <c r="H17" i="7"/>
  <c r="H18" i="7"/>
  <c r="H19" i="7"/>
  <c r="H20" i="7"/>
  <c r="H21" i="7"/>
  <c r="C20" i="7"/>
  <c r="C21" i="7"/>
  <c r="C18" i="7"/>
  <c r="C19" i="7"/>
  <c r="C22" i="7"/>
  <c r="O3" i="4"/>
  <c r="P3" i="4"/>
  <c r="Q3" i="4"/>
  <c r="R3" i="4"/>
  <c r="S3" i="4"/>
  <c r="T3" i="4"/>
  <c r="U3" i="4"/>
  <c r="V3" i="4"/>
  <c r="W3" i="4"/>
  <c r="X3" i="4"/>
  <c r="K3" i="4"/>
  <c r="L3" i="4"/>
  <c r="M3" i="4"/>
  <c r="N3" i="4"/>
  <c r="C42" i="8" l="1"/>
  <c r="C44" i="8"/>
  <c r="C39" i="8"/>
  <c r="C43" i="8"/>
  <c r="C40" i="8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J2" i="4"/>
  <c r="W1" i="5"/>
  <c r="X1" i="5"/>
  <c r="Y1" i="5"/>
  <c r="Z1" i="5"/>
  <c r="AA1" i="5"/>
  <c r="R1" i="5"/>
  <c r="S1" i="5"/>
  <c r="T1" i="5"/>
  <c r="U1" i="5"/>
  <c r="V1" i="5"/>
  <c r="N1" i="5"/>
  <c r="O1" i="5"/>
  <c r="P1" i="5"/>
  <c r="Q1" i="5"/>
  <c r="M1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E3" i="4"/>
  <c r="D21" i="5" l="1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F61" i="5" l="1"/>
  <c r="G61" i="5"/>
  <c r="F29" i="5"/>
  <c r="G29" i="5"/>
  <c r="F92" i="5"/>
  <c r="G92" i="5"/>
  <c r="F60" i="5"/>
  <c r="G60" i="5"/>
  <c r="F91" i="5"/>
  <c r="G91" i="5"/>
  <c r="F75" i="5"/>
  <c r="G75" i="5"/>
  <c r="F59" i="5"/>
  <c r="G59" i="5"/>
  <c r="F43" i="5"/>
  <c r="G43" i="5"/>
  <c r="F35" i="5"/>
  <c r="G35" i="5"/>
  <c r="F98" i="5"/>
  <c r="G98" i="5"/>
  <c r="F90" i="5"/>
  <c r="G90" i="5"/>
  <c r="F82" i="5"/>
  <c r="G82" i="5"/>
  <c r="F74" i="5"/>
  <c r="G74" i="5"/>
  <c r="F66" i="5"/>
  <c r="G66" i="5"/>
  <c r="F58" i="5"/>
  <c r="G58" i="5"/>
  <c r="F50" i="5"/>
  <c r="G50" i="5"/>
  <c r="F42" i="5"/>
  <c r="G42" i="5"/>
  <c r="F34" i="5"/>
  <c r="G34" i="5"/>
  <c r="G62" i="5"/>
  <c r="F62" i="5"/>
  <c r="F77" i="5"/>
  <c r="G77" i="5"/>
  <c r="F37" i="5"/>
  <c r="G37" i="5"/>
  <c r="F100" i="5"/>
  <c r="G100" i="5"/>
  <c r="F28" i="5"/>
  <c r="G28" i="5"/>
  <c r="F99" i="5"/>
  <c r="G99" i="5"/>
  <c r="F83" i="5"/>
  <c r="G83" i="5"/>
  <c r="F67" i="5"/>
  <c r="G67" i="5"/>
  <c r="F51" i="5"/>
  <c r="G51" i="5"/>
  <c r="G97" i="5"/>
  <c r="F97" i="5"/>
  <c r="G89" i="5"/>
  <c r="F89" i="5"/>
  <c r="F81" i="5"/>
  <c r="G81" i="5"/>
  <c r="G73" i="5"/>
  <c r="F73" i="5"/>
  <c r="G65" i="5"/>
  <c r="F65" i="5"/>
  <c r="G57" i="5"/>
  <c r="F57" i="5"/>
  <c r="F49" i="5"/>
  <c r="G49" i="5"/>
  <c r="G41" i="5"/>
  <c r="F41" i="5"/>
  <c r="F33" i="5"/>
  <c r="G33" i="5"/>
  <c r="F94" i="5"/>
  <c r="G94" i="5"/>
  <c r="F38" i="5"/>
  <c r="G38" i="5"/>
  <c r="F93" i="5"/>
  <c r="G93" i="5"/>
  <c r="F45" i="5"/>
  <c r="G45" i="5"/>
  <c r="F84" i="5"/>
  <c r="G84" i="5"/>
  <c r="F52" i="5"/>
  <c r="G52" i="5"/>
  <c r="G56" i="5"/>
  <c r="F56" i="5"/>
  <c r="F78" i="5"/>
  <c r="G78" i="5"/>
  <c r="F30" i="5"/>
  <c r="G30" i="5"/>
  <c r="F85" i="5"/>
  <c r="G85" i="5"/>
  <c r="F68" i="5"/>
  <c r="G68" i="5"/>
  <c r="F44" i="5"/>
  <c r="G44" i="5"/>
  <c r="G96" i="5"/>
  <c r="F96" i="5"/>
  <c r="G88" i="5"/>
  <c r="F88" i="5"/>
  <c r="G80" i="5"/>
  <c r="F80" i="5"/>
  <c r="G72" i="5"/>
  <c r="F72" i="5"/>
  <c r="G64" i="5"/>
  <c r="F64" i="5"/>
  <c r="G48" i="5"/>
  <c r="F48" i="5"/>
  <c r="G40" i="5"/>
  <c r="F40" i="5"/>
  <c r="G32" i="5"/>
  <c r="F32" i="5"/>
  <c r="G95" i="5"/>
  <c r="F95" i="5"/>
  <c r="G87" i="5"/>
  <c r="F87" i="5"/>
  <c r="G79" i="5"/>
  <c r="F79" i="5"/>
  <c r="G71" i="5"/>
  <c r="F71" i="5"/>
  <c r="G63" i="5"/>
  <c r="F63" i="5"/>
  <c r="G55" i="5"/>
  <c r="F55" i="5"/>
  <c r="G47" i="5"/>
  <c r="F47" i="5"/>
  <c r="G39" i="5"/>
  <c r="F39" i="5"/>
  <c r="G31" i="5"/>
  <c r="F31" i="5"/>
  <c r="G54" i="5"/>
  <c r="F54" i="5"/>
  <c r="G86" i="5"/>
  <c r="F86" i="5"/>
  <c r="G70" i="5"/>
  <c r="F70" i="5"/>
  <c r="F69" i="5"/>
  <c r="G69" i="5"/>
  <c r="F46" i="5"/>
  <c r="G46" i="5"/>
  <c r="F101" i="5"/>
  <c r="G101" i="5"/>
  <c r="F53" i="5"/>
  <c r="G53" i="5"/>
  <c r="F76" i="5"/>
  <c r="G76" i="5"/>
  <c r="F36" i="5"/>
  <c r="G36" i="5"/>
  <c r="V96" i="5"/>
  <c r="U96" i="5"/>
  <c r="T96" i="5"/>
  <c r="S96" i="5"/>
  <c r="R96" i="5"/>
  <c r="V99" i="5"/>
  <c r="U99" i="5"/>
  <c r="T99" i="5"/>
  <c r="S99" i="5"/>
  <c r="R99" i="5"/>
  <c r="V94" i="5"/>
  <c r="U94" i="5"/>
  <c r="T94" i="5"/>
  <c r="S94" i="5"/>
  <c r="R94" i="5"/>
  <c r="V97" i="5"/>
  <c r="U97" i="5"/>
  <c r="T97" i="5"/>
  <c r="S97" i="5"/>
  <c r="R97" i="5"/>
  <c r="V95" i="5"/>
  <c r="U95" i="5"/>
  <c r="T95" i="5"/>
  <c r="S95" i="5"/>
  <c r="R95" i="5"/>
  <c r="V98" i="5"/>
  <c r="U98" i="5"/>
  <c r="T98" i="5"/>
  <c r="S98" i="5"/>
  <c r="R98" i="5"/>
  <c r="V101" i="5"/>
  <c r="U101" i="5"/>
  <c r="T101" i="5"/>
  <c r="S101" i="5"/>
  <c r="R101" i="5"/>
  <c r="V100" i="5"/>
  <c r="U100" i="5"/>
  <c r="T100" i="5"/>
  <c r="S100" i="5"/>
  <c r="R100" i="5"/>
  <c r="O88" i="5"/>
  <c r="P88" i="5"/>
  <c r="S88" i="5"/>
  <c r="N88" i="5"/>
  <c r="U88" i="5"/>
  <c r="M88" i="5"/>
  <c r="Q88" i="5"/>
  <c r="T88" i="5"/>
  <c r="R88" i="5"/>
  <c r="Q79" i="5"/>
  <c r="T79" i="5"/>
  <c r="S79" i="5"/>
  <c r="P79" i="5"/>
  <c r="U79" i="5"/>
  <c r="R79" i="5"/>
  <c r="O79" i="5"/>
  <c r="M79" i="5"/>
  <c r="N79" i="5"/>
  <c r="N86" i="5"/>
  <c r="Q86" i="5"/>
  <c r="M86" i="5"/>
  <c r="S86" i="5"/>
  <c r="T86" i="5"/>
  <c r="U86" i="5"/>
  <c r="P86" i="5"/>
  <c r="O86" i="5"/>
  <c r="R86" i="5"/>
  <c r="U93" i="5"/>
  <c r="T93" i="5"/>
  <c r="Q93" i="5"/>
  <c r="R93" i="5"/>
  <c r="S93" i="5"/>
  <c r="S85" i="5"/>
  <c r="T85" i="5"/>
  <c r="U85" i="5"/>
  <c r="M85" i="5"/>
  <c r="O85" i="5"/>
  <c r="P85" i="5"/>
  <c r="R85" i="5"/>
  <c r="N85" i="5"/>
  <c r="Q85" i="5"/>
  <c r="Q92" i="5"/>
  <c r="R92" i="5"/>
  <c r="S92" i="5"/>
  <c r="T92" i="5"/>
  <c r="U92" i="5"/>
  <c r="Q91" i="5"/>
  <c r="R91" i="5"/>
  <c r="S91" i="5"/>
  <c r="T91" i="5"/>
  <c r="U91" i="5"/>
  <c r="S83" i="5"/>
  <c r="R83" i="5"/>
  <c r="P83" i="5"/>
  <c r="U83" i="5"/>
  <c r="Q83" i="5"/>
  <c r="M83" i="5"/>
  <c r="N83" i="5"/>
  <c r="O83" i="5"/>
  <c r="T83" i="5"/>
  <c r="O75" i="5"/>
  <c r="N75" i="5"/>
  <c r="P75" i="5"/>
  <c r="U75" i="5"/>
  <c r="M75" i="5"/>
  <c r="Q75" i="5"/>
  <c r="R75" i="5"/>
  <c r="S75" i="5"/>
  <c r="T75" i="5"/>
  <c r="N80" i="5"/>
  <c r="R80" i="5"/>
  <c r="O80" i="5"/>
  <c r="S80" i="5"/>
  <c r="P80" i="5"/>
  <c r="T80" i="5"/>
  <c r="U80" i="5"/>
  <c r="M80" i="5"/>
  <c r="Q80" i="5"/>
  <c r="S87" i="5"/>
  <c r="U87" i="5"/>
  <c r="M87" i="5"/>
  <c r="N87" i="5"/>
  <c r="R87" i="5"/>
  <c r="O87" i="5"/>
  <c r="P87" i="5"/>
  <c r="T87" i="5"/>
  <c r="Q87" i="5"/>
  <c r="Q78" i="5"/>
  <c r="R78" i="5"/>
  <c r="M78" i="5"/>
  <c r="S78" i="5"/>
  <c r="N78" i="5"/>
  <c r="T78" i="5"/>
  <c r="P78" i="5"/>
  <c r="U78" i="5"/>
  <c r="O78" i="5"/>
  <c r="R76" i="5"/>
  <c r="Q76" i="5"/>
  <c r="S76" i="5"/>
  <c r="T76" i="5"/>
  <c r="M76" i="5"/>
  <c r="N76" i="5"/>
  <c r="O76" i="5"/>
  <c r="P76" i="5"/>
  <c r="U76" i="5"/>
  <c r="R90" i="5"/>
  <c r="S90" i="5"/>
  <c r="T90" i="5"/>
  <c r="U90" i="5"/>
  <c r="Q90" i="5"/>
  <c r="M82" i="5"/>
  <c r="N82" i="5"/>
  <c r="Q82" i="5"/>
  <c r="O82" i="5"/>
  <c r="R82" i="5"/>
  <c r="P82" i="5"/>
  <c r="T82" i="5"/>
  <c r="U82" i="5"/>
  <c r="S82" i="5"/>
  <c r="S77" i="5"/>
  <c r="U77" i="5"/>
  <c r="O77" i="5"/>
  <c r="Q77" i="5"/>
  <c r="R77" i="5"/>
  <c r="T77" i="5"/>
  <c r="M77" i="5"/>
  <c r="P77" i="5"/>
  <c r="N77" i="5"/>
  <c r="N84" i="5"/>
  <c r="O84" i="5"/>
  <c r="Q84" i="5"/>
  <c r="P84" i="5"/>
  <c r="R84" i="5"/>
  <c r="S84" i="5"/>
  <c r="T84" i="5"/>
  <c r="U84" i="5"/>
  <c r="M84" i="5"/>
  <c r="N89" i="5"/>
  <c r="O89" i="5"/>
  <c r="P89" i="5"/>
  <c r="Q89" i="5"/>
  <c r="T89" i="5"/>
  <c r="U89" i="5"/>
  <c r="R89" i="5"/>
  <c r="M89" i="5"/>
  <c r="S89" i="5"/>
  <c r="O81" i="5"/>
  <c r="Q81" i="5"/>
  <c r="S81" i="5"/>
  <c r="P81" i="5"/>
  <c r="U81" i="5"/>
  <c r="M81" i="5"/>
  <c r="N81" i="5"/>
  <c r="T81" i="5"/>
  <c r="R81" i="5"/>
  <c r="R31" i="5"/>
  <c r="AA31" i="5"/>
  <c r="S31" i="5"/>
  <c r="O31" i="5"/>
  <c r="Y31" i="5"/>
  <c r="Q31" i="5"/>
  <c r="W31" i="5"/>
  <c r="T31" i="5"/>
  <c r="U31" i="5"/>
  <c r="V31" i="5"/>
  <c r="Z31" i="5"/>
  <c r="N31" i="5"/>
  <c r="M31" i="5"/>
  <c r="X31" i="5"/>
  <c r="P31" i="5"/>
  <c r="P66" i="5"/>
  <c r="X66" i="5"/>
  <c r="Q66" i="5"/>
  <c r="Y66" i="5"/>
  <c r="R66" i="5"/>
  <c r="Z66" i="5"/>
  <c r="T66" i="5"/>
  <c r="V66" i="5"/>
  <c r="W66" i="5"/>
  <c r="AA66" i="5"/>
  <c r="M66" i="5"/>
  <c r="N66" i="5"/>
  <c r="O66" i="5"/>
  <c r="S66" i="5"/>
  <c r="U66" i="5"/>
  <c r="Q42" i="5"/>
  <c r="Z42" i="5"/>
  <c r="R42" i="5"/>
  <c r="O42" i="5"/>
  <c r="X42" i="5"/>
  <c r="M42" i="5"/>
  <c r="N42" i="5"/>
  <c r="P42" i="5"/>
  <c r="T42" i="5"/>
  <c r="U42" i="5"/>
  <c r="V42" i="5"/>
  <c r="Y42" i="5"/>
  <c r="W42" i="5"/>
  <c r="S42" i="5"/>
  <c r="AA42" i="5"/>
  <c r="N72" i="5"/>
  <c r="V72" i="5"/>
  <c r="O72" i="5"/>
  <c r="W72" i="5"/>
  <c r="P72" i="5"/>
  <c r="X72" i="5"/>
  <c r="R72" i="5"/>
  <c r="Z72" i="5"/>
  <c r="M72" i="5"/>
  <c r="Q72" i="5"/>
  <c r="S72" i="5"/>
  <c r="T72" i="5"/>
  <c r="U72" i="5"/>
  <c r="Y72" i="5"/>
  <c r="AA72" i="5"/>
  <c r="N64" i="5"/>
  <c r="V64" i="5"/>
  <c r="O64" i="5"/>
  <c r="W64" i="5"/>
  <c r="P64" i="5"/>
  <c r="X64" i="5"/>
  <c r="R64" i="5"/>
  <c r="Z64" i="5"/>
  <c r="T64" i="5"/>
  <c r="U64" i="5"/>
  <c r="Y64" i="5"/>
  <c r="AA64" i="5"/>
  <c r="M64" i="5"/>
  <c r="Q64" i="5"/>
  <c r="S64" i="5"/>
  <c r="O56" i="5"/>
  <c r="W56" i="5"/>
  <c r="P56" i="5"/>
  <c r="X56" i="5"/>
  <c r="Q56" i="5"/>
  <c r="Y56" i="5"/>
  <c r="S56" i="5"/>
  <c r="AA56" i="5"/>
  <c r="M56" i="5"/>
  <c r="N56" i="5"/>
  <c r="R56" i="5"/>
  <c r="T56" i="5"/>
  <c r="U56" i="5"/>
  <c r="V56" i="5"/>
  <c r="Z56" i="5"/>
  <c r="M48" i="5"/>
  <c r="U48" i="5"/>
  <c r="N48" i="5"/>
  <c r="V48" i="5"/>
  <c r="O48" i="5"/>
  <c r="W48" i="5"/>
  <c r="P48" i="5"/>
  <c r="X48" i="5"/>
  <c r="Q48" i="5"/>
  <c r="Y48" i="5"/>
  <c r="R48" i="5"/>
  <c r="Z48" i="5"/>
  <c r="S48" i="5"/>
  <c r="AA48" i="5"/>
  <c r="T48" i="5"/>
  <c r="T40" i="5"/>
  <c r="U40" i="5"/>
  <c r="R40" i="5"/>
  <c r="AA40" i="5"/>
  <c r="N40" i="5"/>
  <c r="O40" i="5"/>
  <c r="P40" i="5"/>
  <c r="S40" i="5"/>
  <c r="V40" i="5"/>
  <c r="W40" i="5"/>
  <c r="M40" i="5"/>
  <c r="X40" i="5"/>
  <c r="Z40" i="5"/>
  <c r="Q40" i="5"/>
  <c r="Y40" i="5"/>
  <c r="U32" i="5"/>
  <c r="M32" i="5"/>
  <c r="V32" i="5"/>
  <c r="S32" i="5"/>
  <c r="P32" i="5"/>
  <c r="R32" i="5"/>
  <c r="T32" i="5"/>
  <c r="W32" i="5"/>
  <c r="X32" i="5"/>
  <c r="Z32" i="5"/>
  <c r="AA32" i="5"/>
  <c r="N32" i="5"/>
  <c r="O32" i="5"/>
  <c r="Y32" i="5"/>
  <c r="Q32" i="5"/>
  <c r="P25" i="5"/>
  <c r="X25" i="5"/>
  <c r="Q25" i="5"/>
  <c r="Y25" i="5"/>
  <c r="N25" i="5"/>
  <c r="V25" i="5"/>
  <c r="M25" i="5"/>
  <c r="AA25" i="5"/>
  <c r="T25" i="5"/>
  <c r="O25" i="5"/>
  <c r="R25" i="5"/>
  <c r="S25" i="5"/>
  <c r="U25" i="5"/>
  <c r="Z25" i="5"/>
  <c r="W25" i="5"/>
  <c r="O55" i="5"/>
  <c r="T55" i="5"/>
  <c r="Z55" i="5"/>
  <c r="P55" i="5"/>
  <c r="Y55" i="5"/>
  <c r="AA55" i="5"/>
  <c r="R55" i="5"/>
  <c r="V55" i="5"/>
  <c r="Q55" i="5"/>
  <c r="S55" i="5"/>
  <c r="W55" i="5"/>
  <c r="N55" i="5"/>
  <c r="U55" i="5"/>
  <c r="X55" i="5"/>
  <c r="M55" i="5"/>
  <c r="T70" i="5"/>
  <c r="M70" i="5"/>
  <c r="U70" i="5"/>
  <c r="N70" i="5"/>
  <c r="V70" i="5"/>
  <c r="P70" i="5"/>
  <c r="X70" i="5"/>
  <c r="Z70" i="5"/>
  <c r="AA70" i="5"/>
  <c r="O70" i="5"/>
  <c r="Q70" i="5"/>
  <c r="R70" i="5"/>
  <c r="S70" i="5"/>
  <c r="W70" i="5"/>
  <c r="Y70" i="5"/>
  <c r="M71" i="5"/>
  <c r="U71" i="5"/>
  <c r="N71" i="5"/>
  <c r="V71" i="5"/>
  <c r="O71" i="5"/>
  <c r="W71" i="5"/>
  <c r="Q71" i="5"/>
  <c r="Y71" i="5"/>
  <c r="AA71" i="5"/>
  <c r="P71" i="5"/>
  <c r="R71" i="5"/>
  <c r="S71" i="5"/>
  <c r="T71" i="5"/>
  <c r="X71" i="5"/>
  <c r="Z71" i="5"/>
  <c r="T62" i="5"/>
  <c r="M62" i="5"/>
  <c r="U62" i="5"/>
  <c r="N62" i="5"/>
  <c r="V62" i="5"/>
  <c r="P62" i="5"/>
  <c r="X62" i="5"/>
  <c r="R62" i="5"/>
  <c r="S62" i="5"/>
  <c r="W62" i="5"/>
  <c r="Y62" i="5"/>
  <c r="Z62" i="5"/>
  <c r="AA62" i="5"/>
  <c r="O62" i="5"/>
  <c r="Q62" i="5"/>
  <c r="N30" i="5"/>
  <c r="X30" i="5"/>
  <c r="P30" i="5"/>
  <c r="Y30" i="5"/>
  <c r="U30" i="5"/>
  <c r="R30" i="5"/>
  <c r="S30" i="5"/>
  <c r="T30" i="5"/>
  <c r="V30" i="5"/>
  <c r="Z30" i="5"/>
  <c r="AA30" i="5"/>
  <c r="Q30" i="5"/>
  <c r="M30" i="5"/>
  <c r="W30" i="5"/>
  <c r="O30" i="5"/>
  <c r="S69" i="5"/>
  <c r="AA69" i="5"/>
  <c r="T69" i="5"/>
  <c r="M69" i="5"/>
  <c r="U69" i="5"/>
  <c r="O69" i="5"/>
  <c r="W69" i="5"/>
  <c r="Y69" i="5"/>
  <c r="Z69" i="5"/>
  <c r="N69" i="5"/>
  <c r="P69" i="5"/>
  <c r="Q69" i="5"/>
  <c r="R69" i="5"/>
  <c r="V69" i="5"/>
  <c r="X69" i="5"/>
  <c r="V61" i="5"/>
  <c r="O61" i="5"/>
  <c r="Q61" i="5"/>
  <c r="U61" i="5"/>
  <c r="X61" i="5"/>
  <c r="M61" i="5"/>
  <c r="T61" i="5"/>
  <c r="N61" i="5"/>
  <c r="AA61" i="5"/>
  <c r="S61" i="5"/>
  <c r="Z61" i="5"/>
  <c r="W61" i="5"/>
  <c r="R61" i="5"/>
  <c r="Y61" i="5"/>
  <c r="P61" i="5"/>
  <c r="R53" i="5"/>
  <c r="Z53" i="5"/>
  <c r="S53" i="5"/>
  <c r="AA53" i="5"/>
  <c r="T53" i="5"/>
  <c r="M53" i="5"/>
  <c r="U53" i="5"/>
  <c r="N53" i="5"/>
  <c r="V53" i="5"/>
  <c r="O53" i="5"/>
  <c r="W53" i="5"/>
  <c r="P53" i="5"/>
  <c r="X53" i="5"/>
  <c r="Q53" i="5"/>
  <c r="Y53" i="5"/>
  <c r="R45" i="5"/>
  <c r="AA45" i="5"/>
  <c r="S45" i="5"/>
  <c r="P45" i="5"/>
  <c r="Y45" i="5"/>
  <c r="Z45" i="5"/>
  <c r="M45" i="5"/>
  <c r="O45" i="5"/>
  <c r="Q45" i="5"/>
  <c r="T45" i="5"/>
  <c r="U45" i="5"/>
  <c r="W45" i="5"/>
  <c r="X45" i="5"/>
  <c r="N45" i="5"/>
  <c r="V45" i="5"/>
  <c r="S37" i="5"/>
  <c r="T37" i="5"/>
  <c r="Q37" i="5"/>
  <c r="Z37" i="5"/>
  <c r="O37" i="5"/>
  <c r="P37" i="5"/>
  <c r="R37" i="5"/>
  <c r="U37" i="5"/>
  <c r="W37" i="5"/>
  <c r="X37" i="5"/>
  <c r="M37" i="5"/>
  <c r="Y37" i="5"/>
  <c r="AA37" i="5"/>
  <c r="V37" i="5"/>
  <c r="N37" i="5"/>
  <c r="P29" i="5"/>
  <c r="Y29" i="5"/>
  <c r="Q29" i="5"/>
  <c r="T29" i="5"/>
  <c r="U29" i="5"/>
  <c r="W29" i="5"/>
  <c r="S29" i="5"/>
  <c r="Z29" i="5"/>
  <c r="V29" i="5"/>
  <c r="R29" i="5"/>
  <c r="O29" i="5"/>
  <c r="N29" i="5"/>
  <c r="M29" i="5"/>
  <c r="X29" i="5"/>
  <c r="AA29" i="5"/>
  <c r="Q22" i="5"/>
  <c r="Z22" i="5"/>
  <c r="R22" i="5"/>
  <c r="AA22" i="5"/>
  <c r="O22" i="5"/>
  <c r="X22" i="5"/>
  <c r="W22" i="5"/>
  <c r="Y22" i="5"/>
  <c r="M22" i="5"/>
  <c r="P22" i="5"/>
  <c r="S22" i="5"/>
  <c r="U22" i="5"/>
  <c r="T22" i="5"/>
  <c r="V22" i="5"/>
  <c r="N22" i="5"/>
  <c r="M63" i="5"/>
  <c r="U63" i="5"/>
  <c r="N63" i="5"/>
  <c r="V63" i="5"/>
  <c r="O63" i="5"/>
  <c r="W63" i="5"/>
  <c r="Q63" i="5"/>
  <c r="Y63" i="5"/>
  <c r="S63" i="5"/>
  <c r="T63" i="5"/>
  <c r="X63" i="5"/>
  <c r="Z63" i="5"/>
  <c r="AA63" i="5"/>
  <c r="P63" i="5"/>
  <c r="R63" i="5"/>
  <c r="O24" i="5"/>
  <c r="W24" i="5"/>
  <c r="P24" i="5"/>
  <c r="X24" i="5"/>
  <c r="M24" i="5"/>
  <c r="U24" i="5"/>
  <c r="Q24" i="5"/>
  <c r="R24" i="5"/>
  <c r="S24" i="5"/>
  <c r="T24" i="5"/>
  <c r="V24" i="5"/>
  <c r="Y24" i="5"/>
  <c r="N24" i="5"/>
  <c r="AA24" i="5"/>
  <c r="Z24" i="5"/>
  <c r="S46" i="5"/>
  <c r="AA46" i="5"/>
  <c r="T46" i="5"/>
  <c r="M46" i="5"/>
  <c r="U46" i="5"/>
  <c r="N46" i="5"/>
  <c r="V46" i="5"/>
  <c r="E46" i="5"/>
  <c r="O46" i="5"/>
  <c r="W46" i="5"/>
  <c r="P46" i="5"/>
  <c r="X46" i="5"/>
  <c r="Q46" i="5"/>
  <c r="Y46" i="5"/>
  <c r="R46" i="5"/>
  <c r="Z46" i="5"/>
  <c r="T23" i="5"/>
  <c r="U23" i="5"/>
  <c r="R23" i="5"/>
  <c r="AA23" i="5"/>
  <c r="N23" i="5"/>
  <c r="P23" i="5"/>
  <c r="Q23" i="5"/>
  <c r="S23" i="5"/>
  <c r="V23" i="5"/>
  <c r="X23" i="5"/>
  <c r="Y23" i="5"/>
  <c r="Z23" i="5"/>
  <c r="M23" i="5"/>
  <c r="W23" i="5"/>
  <c r="O23" i="5"/>
  <c r="R68" i="5"/>
  <c r="Z68" i="5"/>
  <c r="S68" i="5"/>
  <c r="AA68" i="5"/>
  <c r="T68" i="5"/>
  <c r="N68" i="5"/>
  <c r="V68" i="5"/>
  <c r="X68" i="5"/>
  <c r="Y68" i="5"/>
  <c r="M68" i="5"/>
  <c r="O68" i="5"/>
  <c r="P68" i="5"/>
  <c r="Q68" i="5"/>
  <c r="U68" i="5"/>
  <c r="W68" i="5"/>
  <c r="S60" i="5"/>
  <c r="AA60" i="5"/>
  <c r="T60" i="5"/>
  <c r="M60" i="5"/>
  <c r="U60" i="5"/>
  <c r="O60" i="5"/>
  <c r="W60" i="5"/>
  <c r="Q60" i="5"/>
  <c r="R60" i="5"/>
  <c r="V60" i="5"/>
  <c r="X60" i="5"/>
  <c r="Y60" i="5"/>
  <c r="Z60" i="5"/>
  <c r="N60" i="5"/>
  <c r="P60" i="5"/>
  <c r="U52" i="5"/>
  <c r="X52" i="5"/>
  <c r="AA52" i="5"/>
  <c r="N52" i="5"/>
  <c r="T52" i="5"/>
  <c r="Z52" i="5"/>
  <c r="R52" i="5"/>
  <c r="Y52" i="5"/>
  <c r="M52" i="5"/>
  <c r="Q52" i="5"/>
  <c r="W52" i="5"/>
  <c r="V52" i="5"/>
  <c r="P52" i="5"/>
  <c r="O52" i="5"/>
  <c r="S52" i="5"/>
  <c r="O44" i="5"/>
  <c r="X44" i="5"/>
  <c r="P44" i="5"/>
  <c r="Y44" i="5"/>
  <c r="V44" i="5"/>
  <c r="AA44" i="5"/>
  <c r="S44" i="5"/>
  <c r="N44" i="5"/>
  <c r="Q44" i="5"/>
  <c r="R44" i="5"/>
  <c r="T44" i="5"/>
  <c r="W44" i="5"/>
  <c r="Z44" i="5"/>
  <c r="M44" i="5"/>
  <c r="U44" i="5"/>
  <c r="P36" i="5"/>
  <c r="Y36" i="5"/>
  <c r="Q36" i="5"/>
  <c r="Z36" i="5"/>
  <c r="N36" i="5"/>
  <c r="W36" i="5"/>
  <c r="O36" i="5"/>
  <c r="V36" i="5"/>
  <c r="R36" i="5"/>
  <c r="S36" i="5"/>
  <c r="T36" i="5"/>
  <c r="X36" i="5"/>
  <c r="AA36" i="5"/>
  <c r="M36" i="5"/>
  <c r="U36" i="5"/>
  <c r="R28" i="5"/>
  <c r="AA28" i="5"/>
  <c r="S28" i="5"/>
  <c r="P28" i="5"/>
  <c r="Y28" i="5"/>
  <c r="X28" i="5"/>
  <c r="Z28" i="5"/>
  <c r="N28" i="5"/>
  <c r="O28" i="5"/>
  <c r="Q28" i="5"/>
  <c r="T28" i="5"/>
  <c r="W28" i="5"/>
  <c r="V28" i="5"/>
  <c r="U28" i="5"/>
  <c r="M28" i="5"/>
  <c r="Q39" i="5"/>
  <c r="Z39" i="5"/>
  <c r="R39" i="5"/>
  <c r="AA39" i="5"/>
  <c r="N39" i="5"/>
  <c r="W39" i="5"/>
  <c r="M39" i="5"/>
  <c r="U39" i="5"/>
  <c r="O39" i="5"/>
  <c r="S39" i="5"/>
  <c r="T39" i="5"/>
  <c r="V39" i="5"/>
  <c r="Y39" i="5"/>
  <c r="X39" i="5"/>
  <c r="P39" i="5"/>
  <c r="N54" i="5"/>
  <c r="V54" i="5"/>
  <c r="O54" i="5"/>
  <c r="W54" i="5"/>
  <c r="P54" i="5"/>
  <c r="X54" i="5"/>
  <c r="R54" i="5"/>
  <c r="Z54" i="5"/>
  <c r="M54" i="5"/>
  <c r="Q54" i="5"/>
  <c r="S54" i="5"/>
  <c r="T54" i="5"/>
  <c r="U54" i="5"/>
  <c r="Y54" i="5"/>
  <c r="AA54" i="5"/>
  <c r="M38" i="5"/>
  <c r="V38" i="5"/>
  <c r="N38" i="5"/>
  <c r="X38" i="5"/>
  <c r="T38" i="5"/>
  <c r="P38" i="5"/>
  <c r="Q38" i="5"/>
  <c r="R38" i="5"/>
  <c r="U38" i="5"/>
  <c r="S38" i="5"/>
  <c r="Y38" i="5"/>
  <c r="AA38" i="5"/>
  <c r="Z38" i="5"/>
  <c r="W38" i="5"/>
  <c r="O38" i="5"/>
  <c r="Q67" i="5"/>
  <c r="Y67" i="5"/>
  <c r="R67" i="5"/>
  <c r="Z67" i="5"/>
  <c r="S67" i="5"/>
  <c r="AA67" i="5"/>
  <c r="M67" i="5"/>
  <c r="U67" i="5"/>
  <c r="W67" i="5"/>
  <c r="X67" i="5"/>
  <c r="N67" i="5"/>
  <c r="O67" i="5"/>
  <c r="P67" i="5"/>
  <c r="T67" i="5"/>
  <c r="V67" i="5"/>
  <c r="R59" i="5"/>
  <c r="Z59" i="5"/>
  <c r="S59" i="5"/>
  <c r="AA59" i="5"/>
  <c r="T59" i="5"/>
  <c r="N59" i="5"/>
  <c r="V59" i="5"/>
  <c r="P59" i="5"/>
  <c r="Q59" i="5"/>
  <c r="U59" i="5"/>
  <c r="W59" i="5"/>
  <c r="X59" i="5"/>
  <c r="Y59" i="5"/>
  <c r="M59" i="5"/>
  <c r="O59" i="5"/>
  <c r="AA51" i="5"/>
  <c r="T51" i="5"/>
  <c r="S51" i="5"/>
  <c r="Y51" i="5"/>
  <c r="R51" i="5"/>
  <c r="Q51" i="5"/>
  <c r="X51" i="5"/>
  <c r="W51" i="5"/>
  <c r="U51" i="5"/>
  <c r="P51" i="5"/>
  <c r="V51" i="5"/>
  <c r="Z51" i="5"/>
  <c r="M51" i="5"/>
  <c r="O51" i="5"/>
  <c r="N51" i="5"/>
  <c r="U43" i="5"/>
  <c r="M43" i="5"/>
  <c r="V43" i="5"/>
  <c r="R43" i="5"/>
  <c r="AA43" i="5"/>
  <c r="N43" i="5"/>
  <c r="Z43" i="5"/>
  <c r="O43" i="5"/>
  <c r="P43" i="5"/>
  <c r="Q43" i="5"/>
  <c r="S43" i="5"/>
  <c r="W43" i="5"/>
  <c r="X43" i="5"/>
  <c r="Y43" i="5"/>
  <c r="T43" i="5"/>
  <c r="M35" i="5"/>
  <c r="V35" i="5"/>
  <c r="N35" i="5"/>
  <c r="W35" i="5"/>
  <c r="S35" i="5"/>
  <c r="P35" i="5"/>
  <c r="Q35" i="5"/>
  <c r="R35" i="5"/>
  <c r="U35" i="5"/>
  <c r="X35" i="5"/>
  <c r="Y35" i="5"/>
  <c r="O35" i="5"/>
  <c r="Z35" i="5"/>
  <c r="AA35" i="5"/>
  <c r="T35" i="5"/>
  <c r="E47" i="5"/>
  <c r="T47" i="5"/>
  <c r="M47" i="5"/>
  <c r="U47" i="5"/>
  <c r="N47" i="5"/>
  <c r="V47" i="5"/>
  <c r="O47" i="5"/>
  <c r="W47" i="5"/>
  <c r="P47" i="5"/>
  <c r="X47" i="5"/>
  <c r="Q47" i="5"/>
  <c r="Y47" i="5"/>
  <c r="R47" i="5"/>
  <c r="Z47" i="5"/>
  <c r="AA47" i="5"/>
  <c r="S47" i="5"/>
  <c r="Q58" i="5"/>
  <c r="Y58" i="5"/>
  <c r="R58" i="5"/>
  <c r="Z58" i="5"/>
  <c r="S58" i="5"/>
  <c r="AA58" i="5"/>
  <c r="M58" i="5"/>
  <c r="U58" i="5"/>
  <c r="O58" i="5"/>
  <c r="P58" i="5"/>
  <c r="T58" i="5"/>
  <c r="V58" i="5"/>
  <c r="W58" i="5"/>
  <c r="X58" i="5"/>
  <c r="N58" i="5"/>
  <c r="R34" i="5"/>
  <c r="T34" i="5"/>
  <c r="P34" i="5"/>
  <c r="Y34" i="5"/>
  <c r="O34" i="5"/>
  <c r="Q34" i="5"/>
  <c r="U34" i="5"/>
  <c r="V34" i="5"/>
  <c r="W34" i="5"/>
  <c r="X34" i="5"/>
  <c r="M34" i="5"/>
  <c r="N34" i="5"/>
  <c r="Z34" i="5"/>
  <c r="S34" i="5"/>
  <c r="AA34" i="5"/>
  <c r="P74" i="5"/>
  <c r="X74" i="5"/>
  <c r="Q74" i="5"/>
  <c r="Y74" i="5"/>
  <c r="R74" i="5"/>
  <c r="Z74" i="5"/>
  <c r="T74" i="5"/>
  <c r="N74" i="5"/>
  <c r="O74" i="5"/>
  <c r="S74" i="5"/>
  <c r="U74" i="5"/>
  <c r="V74" i="5"/>
  <c r="W74" i="5"/>
  <c r="AA74" i="5"/>
  <c r="M74" i="5"/>
  <c r="N50" i="5"/>
  <c r="V50" i="5"/>
  <c r="O50" i="5"/>
  <c r="W50" i="5"/>
  <c r="P50" i="5"/>
  <c r="X50" i="5"/>
  <c r="Q50" i="5"/>
  <c r="Y50" i="5"/>
  <c r="R50" i="5"/>
  <c r="Z50" i="5"/>
  <c r="S50" i="5"/>
  <c r="AA50" i="5"/>
  <c r="T50" i="5"/>
  <c r="M50" i="5"/>
  <c r="U50" i="5"/>
  <c r="U27" i="5"/>
  <c r="M27" i="5"/>
  <c r="V27" i="5"/>
  <c r="R27" i="5"/>
  <c r="Y27" i="5"/>
  <c r="N27" i="5"/>
  <c r="Z27" i="5"/>
  <c r="O27" i="5"/>
  <c r="P27" i="5"/>
  <c r="Q27" i="5"/>
  <c r="T27" i="5"/>
  <c r="X27" i="5"/>
  <c r="W27" i="5"/>
  <c r="S27" i="5"/>
  <c r="AA27" i="5"/>
  <c r="O73" i="5"/>
  <c r="W73" i="5"/>
  <c r="P73" i="5"/>
  <c r="X73" i="5"/>
  <c r="Q73" i="5"/>
  <c r="Y73" i="5"/>
  <c r="S73" i="5"/>
  <c r="AA73" i="5"/>
  <c r="M73" i="5"/>
  <c r="N73" i="5"/>
  <c r="R73" i="5"/>
  <c r="T73" i="5"/>
  <c r="U73" i="5"/>
  <c r="V73" i="5"/>
  <c r="Z73" i="5"/>
  <c r="O65" i="5"/>
  <c r="W65" i="5"/>
  <c r="P65" i="5"/>
  <c r="X65" i="5"/>
  <c r="Q65" i="5"/>
  <c r="Y65" i="5"/>
  <c r="S65" i="5"/>
  <c r="AA65" i="5"/>
  <c r="U65" i="5"/>
  <c r="V65" i="5"/>
  <c r="Z65" i="5"/>
  <c r="M65" i="5"/>
  <c r="N65" i="5"/>
  <c r="R65" i="5"/>
  <c r="T65" i="5"/>
  <c r="P57" i="5"/>
  <c r="X57" i="5"/>
  <c r="Q57" i="5"/>
  <c r="Y57" i="5"/>
  <c r="R57" i="5"/>
  <c r="Z57" i="5"/>
  <c r="T57" i="5"/>
  <c r="N57" i="5"/>
  <c r="O57" i="5"/>
  <c r="S57" i="5"/>
  <c r="U57" i="5"/>
  <c r="V57" i="5"/>
  <c r="W57" i="5"/>
  <c r="AA57" i="5"/>
  <c r="M57" i="5"/>
  <c r="Z49" i="5"/>
  <c r="AA49" i="5"/>
  <c r="X49" i="5"/>
  <c r="N49" i="5"/>
  <c r="Y49" i="5"/>
  <c r="U49" i="5"/>
  <c r="M49" i="5"/>
  <c r="T49" i="5"/>
  <c r="P49" i="5"/>
  <c r="Q49" i="5"/>
  <c r="W49" i="5"/>
  <c r="O49" i="5"/>
  <c r="V49" i="5"/>
  <c r="R49" i="5"/>
  <c r="S49" i="5"/>
  <c r="N41" i="5"/>
  <c r="W41" i="5"/>
  <c r="O41" i="5"/>
  <c r="X41" i="5"/>
  <c r="U41" i="5"/>
  <c r="M41" i="5"/>
  <c r="T41" i="5"/>
  <c r="P41" i="5"/>
  <c r="Q41" i="5"/>
  <c r="S41" i="5"/>
  <c r="V41" i="5"/>
  <c r="Y41" i="5"/>
  <c r="AA41" i="5"/>
  <c r="R41" i="5"/>
  <c r="Z41" i="5"/>
  <c r="O33" i="5"/>
  <c r="X33" i="5"/>
  <c r="P33" i="5"/>
  <c r="Y33" i="5"/>
  <c r="M33" i="5"/>
  <c r="V33" i="5"/>
  <c r="Q33" i="5"/>
  <c r="W33" i="5"/>
  <c r="S33" i="5"/>
  <c r="T33" i="5"/>
  <c r="U33" i="5"/>
  <c r="AA33" i="5"/>
  <c r="N33" i="5"/>
  <c r="Z33" i="5"/>
  <c r="R33" i="5"/>
  <c r="Q26" i="5"/>
  <c r="AA26" i="5"/>
  <c r="S26" i="5"/>
  <c r="O26" i="5"/>
  <c r="X26" i="5"/>
  <c r="Y26" i="5"/>
  <c r="T26" i="5"/>
  <c r="M26" i="5"/>
  <c r="N26" i="5"/>
  <c r="P26" i="5"/>
  <c r="U26" i="5"/>
  <c r="W26" i="5"/>
  <c r="V26" i="5"/>
  <c r="Z26" i="5"/>
  <c r="R26" i="5"/>
  <c r="D20" i="5"/>
  <c r="C20" i="5"/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B20" i="5" l="1"/>
  <c r="B21" i="5"/>
  <c r="B19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O16" i="5" l="1"/>
  <c r="Y16" i="5"/>
  <c r="Q16" i="5"/>
  <c r="Z16" i="5"/>
  <c r="M16" i="5"/>
  <c r="V16" i="5"/>
  <c r="U16" i="5"/>
  <c r="W16" i="5"/>
  <c r="AA16" i="5"/>
  <c r="N16" i="5"/>
  <c r="R16" i="5"/>
  <c r="S16" i="5"/>
  <c r="T16" i="5"/>
  <c r="X16" i="5"/>
  <c r="P16" i="5"/>
  <c r="S7" i="5"/>
  <c r="M7" i="5"/>
  <c r="X7" i="5"/>
  <c r="R7" i="5"/>
  <c r="N7" i="5"/>
  <c r="Y7" i="5"/>
  <c r="P7" i="5"/>
  <c r="Z7" i="5"/>
  <c r="AA7" i="5"/>
  <c r="Q7" i="5"/>
  <c r="T7" i="5"/>
  <c r="U7" i="5"/>
  <c r="V7" i="5"/>
  <c r="W7" i="5"/>
  <c r="O7" i="5"/>
  <c r="P9" i="5"/>
  <c r="Z9" i="5"/>
  <c r="R9" i="5"/>
  <c r="S9" i="5"/>
  <c r="T9" i="5"/>
  <c r="U9" i="5"/>
  <c r="V9" i="5"/>
  <c r="M9" i="5"/>
  <c r="W9" i="5"/>
  <c r="AA9" i="5"/>
  <c r="X9" i="5"/>
  <c r="N9" i="5"/>
  <c r="O9" i="5"/>
  <c r="Y9" i="5"/>
  <c r="Q9" i="5"/>
  <c r="O14" i="5"/>
  <c r="X14" i="5"/>
  <c r="P14" i="5"/>
  <c r="Y14" i="5"/>
  <c r="U14" i="5"/>
  <c r="S14" i="5"/>
  <c r="T14" i="5"/>
  <c r="W14" i="5"/>
  <c r="Z14" i="5"/>
  <c r="AA14" i="5"/>
  <c r="M14" i="5"/>
  <c r="Q14" i="5"/>
  <c r="R14" i="5"/>
  <c r="N14" i="5"/>
  <c r="V14" i="5"/>
  <c r="P19" i="5"/>
  <c r="Y19" i="5"/>
  <c r="Q19" i="5"/>
  <c r="Z19" i="5"/>
  <c r="N19" i="5"/>
  <c r="W19" i="5"/>
  <c r="V19" i="5"/>
  <c r="X19" i="5"/>
  <c r="M19" i="5"/>
  <c r="O19" i="5"/>
  <c r="R19" i="5"/>
  <c r="T19" i="5"/>
  <c r="U19" i="5"/>
  <c r="AA19" i="5"/>
  <c r="S19" i="5"/>
  <c r="M8" i="5"/>
  <c r="V8" i="5"/>
  <c r="T8" i="5"/>
  <c r="U8" i="5"/>
  <c r="W8" i="5"/>
  <c r="Y8" i="5"/>
  <c r="N8" i="5"/>
  <c r="O8" i="5"/>
  <c r="Z8" i="5"/>
  <c r="Q8" i="5"/>
  <c r="AA8" i="5"/>
  <c r="R8" i="5"/>
  <c r="S8" i="5"/>
  <c r="X8" i="5"/>
  <c r="P8" i="5"/>
  <c r="P13" i="5"/>
  <c r="Y13" i="5"/>
  <c r="Q13" i="5"/>
  <c r="AA13" i="5"/>
  <c r="V13" i="5"/>
  <c r="R13" i="5"/>
  <c r="S13" i="5"/>
  <c r="T13" i="5"/>
  <c r="W13" i="5"/>
  <c r="O13" i="5"/>
  <c r="X13" i="5"/>
  <c r="N13" i="5"/>
  <c r="Z13" i="5"/>
  <c r="M13" i="5"/>
  <c r="U13" i="5"/>
  <c r="U12" i="5"/>
  <c r="M12" i="5"/>
  <c r="V12" i="5"/>
  <c r="R12" i="5"/>
  <c r="AA12" i="5"/>
  <c r="O12" i="5"/>
  <c r="P12" i="5"/>
  <c r="Q12" i="5"/>
  <c r="S12" i="5"/>
  <c r="W12" i="5"/>
  <c r="X12" i="5"/>
  <c r="N12" i="5"/>
  <c r="Y12" i="5"/>
  <c r="Z12" i="5"/>
  <c r="T12" i="5"/>
  <c r="Q11" i="5"/>
  <c r="Z11" i="5"/>
  <c r="R11" i="5"/>
  <c r="O11" i="5"/>
  <c r="X11" i="5"/>
  <c r="W11" i="5"/>
  <c r="Y11" i="5"/>
  <c r="M11" i="5"/>
  <c r="N11" i="5"/>
  <c r="P11" i="5"/>
  <c r="T11" i="5"/>
  <c r="U11" i="5"/>
  <c r="V11" i="5"/>
  <c r="AA11" i="5"/>
  <c r="S11" i="5"/>
  <c r="N21" i="5"/>
  <c r="W21" i="5"/>
  <c r="O21" i="5"/>
  <c r="X21" i="5"/>
  <c r="T21" i="5"/>
  <c r="R21" i="5"/>
  <c r="Z21" i="5"/>
  <c r="S21" i="5"/>
  <c r="V21" i="5"/>
  <c r="Y21" i="5"/>
  <c r="AA21" i="5"/>
  <c r="P21" i="5"/>
  <c r="Q21" i="5"/>
  <c r="U21" i="5"/>
  <c r="M21" i="5"/>
  <c r="S17" i="5"/>
  <c r="T17" i="5"/>
  <c r="P17" i="5"/>
  <c r="Z17" i="5"/>
  <c r="M17" i="5"/>
  <c r="AA17" i="5"/>
  <c r="N17" i="5"/>
  <c r="O17" i="5"/>
  <c r="U17" i="5"/>
  <c r="R17" i="5"/>
  <c r="V17" i="5"/>
  <c r="X17" i="5"/>
  <c r="W17" i="5"/>
  <c r="Q17" i="5"/>
  <c r="Y17" i="5"/>
  <c r="U15" i="5"/>
  <c r="M15" i="5"/>
  <c r="V15" i="5"/>
  <c r="S15" i="5"/>
  <c r="Q15" i="5"/>
  <c r="Y15" i="5"/>
  <c r="R15" i="5"/>
  <c r="T15" i="5"/>
  <c r="X15" i="5"/>
  <c r="Z15" i="5"/>
  <c r="P15" i="5"/>
  <c r="AA15" i="5"/>
  <c r="N15" i="5"/>
  <c r="W15" i="5"/>
  <c r="O15" i="5"/>
  <c r="M18" i="5"/>
  <c r="V18" i="5"/>
  <c r="N18" i="5"/>
  <c r="W18" i="5"/>
  <c r="T18" i="5"/>
  <c r="Q18" i="5"/>
  <c r="Y18" i="5"/>
  <c r="S18" i="5"/>
  <c r="U18" i="5"/>
  <c r="X18" i="5"/>
  <c r="AA18" i="5"/>
  <c r="O18" i="5"/>
  <c r="P18" i="5"/>
  <c r="Z18" i="5"/>
  <c r="R18" i="5"/>
  <c r="T10" i="5"/>
  <c r="N10" i="5"/>
  <c r="X10" i="5"/>
  <c r="O10" i="5"/>
  <c r="Y10" i="5"/>
  <c r="P10" i="5"/>
  <c r="AA10" i="5"/>
  <c r="Q10" i="5"/>
  <c r="S10" i="5"/>
  <c r="U10" i="5"/>
  <c r="V10" i="5"/>
  <c r="W10" i="5"/>
  <c r="M10" i="5"/>
  <c r="Z10" i="5"/>
  <c r="R10" i="5"/>
  <c r="S20" i="5"/>
  <c r="U20" i="5"/>
  <c r="Q20" i="5"/>
  <c r="Z20" i="5"/>
  <c r="N20" i="5"/>
  <c r="AA20" i="5"/>
  <c r="V20" i="5"/>
  <c r="O20" i="5"/>
  <c r="P20" i="5"/>
  <c r="R20" i="5"/>
  <c r="W20" i="5"/>
  <c r="M20" i="5"/>
  <c r="X20" i="5"/>
  <c r="Y20" i="5"/>
  <c r="T20" i="5"/>
  <c r="AA6" i="5"/>
  <c r="Q6" i="5"/>
  <c r="R6" i="5"/>
  <c r="Z6" i="5"/>
  <c r="S6" i="5"/>
  <c r="V6" i="5"/>
  <c r="T6" i="5"/>
  <c r="U6" i="5"/>
  <c r="W6" i="5"/>
  <c r="Y6" i="5"/>
  <c r="AA5" i="5"/>
  <c r="Y5" i="5"/>
  <c r="R5" i="5"/>
  <c r="S5" i="5"/>
  <c r="U5" i="5"/>
  <c r="T5" i="5"/>
  <c r="Q5" i="5"/>
  <c r="V5" i="5"/>
  <c r="Z5" i="5"/>
  <c r="W5" i="5"/>
  <c r="A34" i="7"/>
  <c r="C3" i="5" l="1"/>
  <c r="D3" i="5"/>
  <c r="H3" i="7" s="1"/>
  <c r="B4" i="5"/>
  <c r="B3" i="5"/>
  <c r="X4" i="5" l="1"/>
  <c r="V3" i="5"/>
  <c r="W3" i="5"/>
  <c r="P3" i="5"/>
  <c r="X3" i="5"/>
  <c r="AA3" i="5"/>
  <c r="Q3" i="5"/>
  <c r="Y3" i="5"/>
  <c r="R3" i="5"/>
  <c r="Z3" i="5"/>
  <c r="S3" i="5"/>
  <c r="T3" i="5"/>
  <c r="U3" i="5"/>
  <c r="Q4" i="5"/>
  <c r="W4" i="5"/>
  <c r="R4" i="5"/>
  <c r="Z4" i="5"/>
  <c r="T4" i="5"/>
  <c r="U4" i="5"/>
  <c r="Y4" i="5"/>
  <c r="AA4" i="5"/>
  <c r="S4" i="5"/>
  <c r="V4" i="5"/>
  <c r="H28" i="7"/>
  <c r="H30" i="7"/>
  <c r="H31" i="7"/>
  <c r="H29" i="7"/>
  <c r="D3" i="7"/>
  <c r="N4" i="5"/>
  <c r="O4" i="5"/>
  <c r="P4" i="5"/>
  <c r="N5" i="5"/>
  <c r="O5" i="5"/>
  <c r="P5" i="5"/>
  <c r="N6" i="5"/>
  <c r="O6" i="5"/>
  <c r="P6" i="5"/>
  <c r="V75" i="5"/>
  <c r="W75" i="5"/>
  <c r="X75" i="5"/>
  <c r="Y75" i="5"/>
  <c r="Z75" i="5"/>
  <c r="AA75" i="5"/>
  <c r="V76" i="5"/>
  <c r="W76" i="5"/>
  <c r="X76" i="5"/>
  <c r="Y76" i="5"/>
  <c r="Z76" i="5"/>
  <c r="AA76" i="5"/>
  <c r="V77" i="5"/>
  <c r="W77" i="5"/>
  <c r="X77" i="5"/>
  <c r="Y77" i="5"/>
  <c r="Z77" i="5"/>
  <c r="AA77" i="5"/>
  <c r="V78" i="5"/>
  <c r="W78" i="5"/>
  <c r="X78" i="5"/>
  <c r="Y78" i="5"/>
  <c r="Z78" i="5"/>
  <c r="AA78" i="5"/>
  <c r="V79" i="5"/>
  <c r="W79" i="5"/>
  <c r="X79" i="5"/>
  <c r="Y79" i="5"/>
  <c r="Z79" i="5"/>
  <c r="AA79" i="5"/>
  <c r="V80" i="5"/>
  <c r="W80" i="5"/>
  <c r="X80" i="5"/>
  <c r="Y80" i="5"/>
  <c r="Z80" i="5"/>
  <c r="AA80" i="5"/>
  <c r="V81" i="5"/>
  <c r="W81" i="5"/>
  <c r="X81" i="5"/>
  <c r="Y81" i="5"/>
  <c r="Z81" i="5"/>
  <c r="AA81" i="5"/>
  <c r="V82" i="5"/>
  <c r="W82" i="5"/>
  <c r="X82" i="5"/>
  <c r="Y82" i="5"/>
  <c r="Z82" i="5"/>
  <c r="AA82" i="5"/>
  <c r="V83" i="5"/>
  <c r="W83" i="5"/>
  <c r="X83" i="5"/>
  <c r="Y83" i="5"/>
  <c r="Z83" i="5"/>
  <c r="AA83" i="5"/>
  <c r="V84" i="5"/>
  <c r="W84" i="5"/>
  <c r="X84" i="5"/>
  <c r="Y84" i="5"/>
  <c r="Z84" i="5"/>
  <c r="AA84" i="5"/>
  <c r="V85" i="5"/>
  <c r="W85" i="5"/>
  <c r="X85" i="5"/>
  <c r="Y85" i="5"/>
  <c r="Z85" i="5"/>
  <c r="AA85" i="5"/>
  <c r="V86" i="5"/>
  <c r="W86" i="5"/>
  <c r="X86" i="5"/>
  <c r="Y86" i="5"/>
  <c r="Z86" i="5"/>
  <c r="AA86" i="5"/>
  <c r="V87" i="5"/>
  <c r="W87" i="5"/>
  <c r="X87" i="5"/>
  <c r="Y87" i="5"/>
  <c r="Z87" i="5"/>
  <c r="AA87" i="5"/>
  <c r="V88" i="5"/>
  <c r="W88" i="5"/>
  <c r="X88" i="5"/>
  <c r="Y88" i="5"/>
  <c r="Z88" i="5"/>
  <c r="AA88" i="5"/>
  <c r="V89" i="5"/>
  <c r="W89" i="5"/>
  <c r="X89" i="5"/>
  <c r="Y89" i="5"/>
  <c r="Z89" i="5"/>
  <c r="AA89" i="5"/>
  <c r="N90" i="5"/>
  <c r="O90" i="5"/>
  <c r="P90" i="5"/>
  <c r="V90" i="5"/>
  <c r="W90" i="5"/>
  <c r="X90" i="5"/>
  <c r="Y90" i="5"/>
  <c r="W90" i="4"/>
  <c r="Z90" i="5" s="1"/>
  <c r="X90" i="4"/>
  <c r="AA90" i="5" s="1"/>
  <c r="N91" i="5"/>
  <c r="O91" i="5"/>
  <c r="P91" i="5"/>
  <c r="V91" i="5"/>
  <c r="W91" i="5"/>
  <c r="X91" i="5"/>
  <c r="Y91" i="5"/>
  <c r="W91" i="4"/>
  <c r="Z91" i="5" s="1"/>
  <c r="X91" i="4"/>
  <c r="AA91" i="5" s="1"/>
  <c r="N92" i="5"/>
  <c r="O92" i="5"/>
  <c r="P92" i="5"/>
  <c r="V92" i="5"/>
  <c r="W92" i="5"/>
  <c r="X92" i="5"/>
  <c r="Y92" i="5"/>
  <c r="W92" i="4"/>
  <c r="Z92" i="5" s="1"/>
  <c r="X92" i="4"/>
  <c r="AA92" i="5" s="1"/>
  <c r="N93" i="5"/>
  <c r="O93" i="5"/>
  <c r="P93" i="5"/>
  <c r="V93" i="5"/>
  <c r="W93" i="5"/>
  <c r="X93" i="5"/>
  <c r="Y93" i="5"/>
  <c r="W93" i="4"/>
  <c r="Z93" i="5" s="1"/>
  <c r="X93" i="4"/>
  <c r="AA93" i="5" s="1"/>
  <c r="N94" i="5"/>
  <c r="O94" i="5"/>
  <c r="P94" i="5"/>
  <c r="Q94" i="5"/>
  <c r="W94" i="5"/>
  <c r="X94" i="5"/>
  <c r="Y94" i="5"/>
  <c r="W94" i="4"/>
  <c r="Z94" i="5" s="1"/>
  <c r="X94" i="4"/>
  <c r="AA94" i="5" s="1"/>
  <c r="N95" i="5"/>
  <c r="O95" i="5"/>
  <c r="P95" i="5"/>
  <c r="Q95" i="5"/>
  <c r="W95" i="5"/>
  <c r="X95" i="5"/>
  <c r="Y95" i="5"/>
  <c r="W95" i="4"/>
  <c r="Z95" i="5" s="1"/>
  <c r="X95" i="4"/>
  <c r="AA95" i="5" s="1"/>
  <c r="N96" i="5"/>
  <c r="O96" i="5"/>
  <c r="P96" i="5"/>
  <c r="Q96" i="5"/>
  <c r="W96" i="5"/>
  <c r="X96" i="5"/>
  <c r="Y96" i="5"/>
  <c r="W96" i="4"/>
  <c r="Z96" i="5" s="1"/>
  <c r="X96" i="4"/>
  <c r="AA96" i="5" s="1"/>
  <c r="N97" i="5"/>
  <c r="O97" i="5"/>
  <c r="P97" i="5"/>
  <c r="Q97" i="5"/>
  <c r="W97" i="5"/>
  <c r="X97" i="5"/>
  <c r="Y97" i="5"/>
  <c r="W97" i="4"/>
  <c r="Z97" i="5" s="1"/>
  <c r="X97" i="4"/>
  <c r="AA97" i="5" s="1"/>
  <c r="N98" i="5"/>
  <c r="O98" i="5"/>
  <c r="P98" i="5"/>
  <c r="Q98" i="5"/>
  <c r="W98" i="5"/>
  <c r="X98" i="5"/>
  <c r="Y98" i="5"/>
  <c r="W98" i="4"/>
  <c r="Z98" i="5" s="1"/>
  <c r="X98" i="4"/>
  <c r="AA98" i="5" s="1"/>
  <c r="N99" i="5"/>
  <c r="O99" i="5"/>
  <c r="P99" i="5"/>
  <c r="Q99" i="5"/>
  <c r="W99" i="5"/>
  <c r="X99" i="5"/>
  <c r="Y99" i="5"/>
  <c r="W99" i="4"/>
  <c r="Z99" i="5" s="1"/>
  <c r="X99" i="4"/>
  <c r="AA99" i="5" s="1"/>
  <c r="N100" i="5"/>
  <c r="O100" i="5"/>
  <c r="P100" i="5"/>
  <c r="Q100" i="5"/>
  <c r="W100" i="5"/>
  <c r="X100" i="5"/>
  <c r="Y100" i="5"/>
  <c r="W100" i="4"/>
  <c r="Z100" i="5" s="1"/>
  <c r="X100" i="4"/>
  <c r="AA100" i="5" s="1"/>
  <c r="N101" i="5"/>
  <c r="O101" i="5"/>
  <c r="P101" i="5"/>
  <c r="Q101" i="5"/>
  <c r="W101" i="5"/>
  <c r="X101" i="5"/>
  <c r="Y101" i="5"/>
  <c r="W101" i="4"/>
  <c r="Z101" i="5" s="1"/>
  <c r="X101" i="4"/>
  <c r="AA101" i="5" s="1"/>
  <c r="M4" i="5"/>
  <c r="M5" i="5"/>
  <c r="M6" i="5"/>
  <c r="M90" i="5"/>
  <c r="M91" i="5"/>
  <c r="M92" i="5"/>
  <c r="M93" i="5"/>
  <c r="M94" i="5"/>
  <c r="M95" i="5"/>
  <c r="M96" i="5"/>
  <c r="M97" i="5"/>
  <c r="M98" i="5"/>
  <c r="M99" i="5"/>
  <c r="M100" i="5"/>
  <c r="M101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J3" i="4"/>
  <c r="I3" i="4"/>
  <c r="L3" i="5" s="1"/>
  <c r="H3" i="4"/>
  <c r="K3" i="5" s="1"/>
  <c r="G3" i="4"/>
  <c r="J3" i="5" s="1"/>
  <c r="H3" i="5"/>
  <c r="F3" i="4"/>
  <c r="I3" i="5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3" i="4"/>
  <c r="D3" i="4"/>
  <c r="B3" i="4"/>
  <c r="D27" i="8" l="1"/>
  <c r="B27" i="8"/>
  <c r="B34" i="8"/>
  <c r="D34" i="8"/>
  <c r="D26" i="8"/>
  <c r="B26" i="8"/>
  <c r="B36" i="8"/>
  <c r="D36" i="8"/>
  <c r="B30" i="8"/>
  <c r="D30" i="8"/>
  <c r="B29" i="8"/>
  <c r="D29" i="8"/>
  <c r="D25" i="8"/>
  <c r="B25" i="8"/>
  <c r="B28" i="8"/>
  <c r="D28" i="8"/>
  <c r="D32" i="8"/>
  <c r="B32" i="8"/>
  <c r="D35" i="8"/>
  <c r="B35" i="8"/>
  <c r="D31" i="8"/>
  <c r="B31" i="8"/>
  <c r="O3" i="5"/>
  <c r="M3" i="5"/>
  <c r="N3" i="5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F122" i="3"/>
  <c r="E120" i="5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F195" i="3" s="1"/>
  <c r="G195" i="3"/>
  <c r="H195" i="3" s="1"/>
  <c r="E196" i="3"/>
  <c r="F196" i="3" s="1"/>
  <c r="G196" i="3"/>
  <c r="H196" i="3" s="1"/>
  <c r="E197" i="3"/>
  <c r="F197" i="3" s="1"/>
  <c r="G197" i="3"/>
  <c r="H197" i="3" s="1"/>
  <c r="E198" i="3"/>
  <c r="F198" i="3" s="1"/>
  <c r="G198" i="3"/>
  <c r="H198" i="3" s="1"/>
  <c r="E199" i="3"/>
  <c r="F199" i="3" s="1"/>
  <c r="G199" i="3"/>
  <c r="H199" i="3" s="1"/>
  <c r="E200" i="3"/>
  <c r="F200" i="3" s="1"/>
  <c r="G200" i="3"/>
  <c r="H200" i="3" s="1"/>
  <c r="E201" i="3"/>
  <c r="F201" i="3" s="1"/>
  <c r="G201" i="3"/>
  <c r="H201" i="3" s="1"/>
  <c r="E202" i="3"/>
  <c r="F202" i="3" s="1"/>
  <c r="G202" i="3"/>
  <c r="H202" i="3" s="1"/>
  <c r="E203" i="3"/>
  <c r="F203" i="3" s="1"/>
  <c r="G203" i="3"/>
  <c r="H203" i="3" s="1"/>
  <c r="E204" i="3"/>
  <c r="F204" i="3" s="1"/>
  <c r="G204" i="3"/>
  <c r="H204" i="3" s="1"/>
  <c r="E205" i="3"/>
  <c r="F205" i="3" s="1"/>
  <c r="G205" i="3"/>
  <c r="H205" i="3" s="1"/>
  <c r="E206" i="3"/>
  <c r="F206" i="3" s="1"/>
  <c r="G206" i="3"/>
  <c r="H206" i="3" s="1"/>
  <c r="E207" i="3"/>
  <c r="F207" i="3" s="1"/>
  <c r="G207" i="3"/>
  <c r="H207" i="3" s="1"/>
  <c r="E208" i="3"/>
  <c r="F208" i="3" s="1"/>
  <c r="G208" i="3"/>
  <c r="H208" i="3" s="1"/>
  <c r="E209" i="3"/>
  <c r="F209" i="3" s="1"/>
  <c r="G209" i="3"/>
  <c r="H209" i="3" s="1"/>
  <c r="E210" i="3"/>
  <c r="F210" i="3" s="1"/>
  <c r="G210" i="3"/>
  <c r="H210" i="3" s="1"/>
  <c r="E211" i="3"/>
  <c r="F211" i="3" s="1"/>
  <c r="G211" i="3"/>
  <c r="H211" i="3" s="1"/>
  <c r="E212" i="3"/>
  <c r="F212" i="3" s="1"/>
  <c r="G212" i="3"/>
  <c r="H212" i="3" s="1"/>
  <c r="E213" i="3"/>
  <c r="F213" i="3" s="1"/>
  <c r="G213" i="3"/>
  <c r="H213" i="3" s="1"/>
  <c r="E214" i="3"/>
  <c r="F214" i="3" s="1"/>
  <c r="G214" i="3"/>
  <c r="H214" i="3" s="1"/>
  <c r="E215" i="3"/>
  <c r="F215" i="3" s="1"/>
  <c r="G215" i="3"/>
  <c r="H215" i="3" s="1"/>
  <c r="E216" i="3"/>
  <c r="F216" i="3" s="1"/>
  <c r="G216" i="3"/>
  <c r="H216" i="3" s="1"/>
  <c r="E217" i="3"/>
  <c r="F217" i="3" s="1"/>
  <c r="G217" i="3"/>
  <c r="H217" i="3" s="1"/>
  <c r="E218" i="3"/>
  <c r="F218" i="3" s="1"/>
  <c r="G218" i="3"/>
  <c r="H218" i="3" s="1"/>
  <c r="E219" i="3"/>
  <c r="F219" i="3" s="1"/>
  <c r="G219" i="3"/>
  <c r="H219" i="3" s="1"/>
  <c r="E220" i="3"/>
  <c r="F220" i="3" s="1"/>
  <c r="G220" i="3"/>
  <c r="H220" i="3" s="1"/>
  <c r="E221" i="3"/>
  <c r="F221" i="3" s="1"/>
  <c r="G221" i="3"/>
  <c r="H221" i="3" s="1"/>
  <c r="E222" i="3"/>
  <c r="F222" i="3" s="1"/>
  <c r="G222" i="3"/>
  <c r="H222" i="3" s="1"/>
  <c r="E223" i="3"/>
  <c r="F223" i="3" s="1"/>
  <c r="G223" i="3"/>
  <c r="H223" i="3" s="1"/>
  <c r="E224" i="3"/>
  <c r="F224" i="3" s="1"/>
  <c r="G224" i="3"/>
  <c r="H224" i="3" s="1"/>
  <c r="E225" i="3"/>
  <c r="F225" i="3" s="1"/>
  <c r="G225" i="3"/>
  <c r="H225" i="3" s="1"/>
  <c r="E226" i="3"/>
  <c r="F226" i="3" s="1"/>
  <c r="G226" i="3"/>
  <c r="H226" i="3" s="1"/>
  <c r="E227" i="3"/>
  <c r="F227" i="3" s="1"/>
  <c r="G227" i="3"/>
  <c r="H227" i="3" s="1"/>
  <c r="E228" i="3"/>
  <c r="F228" i="3" s="1"/>
  <c r="G228" i="3"/>
  <c r="H228" i="3" s="1"/>
  <c r="E229" i="3"/>
  <c r="F229" i="3" s="1"/>
  <c r="G229" i="3"/>
  <c r="H229" i="3" s="1"/>
  <c r="E230" i="3"/>
  <c r="F230" i="3" s="1"/>
  <c r="G230" i="3"/>
  <c r="H230" i="3" s="1"/>
  <c r="E231" i="3"/>
  <c r="F231" i="3" s="1"/>
  <c r="G231" i="3"/>
  <c r="H231" i="3" s="1"/>
  <c r="E232" i="3"/>
  <c r="F232" i="3" s="1"/>
  <c r="G232" i="3"/>
  <c r="H232" i="3" s="1"/>
  <c r="E233" i="3"/>
  <c r="F233" i="3" s="1"/>
  <c r="G233" i="3"/>
  <c r="H233" i="3" s="1"/>
  <c r="E234" i="3"/>
  <c r="F234" i="3" s="1"/>
  <c r="G234" i="3"/>
  <c r="H234" i="3" s="1"/>
  <c r="E235" i="3"/>
  <c r="F235" i="3" s="1"/>
  <c r="G235" i="3"/>
  <c r="H235" i="3" s="1"/>
  <c r="E236" i="3"/>
  <c r="F236" i="3" s="1"/>
  <c r="G236" i="3"/>
  <c r="H236" i="3" s="1"/>
  <c r="E237" i="3"/>
  <c r="F237" i="3" s="1"/>
  <c r="G237" i="3"/>
  <c r="H237" i="3" s="1"/>
  <c r="E238" i="3"/>
  <c r="F238" i="3" s="1"/>
  <c r="G238" i="3"/>
  <c r="H238" i="3" s="1"/>
  <c r="E239" i="3"/>
  <c r="F239" i="3" s="1"/>
  <c r="G239" i="3"/>
  <c r="H239" i="3" s="1"/>
  <c r="E240" i="3"/>
  <c r="F240" i="3" s="1"/>
  <c r="G240" i="3"/>
  <c r="H240" i="3" s="1"/>
  <c r="E241" i="3"/>
  <c r="F241" i="3" s="1"/>
  <c r="G241" i="3"/>
  <c r="H241" i="3" s="1"/>
  <c r="E242" i="3"/>
  <c r="F242" i="3" s="1"/>
  <c r="G242" i="3"/>
  <c r="H242" i="3" s="1"/>
  <c r="E243" i="3"/>
  <c r="F243" i="3" s="1"/>
  <c r="G243" i="3"/>
  <c r="H243" i="3" s="1"/>
  <c r="E244" i="3"/>
  <c r="F244" i="3" s="1"/>
  <c r="G244" i="3"/>
  <c r="H244" i="3" s="1"/>
  <c r="E245" i="3"/>
  <c r="F245" i="3" s="1"/>
  <c r="G245" i="3"/>
  <c r="H245" i="3" s="1"/>
  <c r="E246" i="3"/>
  <c r="F246" i="3" s="1"/>
  <c r="G246" i="3"/>
  <c r="H246" i="3" s="1"/>
  <c r="E247" i="3"/>
  <c r="F247" i="3" s="1"/>
  <c r="G247" i="3"/>
  <c r="H247" i="3" s="1"/>
  <c r="E248" i="3"/>
  <c r="F248" i="3" s="1"/>
  <c r="G248" i="3"/>
  <c r="H248" i="3" s="1"/>
  <c r="E249" i="3"/>
  <c r="F249" i="3" s="1"/>
  <c r="G249" i="3"/>
  <c r="H249" i="3" s="1"/>
  <c r="E250" i="3"/>
  <c r="F250" i="3" s="1"/>
  <c r="G250" i="3"/>
  <c r="H250" i="3" s="1"/>
  <c r="E251" i="3"/>
  <c r="F251" i="3" s="1"/>
  <c r="G251" i="3"/>
  <c r="H251" i="3" s="1"/>
  <c r="E252" i="3"/>
  <c r="F252" i="3" s="1"/>
  <c r="G252" i="3"/>
  <c r="H252" i="3" s="1"/>
  <c r="E253" i="3"/>
  <c r="F253" i="3" s="1"/>
  <c r="G253" i="3"/>
  <c r="H253" i="3" s="1"/>
  <c r="E254" i="3"/>
  <c r="F254" i="3" s="1"/>
  <c r="G254" i="3"/>
  <c r="H254" i="3" s="1"/>
  <c r="E255" i="3"/>
  <c r="F255" i="3" s="1"/>
  <c r="G255" i="3"/>
  <c r="H255" i="3" s="1"/>
  <c r="E256" i="3"/>
  <c r="F256" i="3" s="1"/>
  <c r="G256" i="3"/>
  <c r="H256" i="3" s="1"/>
  <c r="E257" i="3"/>
  <c r="F257" i="3" s="1"/>
  <c r="G257" i="3"/>
  <c r="H257" i="3" s="1"/>
  <c r="E258" i="3"/>
  <c r="F258" i="3" s="1"/>
  <c r="G258" i="3"/>
  <c r="H258" i="3" s="1"/>
  <c r="E259" i="3"/>
  <c r="F259" i="3" s="1"/>
  <c r="G259" i="3"/>
  <c r="H259" i="3" s="1"/>
  <c r="E260" i="3"/>
  <c r="F260" i="3" s="1"/>
  <c r="G260" i="3"/>
  <c r="H260" i="3" s="1"/>
  <c r="E261" i="3"/>
  <c r="F261" i="3" s="1"/>
  <c r="G261" i="3"/>
  <c r="H261" i="3" s="1"/>
  <c r="E262" i="3"/>
  <c r="F262" i="3" s="1"/>
  <c r="G262" i="3"/>
  <c r="H262" i="3" s="1"/>
  <c r="E263" i="3"/>
  <c r="F263" i="3" s="1"/>
  <c r="G263" i="3"/>
  <c r="H263" i="3" s="1"/>
  <c r="E264" i="3"/>
  <c r="F264" i="3" s="1"/>
  <c r="G264" i="3"/>
  <c r="H264" i="3" s="1"/>
  <c r="E265" i="3"/>
  <c r="F265" i="3" s="1"/>
  <c r="G265" i="3"/>
  <c r="H265" i="3" s="1"/>
  <c r="E266" i="3"/>
  <c r="F266" i="3" s="1"/>
  <c r="G266" i="3"/>
  <c r="H266" i="3" s="1"/>
  <c r="E267" i="3"/>
  <c r="F267" i="3" s="1"/>
  <c r="G267" i="3"/>
  <c r="H267" i="3" s="1"/>
  <c r="E268" i="3"/>
  <c r="F268" i="3" s="1"/>
  <c r="G268" i="3"/>
  <c r="H268" i="3" s="1"/>
  <c r="E269" i="3"/>
  <c r="F269" i="3" s="1"/>
  <c r="G269" i="3"/>
  <c r="H269" i="3" s="1"/>
  <c r="E270" i="3"/>
  <c r="F270" i="3" s="1"/>
  <c r="G270" i="3"/>
  <c r="H270" i="3" s="1"/>
  <c r="E271" i="3"/>
  <c r="F271" i="3" s="1"/>
  <c r="G271" i="3"/>
  <c r="H271" i="3" s="1"/>
  <c r="E272" i="3"/>
  <c r="F272" i="3" s="1"/>
  <c r="G272" i="3"/>
  <c r="H272" i="3" s="1"/>
  <c r="E273" i="3"/>
  <c r="F273" i="3" s="1"/>
  <c r="G273" i="3"/>
  <c r="H273" i="3" s="1"/>
  <c r="E274" i="3"/>
  <c r="F274" i="3" s="1"/>
  <c r="G274" i="3"/>
  <c r="H274" i="3" s="1"/>
  <c r="E275" i="3"/>
  <c r="F275" i="3" s="1"/>
  <c r="G275" i="3"/>
  <c r="H275" i="3" s="1"/>
  <c r="E276" i="3"/>
  <c r="F276" i="3" s="1"/>
  <c r="G276" i="3"/>
  <c r="H276" i="3" s="1"/>
  <c r="E277" i="3"/>
  <c r="F277" i="3" s="1"/>
  <c r="G277" i="3"/>
  <c r="H277" i="3" s="1"/>
  <c r="E278" i="3"/>
  <c r="F278" i="3" s="1"/>
  <c r="G278" i="3"/>
  <c r="H278" i="3" s="1"/>
  <c r="E279" i="3"/>
  <c r="F279" i="3" s="1"/>
  <c r="G279" i="3"/>
  <c r="H279" i="3" s="1"/>
  <c r="E280" i="3"/>
  <c r="F280" i="3" s="1"/>
  <c r="G280" i="3"/>
  <c r="H280" i="3" s="1"/>
  <c r="E281" i="3"/>
  <c r="F281" i="3" s="1"/>
  <c r="G281" i="3"/>
  <c r="H281" i="3" s="1"/>
  <c r="E282" i="3"/>
  <c r="F282" i="3" s="1"/>
  <c r="G282" i="3"/>
  <c r="H282" i="3" s="1"/>
  <c r="E283" i="3"/>
  <c r="F283" i="3" s="1"/>
  <c r="G283" i="3"/>
  <c r="H283" i="3" s="1"/>
  <c r="E284" i="3"/>
  <c r="F284" i="3" s="1"/>
  <c r="G284" i="3"/>
  <c r="H284" i="3" s="1"/>
  <c r="E285" i="3"/>
  <c r="F285" i="3" s="1"/>
  <c r="G285" i="3"/>
  <c r="H285" i="3" s="1"/>
  <c r="E286" i="3"/>
  <c r="F286" i="3" s="1"/>
  <c r="G286" i="3"/>
  <c r="H286" i="3" s="1"/>
  <c r="E287" i="3"/>
  <c r="F287" i="3" s="1"/>
  <c r="G287" i="3"/>
  <c r="H287" i="3" s="1"/>
  <c r="E288" i="3"/>
  <c r="F288" i="3" s="1"/>
  <c r="G288" i="3"/>
  <c r="H288" i="3" s="1"/>
  <c r="E289" i="3"/>
  <c r="F289" i="3" s="1"/>
  <c r="G289" i="3"/>
  <c r="H289" i="3" s="1"/>
  <c r="E290" i="3"/>
  <c r="F290" i="3" s="1"/>
  <c r="G290" i="3"/>
  <c r="H290" i="3" s="1"/>
  <c r="E291" i="3"/>
  <c r="F291" i="3" s="1"/>
  <c r="G291" i="3"/>
  <c r="H291" i="3" s="1"/>
  <c r="E292" i="3"/>
  <c r="F292" i="3" s="1"/>
  <c r="G292" i="3"/>
  <c r="H292" i="3" s="1"/>
  <c r="E293" i="3"/>
  <c r="F293" i="3" s="1"/>
  <c r="G293" i="3"/>
  <c r="H293" i="3" s="1"/>
  <c r="E294" i="3"/>
  <c r="F294" i="3" s="1"/>
  <c r="G294" i="3"/>
  <c r="H294" i="3" s="1"/>
  <c r="E295" i="3"/>
  <c r="F295" i="3" s="1"/>
  <c r="G295" i="3"/>
  <c r="H295" i="3" s="1"/>
  <c r="E296" i="3"/>
  <c r="F296" i="3" s="1"/>
  <c r="G296" i="3"/>
  <c r="H296" i="3" s="1"/>
  <c r="E297" i="3"/>
  <c r="F297" i="3" s="1"/>
  <c r="G297" i="3"/>
  <c r="H297" i="3" s="1"/>
  <c r="E298" i="3"/>
  <c r="F298" i="3" s="1"/>
  <c r="G298" i="3"/>
  <c r="H298" i="3" s="1"/>
  <c r="E299" i="3"/>
  <c r="F299" i="3" s="1"/>
  <c r="G299" i="3"/>
  <c r="H299" i="3" s="1"/>
  <c r="E300" i="3"/>
  <c r="F300" i="3" s="1"/>
  <c r="G300" i="3"/>
  <c r="H300" i="3" s="1"/>
  <c r="E301" i="3"/>
  <c r="F301" i="3" s="1"/>
  <c r="G301" i="3"/>
  <c r="H301" i="3" s="1"/>
  <c r="E302" i="3"/>
  <c r="F302" i="3" s="1"/>
  <c r="G302" i="3"/>
  <c r="H302" i="3" s="1"/>
  <c r="E303" i="3"/>
  <c r="F303" i="3" s="1"/>
  <c r="G303" i="3"/>
  <c r="H303" i="3" s="1"/>
  <c r="E304" i="3"/>
  <c r="F304" i="3" s="1"/>
  <c r="G304" i="3"/>
  <c r="H304" i="3" s="1"/>
  <c r="E305" i="3"/>
  <c r="F305" i="3" s="1"/>
  <c r="G305" i="3"/>
  <c r="H305" i="3" s="1"/>
  <c r="E306" i="3"/>
  <c r="F306" i="3" s="1"/>
  <c r="G306" i="3"/>
  <c r="H306" i="3" s="1"/>
  <c r="E307" i="3"/>
  <c r="F307" i="3" s="1"/>
  <c r="G307" i="3"/>
  <c r="H307" i="3" s="1"/>
  <c r="E308" i="3"/>
  <c r="F308" i="3" s="1"/>
  <c r="G308" i="3"/>
  <c r="H308" i="3" s="1"/>
  <c r="E309" i="3"/>
  <c r="F309" i="3" s="1"/>
  <c r="G309" i="3"/>
  <c r="H309" i="3" s="1"/>
  <c r="E310" i="3"/>
  <c r="F310" i="3" s="1"/>
  <c r="G310" i="3"/>
  <c r="H310" i="3" s="1"/>
  <c r="E311" i="3"/>
  <c r="F311" i="3" s="1"/>
  <c r="G311" i="3"/>
  <c r="H311" i="3" s="1"/>
  <c r="E312" i="3"/>
  <c r="F312" i="3" s="1"/>
  <c r="G312" i="3"/>
  <c r="H312" i="3" s="1"/>
  <c r="E313" i="3"/>
  <c r="F313" i="3" s="1"/>
  <c r="G313" i="3"/>
  <c r="H313" i="3" s="1"/>
  <c r="E314" i="3"/>
  <c r="F314" i="3" s="1"/>
  <c r="G314" i="3"/>
  <c r="H314" i="3" s="1"/>
  <c r="E315" i="3"/>
  <c r="F315" i="3" s="1"/>
  <c r="G315" i="3"/>
  <c r="H315" i="3" s="1"/>
  <c r="E316" i="3"/>
  <c r="F316" i="3" s="1"/>
  <c r="G316" i="3"/>
  <c r="H316" i="3" s="1"/>
  <c r="E317" i="3"/>
  <c r="F317" i="3" s="1"/>
  <c r="G317" i="3"/>
  <c r="H317" i="3" s="1"/>
  <c r="E318" i="3"/>
  <c r="F318" i="3" s="1"/>
  <c r="G318" i="3"/>
  <c r="H318" i="3" s="1"/>
  <c r="E319" i="3"/>
  <c r="F319" i="3" s="1"/>
  <c r="G319" i="3"/>
  <c r="H319" i="3" s="1"/>
  <c r="E320" i="3"/>
  <c r="F320" i="3" s="1"/>
  <c r="G320" i="3"/>
  <c r="H320" i="3" s="1"/>
  <c r="E321" i="3"/>
  <c r="F321" i="3" s="1"/>
  <c r="G321" i="3"/>
  <c r="H321" i="3" s="1"/>
  <c r="E322" i="3"/>
  <c r="F322" i="3" s="1"/>
  <c r="G322" i="3"/>
  <c r="H322" i="3" s="1"/>
  <c r="E323" i="3"/>
  <c r="F323" i="3" s="1"/>
  <c r="G323" i="3"/>
  <c r="H323" i="3" s="1"/>
  <c r="E324" i="3"/>
  <c r="F324" i="3" s="1"/>
  <c r="G324" i="3"/>
  <c r="H324" i="3" s="1"/>
  <c r="E325" i="3"/>
  <c r="F325" i="3" s="1"/>
  <c r="G325" i="3"/>
  <c r="H325" i="3" s="1"/>
  <c r="E326" i="3"/>
  <c r="F326" i="3" s="1"/>
  <c r="G326" i="3"/>
  <c r="H326" i="3" s="1"/>
  <c r="E327" i="3"/>
  <c r="F327" i="3" s="1"/>
  <c r="G327" i="3"/>
  <c r="H327" i="3" s="1"/>
  <c r="E328" i="3"/>
  <c r="F328" i="3" s="1"/>
  <c r="G328" i="3"/>
  <c r="H328" i="3" s="1"/>
  <c r="E329" i="3"/>
  <c r="F329" i="3" s="1"/>
  <c r="G329" i="3"/>
  <c r="H329" i="3" s="1"/>
  <c r="E330" i="3"/>
  <c r="F330" i="3" s="1"/>
  <c r="G330" i="3"/>
  <c r="H330" i="3" s="1"/>
  <c r="E331" i="3"/>
  <c r="F331" i="3" s="1"/>
  <c r="G331" i="3"/>
  <c r="H331" i="3" s="1"/>
  <c r="E332" i="3"/>
  <c r="F332" i="3" s="1"/>
  <c r="G332" i="3"/>
  <c r="H332" i="3" s="1"/>
  <c r="E333" i="3"/>
  <c r="F333" i="3" s="1"/>
  <c r="G333" i="3"/>
  <c r="H333" i="3" s="1"/>
  <c r="E334" i="3"/>
  <c r="F334" i="3" s="1"/>
  <c r="G334" i="3"/>
  <c r="H334" i="3" s="1"/>
  <c r="E335" i="3"/>
  <c r="F335" i="3" s="1"/>
  <c r="G335" i="3"/>
  <c r="H335" i="3" s="1"/>
  <c r="E336" i="3"/>
  <c r="F336" i="3" s="1"/>
  <c r="G336" i="3"/>
  <c r="H336" i="3" s="1"/>
  <c r="E337" i="3"/>
  <c r="F337" i="3" s="1"/>
  <c r="G337" i="3"/>
  <c r="H337" i="3" s="1"/>
  <c r="E338" i="3"/>
  <c r="F338" i="3" s="1"/>
  <c r="G338" i="3"/>
  <c r="H338" i="3" s="1"/>
  <c r="E339" i="3"/>
  <c r="F339" i="3" s="1"/>
  <c r="G339" i="3"/>
  <c r="H339" i="3" s="1"/>
  <c r="E340" i="3"/>
  <c r="F340" i="3" s="1"/>
  <c r="G340" i="3"/>
  <c r="H340" i="3" s="1"/>
  <c r="E341" i="3"/>
  <c r="F341" i="3" s="1"/>
  <c r="G341" i="3"/>
  <c r="H341" i="3" s="1"/>
  <c r="E342" i="3"/>
  <c r="F342" i="3" s="1"/>
  <c r="G342" i="3"/>
  <c r="H342" i="3" s="1"/>
  <c r="E343" i="3"/>
  <c r="F343" i="3" s="1"/>
  <c r="G343" i="3"/>
  <c r="H343" i="3" s="1"/>
  <c r="E344" i="3"/>
  <c r="F344" i="3" s="1"/>
  <c r="G344" i="3"/>
  <c r="H344" i="3" s="1"/>
  <c r="E345" i="3"/>
  <c r="F345" i="3" s="1"/>
  <c r="G345" i="3"/>
  <c r="H345" i="3" s="1"/>
  <c r="E346" i="3"/>
  <c r="F346" i="3" s="1"/>
  <c r="G346" i="3"/>
  <c r="H346" i="3" s="1"/>
  <c r="E347" i="3"/>
  <c r="F347" i="3" s="1"/>
  <c r="G347" i="3"/>
  <c r="H347" i="3" s="1"/>
  <c r="E348" i="3"/>
  <c r="F348" i="3" s="1"/>
  <c r="G348" i="3"/>
  <c r="H348" i="3" s="1"/>
  <c r="E349" i="3"/>
  <c r="F349" i="3" s="1"/>
  <c r="G349" i="3"/>
  <c r="H349" i="3" s="1"/>
  <c r="E350" i="3"/>
  <c r="F350" i="3" s="1"/>
  <c r="G350" i="3"/>
  <c r="H350" i="3" s="1"/>
  <c r="E351" i="3"/>
  <c r="F351" i="3" s="1"/>
  <c r="G351" i="3"/>
  <c r="H351" i="3" s="1"/>
  <c r="E352" i="3"/>
  <c r="F352" i="3" s="1"/>
  <c r="G352" i="3"/>
  <c r="H352" i="3" s="1"/>
  <c r="E353" i="3"/>
  <c r="F353" i="3" s="1"/>
  <c r="G353" i="3"/>
  <c r="H353" i="3" s="1"/>
  <c r="E354" i="3"/>
  <c r="F354" i="3" s="1"/>
  <c r="G354" i="3"/>
  <c r="H354" i="3" s="1"/>
  <c r="E355" i="3"/>
  <c r="F355" i="3" s="1"/>
  <c r="G355" i="3"/>
  <c r="H355" i="3" s="1"/>
  <c r="E356" i="3"/>
  <c r="F356" i="3" s="1"/>
  <c r="G356" i="3"/>
  <c r="H356" i="3" s="1"/>
  <c r="E357" i="3"/>
  <c r="F357" i="3" s="1"/>
  <c r="G357" i="3"/>
  <c r="H357" i="3" s="1"/>
  <c r="E358" i="3"/>
  <c r="F358" i="3" s="1"/>
  <c r="G358" i="3"/>
  <c r="H358" i="3" s="1"/>
  <c r="E359" i="3"/>
  <c r="F359" i="3" s="1"/>
  <c r="G359" i="3"/>
  <c r="H359" i="3" s="1"/>
  <c r="E360" i="3"/>
  <c r="F360" i="3" s="1"/>
  <c r="G360" i="3"/>
  <c r="H360" i="3" s="1"/>
  <c r="E361" i="3"/>
  <c r="F361" i="3" s="1"/>
  <c r="G361" i="3"/>
  <c r="H361" i="3" s="1"/>
  <c r="E362" i="3"/>
  <c r="F362" i="3" s="1"/>
  <c r="G362" i="3"/>
  <c r="H362" i="3" s="1"/>
  <c r="E363" i="3"/>
  <c r="F363" i="3" s="1"/>
  <c r="G363" i="3"/>
  <c r="H363" i="3" s="1"/>
  <c r="E364" i="3"/>
  <c r="F364" i="3" s="1"/>
  <c r="G364" i="3"/>
  <c r="H364" i="3" s="1"/>
  <c r="E365" i="3"/>
  <c r="F365" i="3" s="1"/>
  <c r="G365" i="3"/>
  <c r="H365" i="3" s="1"/>
  <c r="E366" i="3"/>
  <c r="F366" i="3" s="1"/>
  <c r="G366" i="3"/>
  <c r="H366" i="3" s="1"/>
  <c r="E367" i="3"/>
  <c r="F367" i="3" s="1"/>
  <c r="G367" i="3"/>
  <c r="H367" i="3" s="1"/>
  <c r="E368" i="3"/>
  <c r="F368" i="3" s="1"/>
  <c r="G368" i="3"/>
  <c r="H368" i="3" s="1"/>
  <c r="E369" i="3"/>
  <c r="F369" i="3" s="1"/>
  <c r="G369" i="3"/>
  <c r="H369" i="3" s="1"/>
  <c r="E370" i="3"/>
  <c r="F370" i="3" s="1"/>
  <c r="G370" i="3"/>
  <c r="H370" i="3" s="1"/>
  <c r="E371" i="3"/>
  <c r="F371" i="3" s="1"/>
  <c r="G371" i="3"/>
  <c r="H371" i="3" s="1"/>
  <c r="E372" i="3"/>
  <c r="F372" i="3" s="1"/>
  <c r="G372" i="3"/>
  <c r="H372" i="3" s="1"/>
  <c r="E373" i="3"/>
  <c r="F373" i="3" s="1"/>
  <c r="G373" i="3"/>
  <c r="H373" i="3" s="1"/>
  <c r="E374" i="3"/>
  <c r="F374" i="3" s="1"/>
  <c r="G374" i="3"/>
  <c r="H374" i="3" s="1"/>
  <c r="E375" i="3"/>
  <c r="F375" i="3" s="1"/>
  <c r="G375" i="3"/>
  <c r="H375" i="3" s="1"/>
  <c r="E376" i="3"/>
  <c r="F376" i="3" s="1"/>
  <c r="G376" i="3"/>
  <c r="H376" i="3" s="1"/>
  <c r="E377" i="3"/>
  <c r="F377" i="3" s="1"/>
  <c r="G377" i="3"/>
  <c r="H377" i="3" s="1"/>
  <c r="E378" i="3"/>
  <c r="F378" i="3" s="1"/>
  <c r="G378" i="3"/>
  <c r="H378" i="3" s="1"/>
  <c r="E379" i="3"/>
  <c r="F379" i="3" s="1"/>
  <c r="G379" i="3"/>
  <c r="H379" i="3" s="1"/>
  <c r="E380" i="3"/>
  <c r="F380" i="3" s="1"/>
  <c r="G380" i="3"/>
  <c r="H380" i="3" s="1"/>
  <c r="E381" i="3"/>
  <c r="F381" i="3" s="1"/>
  <c r="G381" i="3"/>
  <c r="H381" i="3" s="1"/>
  <c r="E382" i="3"/>
  <c r="F382" i="3" s="1"/>
  <c r="G382" i="3"/>
  <c r="H382" i="3" s="1"/>
  <c r="E383" i="3"/>
  <c r="F383" i="3" s="1"/>
  <c r="G383" i="3"/>
  <c r="H383" i="3" s="1"/>
  <c r="E384" i="3"/>
  <c r="F384" i="3" s="1"/>
  <c r="G384" i="3"/>
  <c r="H384" i="3" s="1"/>
  <c r="E385" i="3"/>
  <c r="F385" i="3" s="1"/>
  <c r="G385" i="3"/>
  <c r="H385" i="3" s="1"/>
  <c r="E386" i="3"/>
  <c r="F386" i="3" s="1"/>
  <c r="G386" i="3"/>
  <c r="H386" i="3" s="1"/>
  <c r="E387" i="3"/>
  <c r="F387" i="3" s="1"/>
  <c r="G387" i="3"/>
  <c r="H387" i="3" s="1"/>
  <c r="E388" i="3"/>
  <c r="F388" i="3" s="1"/>
  <c r="G388" i="3"/>
  <c r="H388" i="3" s="1"/>
  <c r="E389" i="3"/>
  <c r="F389" i="3" s="1"/>
  <c r="G389" i="3"/>
  <c r="H389" i="3" s="1"/>
  <c r="E390" i="3"/>
  <c r="F390" i="3" s="1"/>
  <c r="G390" i="3"/>
  <c r="H390" i="3" s="1"/>
  <c r="E391" i="3"/>
  <c r="F391" i="3" s="1"/>
  <c r="G391" i="3"/>
  <c r="H391" i="3" s="1"/>
  <c r="E392" i="3"/>
  <c r="F392" i="3" s="1"/>
  <c r="G392" i="3"/>
  <c r="H392" i="3" s="1"/>
  <c r="E393" i="3"/>
  <c r="F393" i="3" s="1"/>
  <c r="G393" i="3"/>
  <c r="H393" i="3" s="1"/>
  <c r="E394" i="3"/>
  <c r="F394" i="3" s="1"/>
  <c r="G394" i="3"/>
  <c r="H394" i="3" s="1"/>
  <c r="E395" i="3"/>
  <c r="F395" i="3" s="1"/>
  <c r="G395" i="3"/>
  <c r="H395" i="3" s="1"/>
  <c r="E396" i="3"/>
  <c r="F396" i="3" s="1"/>
  <c r="G396" i="3"/>
  <c r="H396" i="3" s="1"/>
  <c r="E397" i="3"/>
  <c r="F397" i="3" s="1"/>
  <c r="G397" i="3"/>
  <c r="H397" i="3" s="1"/>
  <c r="E398" i="3"/>
  <c r="F398" i="3" s="1"/>
  <c r="G398" i="3"/>
  <c r="H398" i="3" s="1"/>
  <c r="E399" i="3"/>
  <c r="F399" i="3" s="1"/>
  <c r="G399" i="3"/>
  <c r="H399" i="3" s="1"/>
  <c r="E400" i="3"/>
  <c r="F400" i="3" s="1"/>
  <c r="G400" i="3"/>
  <c r="H400" i="3" s="1"/>
  <c r="E401" i="3"/>
  <c r="F401" i="3" s="1"/>
  <c r="G401" i="3"/>
  <c r="H401" i="3" s="1"/>
  <c r="E402" i="3"/>
  <c r="F402" i="3" s="1"/>
  <c r="G402" i="3"/>
  <c r="H402" i="3" s="1"/>
  <c r="E403" i="3"/>
  <c r="F403" i="3" s="1"/>
  <c r="G403" i="3"/>
  <c r="H403" i="3" s="1"/>
  <c r="E404" i="3"/>
  <c r="F404" i="3" s="1"/>
  <c r="G404" i="3"/>
  <c r="H404" i="3" s="1"/>
  <c r="E405" i="3"/>
  <c r="F405" i="3" s="1"/>
  <c r="G405" i="3"/>
  <c r="H405" i="3" s="1"/>
  <c r="E406" i="3"/>
  <c r="F406" i="3" s="1"/>
  <c r="G406" i="3"/>
  <c r="H406" i="3" s="1"/>
  <c r="E407" i="3"/>
  <c r="F407" i="3" s="1"/>
  <c r="G407" i="3"/>
  <c r="H407" i="3" s="1"/>
  <c r="E408" i="3"/>
  <c r="F408" i="3" s="1"/>
  <c r="G408" i="3"/>
  <c r="H408" i="3" s="1"/>
  <c r="E409" i="3"/>
  <c r="F409" i="3" s="1"/>
  <c r="G409" i="3"/>
  <c r="H409" i="3" s="1"/>
  <c r="E410" i="3"/>
  <c r="F410" i="3" s="1"/>
  <c r="G410" i="3"/>
  <c r="H410" i="3" s="1"/>
  <c r="E411" i="3"/>
  <c r="F411" i="3" s="1"/>
  <c r="G411" i="3"/>
  <c r="H411" i="3" s="1"/>
  <c r="E412" i="3"/>
  <c r="F412" i="3" s="1"/>
  <c r="G412" i="3"/>
  <c r="H412" i="3" s="1"/>
  <c r="E413" i="3"/>
  <c r="F413" i="3" s="1"/>
  <c r="G413" i="3"/>
  <c r="H413" i="3" s="1"/>
  <c r="E414" i="3"/>
  <c r="F414" i="3" s="1"/>
  <c r="G414" i="3"/>
  <c r="H414" i="3" s="1"/>
  <c r="E415" i="3"/>
  <c r="F415" i="3" s="1"/>
  <c r="G415" i="3"/>
  <c r="H415" i="3" s="1"/>
  <c r="E416" i="3"/>
  <c r="F416" i="3" s="1"/>
  <c r="G416" i="3"/>
  <c r="H416" i="3" s="1"/>
  <c r="E417" i="3"/>
  <c r="F417" i="3" s="1"/>
  <c r="G417" i="3"/>
  <c r="H417" i="3" s="1"/>
  <c r="E418" i="3"/>
  <c r="F418" i="3" s="1"/>
  <c r="G418" i="3"/>
  <c r="H418" i="3" s="1"/>
  <c r="E419" i="3"/>
  <c r="F419" i="3" s="1"/>
  <c r="G419" i="3"/>
  <c r="H419" i="3" s="1"/>
  <c r="E420" i="3"/>
  <c r="F420" i="3" s="1"/>
  <c r="G420" i="3"/>
  <c r="H420" i="3" s="1"/>
  <c r="E421" i="3"/>
  <c r="F421" i="3" s="1"/>
  <c r="G421" i="3"/>
  <c r="H421" i="3" s="1"/>
  <c r="E422" i="3"/>
  <c r="F422" i="3" s="1"/>
  <c r="G422" i="3"/>
  <c r="H422" i="3" s="1"/>
  <c r="E423" i="3"/>
  <c r="F423" i="3" s="1"/>
  <c r="G423" i="3"/>
  <c r="H423" i="3" s="1"/>
  <c r="E424" i="3"/>
  <c r="F424" i="3" s="1"/>
  <c r="G424" i="3"/>
  <c r="H424" i="3" s="1"/>
  <c r="E425" i="3"/>
  <c r="F425" i="3" s="1"/>
  <c r="G425" i="3"/>
  <c r="H425" i="3" s="1"/>
  <c r="E426" i="3"/>
  <c r="F426" i="3" s="1"/>
  <c r="G426" i="3"/>
  <c r="H426" i="3" s="1"/>
  <c r="E427" i="3"/>
  <c r="F427" i="3" s="1"/>
  <c r="G427" i="3"/>
  <c r="H427" i="3" s="1"/>
  <c r="E428" i="3"/>
  <c r="F428" i="3" s="1"/>
  <c r="G428" i="3"/>
  <c r="H428" i="3" s="1"/>
  <c r="E429" i="3"/>
  <c r="F429" i="3" s="1"/>
  <c r="G429" i="3"/>
  <c r="H429" i="3" s="1"/>
  <c r="E430" i="3"/>
  <c r="F430" i="3" s="1"/>
  <c r="G430" i="3"/>
  <c r="H430" i="3" s="1"/>
  <c r="E431" i="3"/>
  <c r="F431" i="3" s="1"/>
  <c r="G431" i="3"/>
  <c r="H431" i="3" s="1"/>
  <c r="E432" i="3"/>
  <c r="F432" i="3" s="1"/>
  <c r="G432" i="3"/>
  <c r="H432" i="3" s="1"/>
  <c r="E433" i="3"/>
  <c r="F433" i="3" s="1"/>
  <c r="G433" i="3"/>
  <c r="H433" i="3" s="1"/>
  <c r="E434" i="3"/>
  <c r="F434" i="3" s="1"/>
  <c r="G434" i="3"/>
  <c r="H434" i="3" s="1"/>
  <c r="E435" i="3"/>
  <c r="F435" i="3" s="1"/>
  <c r="G435" i="3"/>
  <c r="H435" i="3" s="1"/>
  <c r="E436" i="3"/>
  <c r="F436" i="3" s="1"/>
  <c r="G436" i="3"/>
  <c r="H436" i="3" s="1"/>
  <c r="E437" i="3"/>
  <c r="F437" i="3" s="1"/>
  <c r="G437" i="3"/>
  <c r="H437" i="3" s="1"/>
  <c r="E438" i="3"/>
  <c r="F438" i="3" s="1"/>
  <c r="G438" i="3"/>
  <c r="H438" i="3" s="1"/>
  <c r="E439" i="3"/>
  <c r="F439" i="3" s="1"/>
  <c r="G439" i="3"/>
  <c r="H439" i="3" s="1"/>
  <c r="E440" i="3"/>
  <c r="F440" i="3" s="1"/>
  <c r="G440" i="3"/>
  <c r="H440" i="3" s="1"/>
  <c r="E441" i="3"/>
  <c r="F441" i="3" s="1"/>
  <c r="G441" i="3"/>
  <c r="H441" i="3" s="1"/>
  <c r="E442" i="3"/>
  <c r="F442" i="3" s="1"/>
  <c r="G442" i="3"/>
  <c r="H442" i="3" s="1"/>
  <c r="E443" i="3"/>
  <c r="F443" i="3" s="1"/>
  <c r="G443" i="3"/>
  <c r="H443" i="3" s="1"/>
  <c r="E444" i="3"/>
  <c r="F444" i="3" s="1"/>
  <c r="G444" i="3"/>
  <c r="H444" i="3" s="1"/>
  <c r="E445" i="3"/>
  <c r="F445" i="3" s="1"/>
  <c r="G445" i="3"/>
  <c r="H445" i="3" s="1"/>
  <c r="E446" i="3"/>
  <c r="F446" i="3" s="1"/>
  <c r="G446" i="3"/>
  <c r="H446" i="3" s="1"/>
  <c r="E447" i="3"/>
  <c r="F447" i="3" s="1"/>
  <c r="G447" i="3"/>
  <c r="H447" i="3" s="1"/>
  <c r="E448" i="3"/>
  <c r="F448" i="3" s="1"/>
  <c r="G448" i="3"/>
  <c r="H448" i="3" s="1"/>
  <c r="E449" i="3"/>
  <c r="F449" i="3" s="1"/>
  <c r="G449" i="3"/>
  <c r="H449" i="3" s="1"/>
  <c r="E450" i="3"/>
  <c r="F450" i="3" s="1"/>
  <c r="G450" i="3"/>
  <c r="H450" i="3" s="1"/>
  <c r="E451" i="3"/>
  <c r="F451" i="3" s="1"/>
  <c r="G451" i="3"/>
  <c r="H451" i="3" s="1"/>
  <c r="E452" i="3"/>
  <c r="F452" i="3" s="1"/>
  <c r="G452" i="3"/>
  <c r="H452" i="3" s="1"/>
  <c r="E453" i="3"/>
  <c r="F453" i="3" s="1"/>
  <c r="G453" i="3"/>
  <c r="H453" i="3" s="1"/>
  <c r="E454" i="3"/>
  <c r="F454" i="3" s="1"/>
  <c r="G454" i="3"/>
  <c r="H454" i="3" s="1"/>
  <c r="E455" i="3"/>
  <c r="F455" i="3" s="1"/>
  <c r="G455" i="3"/>
  <c r="H455" i="3" s="1"/>
  <c r="E456" i="3"/>
  <c r="F456" i="3" s="1"/>
  <c r="G456" i="3"/>
  <c r="H456" i="3" s="1"/>
  <c r="E457" i="3"/>
  <c r="F457" i="3" s="1"/>
  <c r="G457" i="3"/>
  <c r="H457" i="3" s="1"/>
  <c r="E458" i="3"/>
  <c r="F458" i="3" s="1"/>
  <c r="G458" i="3"/>
  <c r="H458" i="3" s="1"/>
  <c r="E459" i="3"/>
  <c r="F459" i="3" s="1"/>
  <c r="G459" i="3"/>
  <c r="H459" i="3" s="1"/>
  <c r="E460" i="3"/>
  <c r="F460" i="3" s="1"/>
  <c r="G460" i="3"/>
  <c r="H460" i="3" s="1"/>
  <c r="E461" i="3"/>
  <c r="F461" i="3" s="1"/>
  <c r="G461" i="3"/>
  <c r="H461" i="3" s="1"/>
  <c r="E462" i="3"/>
  <c r="F462" i="3" s="1"/>
  <c r="G462" i="3"/>
  <c r="H462" i="3" s="1"/>
  <c r="E463" i="3"/>
  <c r="F463" i="3" s="1"/>
  <c r="G463" i="3"/>
  <c r="H463" i="3" s="1"/>
  <c r="E464" i="3"/>
  <c r="F464" i="3" s="1"/>
  <c r="G464" i="3"/>
  <c r="H464" i="3" s="1"/>
  <c r="E465" i="3"/>
  <c r="F465" i="3" s="1"/>
  <c r="G465" i="3"/>
  <c r="H465" i="3" s="1"/>
  <c r="E466" i="3"/>
  <c r="F466" i="3" s="1"/>
  <c r="G466" i="3"/>
  <c r="H466" i="3" s="1"/>
  <c r="E467" i="3"/>
  <c r="F467" i="3" s="1"/>
  <c r="G467" i="3"/>
  <c r="H467" i="3" s="1"/>
  <c r="E468" i="3"/>
  <c r="F468" i="3" s="1"/>
  <c r="G468" i="3"/>
  <c r="H468" i="3" s="1"/>
  <c r="E469" i="3"/>
  <c r="F469" i="3" s="1"/>
  <c r="G469" i="3"/>
  <c r="H469" i="3" s="1"/>
  <c r="E470" i="3"/>
  <c r="F470" i="3" s="1"/>
  <c r="G470" i="3"/>
  <c r="H470" i="3" s="1"/>
  <c r="E471" i="3"/>
  <c r="F471" i="3" s="1"/>
  <c r="G471" i="3"/>
  <c r="H471" i="3" s="1"/>
  <c r="E472" i="3"/>
  <c r="F472" i="3" s="1"/>
  <c r="G472" i="3"/>
  <c r="H472" i="3" s="1"/>
  <c r="E473" i="3"/>
  <c r="F473" i="3" s="1"/>
  <c r="G473" i="3"/>
  <c r="H473" i="3" s="1"/>
  <c r="E474" i="3"/>
  <c r="F474" i="3" s="1"/>
  <c r="G474" i="3"/>
  <c r="H474" i="3" s="1"/>
  <c r="E475" i="3"/>
  <c r="F475" i="3" s="1"/>
  <c r="G475" i="3"/>
  <c r="H475" i="3" s="1"/>
  <c r="E476" i="3"/>
  <c r="F476" i="3" s="1"/>
  <c r="G476" i="3"/>
  <c r="H476" i="3" s="1"/>
  <c r="E477" i="3"/>
  <c r="F477" i="3" s="1"/>
  <c r="G477" i="3"/>
  <c r="H477" i="3" s="1"/>
  <c r="E478" i="3"/>
  <c r="F478" i="3" s="1"/>
  <c r="G478" i="3"/>
  <c r="H478" i="3" s="1"/>
  <c r="E479" i="3"/>
  <c r="F479" i="3" s="1"/>
  <c r="G479" i="3"/>
  <c r="H479" i="3" s="1"/>
  <c r="E480" i="3"/>
  <c r="F480" i="3" s="1"/>
  <c r="G480" i="3"/>
  <c r="H480" i="3" s="1"/>
  <c r="E481" i="3"/>
  <c r="F481" i="3" s="1"/>
  <c r="G481" i="3"/>
  <c r="H481" i="3" s="1"/>
  <c r="E482" i="3"/>
  <c r="F482" i="3" s="1"/>
  <c r="G482" i="3"/>
  <c r="H482" i="3" s="1"/>
  <c r="E483" i="3"/>
  <c r="F483" i="3" s="1"/>
  <c r="G483" i="3"/>
  <c r="H483" i="3" s="1"/>
  <c r="E484" i="3"/>
  <c r="F484" i="3" s="1"/>
  <c r="G484" i="3"/>
  <c r="H484" i="3" s="1"/>
  <c r="E485" i="3"/>
  <c r="F485" i="3" s="1"/>
  <c r="G485" i="3"/>
  <c r="H485" i="3" s="1"/>
  <c r="E486" i="3"/>
  <c r="F486" i="3" s="1"/>
  <c r="G486" i="3"/>
  <c r="H486" i="3" s="1"/>
  <c r="E487" i="3"/>
  <c r="F487" i="3" s="1"/>
  <c r="G487" i="3"/>
  <c r="H487" i="3" s="1"/>
  <c r="E488" i="3"/>
  <c r="F488" i="3" s="1"/>
  <c r="G488" i="3"/>
  <c r="H488" i="3" s="1"/>
  <c r="E489" i="3"/>
  <c r="F489" i="3" s="1"/>
  <c r="G489" i="3"/>
  <c r="H489" i="3" s="1"/>
  <c r="E490" i="3"/>
  <c r="F490" i="3" s="1"/>
  <c r="G490" i="3"/>
  <c r="H490" i="3" s="1"/>
  <c r="E491" i="3"/>
  <c r="F491" i="3" s="1"/>
  <c r="G491" i="3"/>
  <c r="H491" i="3" s="1"/>
  <c r="E492" i="3"/>
  <c r="F492" i="3" s="1"/>
  <c r="G492" i="3"/>
  <c r="H492" i="3" s="1"/>
  <c r="E493" i="3"/>
  <c r="F493" i="3" s="1"/>
  <c r="G493" i="3"/>
  <c r="H493" i="3" s="1"/>
  <c r="E494" i="3"/>
  <c r="F494" i="3" s="1"/>
  <c r="G494" i="3"/>
  <c r="H494" i="3" s="1"/>
  <c r="E495" i="3"/>
  <c r="F495" i="3" s="1"/>
  <c r="G495" i="3"/>
  <c r="H495" i="3" s="1"/>
  <c r="E496" i="3"/>
  <c r="F496" i="3" s="1"/>
  <c r="G496" i="3"/>
  <c r="H496" i="3" s="1"/>
  <c r="E497" i="3"/>
  <c r="F497" i="3" s="1"/>
  <c r="G497" i="3"/>
  <c r="H497" i="3" s="1"/>
  <c r="E498" i="3"/>
  <c r="F498" i="3" s="1"/>
  <c r="G498" i="3"/>
  <c r="H498" i="3" s="1"/>
  <c r="E499" i="3"/>
  <c r="F499" i="3" s="1"/>
  <c r="G499" i="3"/>
  <c r="H499" i="3" s="1"/>
  <c r="E500" i="3"/>
  <c r="F500" i="3" s="1"/>
  <c r="G500" i="3"/>
  <c r="H500" i="3" s="1"/>
  <c r="E501" i="3"/>
  <c r="F501" i="3" s="1"/>
  <c r="G501" i="3"/>
  <c r="H501" i="3" s="1"/>
  <c r="E502" i="3"/>
  <c r="F502" i="3" s="1"/>
  <c r="G502" i="3"/>
  <c r="H502" i="3" s="1"/>
  <c r="E503" i="3"/>
  <c r="F503" i="3" s="1"/>
  <c r="G503" i="3"/>
  <c r="H503" i="3" s="1"/>
  <c r="E504" i="3"/>
  <c r="F504" i="3" s="1"/>
  <c r="G504" i="3"/>
  <c r="H504" i="3" s="1"/>
  <c r="E505" i="3"/>
  <c r="F505" i="3" s="1"/>
  <c r="G505" i="3"/>
  <c r="H505" i="3" s="1"/>
  <c r="E506" i="3"/>
  <c r="F506" i="3" s="1"/>
  <c r="G506" i="3"/>
  <c r="H506" i="3" s="1"/>
  <c r="E507" i="3"/>
  <c r="F507" i="3" s="1"/>
  <c r="G507" i="3"/>
  <c r="H507" i="3" s="1"/>
  <c r="E508" i="3"/>
  <c r="F508" i="3" s="1"/>
  <c r="G508" i="3"/>
  <c r="H508" i="3" s="1"/>
  <c r="E509" i="3"/>
  <c r="F509" i="3" s="1"/>
  <c r="G509" i="3"/>
  <c r="H509" i="3" s="1"/>
  <c r="E510" i="3"/>
  <c r="F510" i="3" s="1"/>
  <c r="G510" i="3"/>
  <c r="H510" i="3" s="1"/>
  <c r="E511" i="3"/>
  <c r="F511" i="3" s="1"/>
  <c r="G511" i="3"/>
  <c r="H511" i="3" s="1"/>
  <c r="E512" i="3"/>
  <c r="F512" i="3" s="1"/>
  <c r="G512" i="3"/>
  <c r="H512" i="3" s="1"/>
  <c r="E513" i="3"/>
  <c r="F513" i="3" s="1"/>
  <c r="G513" i="3"/>
  <c r="H513" i="3" s="1"/>
  <c r="E514" i="3"/>
  <c r="F514" i="3" s="1"/>
  <c r="G514" i="3"/>
  <c r="H514" i="3" s="1"/>
  <c r="E515" i="3"/>
  <c r="F515" i="3" s="1"/>
  <c r="G515" i="3"/>
  <c r="H515" i="3" s="1"/>
  <c r="E516" i="3"/>
  <c r="F516" i="3" s="1"/>
  <c r="G516" i="3"/>
  <c r="H516" i="3" s="1"/>
  <c r="E517" i="3"/>
  <c r="F517" i="3" s="1"/>
  <c r="G517" i="3"/>
  <c r="H517" i="3" s="1"/>
  <c r="E518" i="3"/>
  <c r="F518" i="3" s="1"/>
  <c r="G518" i="3"/>
  <c r="H518" i="3" s="1"/>
  <c r="E519" i="3"/>
  <c r="F519" i="3" s="1"/>
  <c r="G519" i="3"/>
  <c r="H519" i="3" s="1"/>
  <c r="E520" i="3"/>
  <c r="F520" i="3" s="1"/>
  <c r="G520" i="3"/>
  <c r="H520" i="3" s="1"/>
  <c r="E521" i="3"/>
  <c r="F521" i="3" s="1"/>
  <c r="G521" i="3"/>
  <c r="H521" i="3" s="1"/>
  <c r="E522" i="3"/>
  <c r="F522" i="3" s="1"/>
  <c r="G522" i="3"/>
  <c r="H522" i="3" s="1"/>
  <c r="E523" i="3"/>
  <c r="F523" i="3" s="1"/>
  <c r="G523" i="3"/>
  <c r="H523" i="3" s="1"/>
  <c r="E524" i="3"/>
  <c r="F524" i="3" s="1"/>
  <c r="G524" i="3"/>
  <c r="H524" i="3" s="1"/>
  <c r="E525" i="3"/>
  <c r="F525" i="3" s="1"/>
  <c r="G525" i="3"/>
  <c r="H525" i="3" s="1"/>
  <c r="E526" i="3"/>
  <c r="F526" i="3" s="1"/>
  <c r="G526" i="3"/>
  <c r="H526" i="3" s="1"/>
  <c r="E527" i="3"/>
  <c r="F527" i="3" s="1"/>
  <c r="G527" i="3"/>
  <c r="H527" i="3" s="1"/>
  <c r="E528" i="3"/>
  <c r="F528" i="3" s="1"/>
  <c r="G528" i="3"/>
  <c r="H528" i="3" s="1"/>
  <c r="E529" i="3"/>
  <c r="F529" i="3" s="1"/>
  <c r="G529" i="3"/>
  <c r="H529" i="3" s="1"/>
  <c r="E530" i="3"/>
  <c r="F530" i="3" s="1"/>
  <c r="G530" i="3"/>
  <c r="H530" i="3" s="1"/>
  <c r="E531" i="3"/>
  <c r="F531" i="3" s="1"/>
  <c r="G531" i="3"/>
  <c r="H531" i="3" s="1"/>
  <c r="E532" i="3"/>
  <c r="F532" i="3" s="1"/>
  <c r="G532" i="3"/>
  <c r="H532" i="3" s="1"/>
  <c r="E533" i="3"/>
  <c r="F533" i="3" s="1"/>
  <c r="G533" i="3"/>
  <c r="H533" i="3" s="1"/>
  <c r="E534" i="3"/>
  <c r="F534" i="3" s="1"/>
  <c r="G534" i="3"/>
  <c r="H534" i="3" s="1"/>
  <c r="E535" i="3"/>
  <c r="F535" i="3" s="1"/>
  <c r="G535" i="3"/>
  <c r="H535" i="3" s="1"/>
  <c r="E536" i="3"/>
  <c r="F536" i="3" s="1"/>
  <c r="G536" i="3"/>
  <c r="H536" i="3" s="1"/>
  <c r="E537" i="3"/>
  <c r="F537" i="3" s="1"/>
  <c r="G537" i="3"/>
  <c r="H537" i="3" s="1"/>
  <c r="E538" i="3"/>
  <c r="F538" i="3" s="1"/>
  <c r="G538" i="3"/>
  <c r="H538" i="3" s="1"/>
  <c r="E539" i="3"/>
  <c r="F539" i="3" s="1"/>
  <c r="G539" i="3"/>
  <c r="H539" i="3" s="1"/>
  <c r="E540" i="3"/>
  <c r="F540" i="3" s="1"/>
  <c r="G540" i="3"/>
  <c r="H540" i="3" s="1"/>
  <c r="E541" i="3"/>
  <c r="F541" i="3" s="1"/>
  <c r="G541" i="3"/>
  <c r="H541" i="3" s="1"/>
  <c r="E542" i="3"/>
  <c r="F542" i="3" s="1"/>
  <c r="G542" i="3"/>
  <c r="H542" i="3" s="1"/>
  <c r="E543" i="3"/>
  <c r="F543" i="3" s="1"/>
  <c r="G543" i="3"/>
  <c r="H543" i="3" s="1"/>
  <c r="E544" i="3"/>
  <c r="F544" i="3" s="1"/>
  <c r="G544" i="3"/>
  <c r="H544" i="3" s="1"/>
  <c r="E545" i="3"/>
  <c r="F545" i="3" s="1"/>
  <c r="G545" i="3"/>
  <c r="H545" i="3" s="1"/>
  <c r="E546" i="3"/>
  <c r="F546" i="3" s="1"/>
  <c r="G546" i="3"/>
  <c r="H546" i="3" s="1"/>
  <c r="E547" i="3"/>
  <c r="F547" i="3" s="1"/>
  <c r="G547" i="3"/>
  <c r="H547" i="3" s="1"/>
  <c r="E548" i="3"/>
  <c r="F548" i="3" s="1"/>
  <c r="G548" i="3"/>
  <c r="H548" i="3" s="1"/>
  <c r="E549" i="3"/>
  <c r="F549" i="3" s="1"/>
  <c r="G549" i="3"/>
  <c r="H549" i="3" s="1"/>
  <c r="E550" i="3"/>
  <c r="F550" i="3" s="1"/>
  <c r="G550" i="3"/>
  <c r="H550" i="3" s="1"/>
  <c r="E551" i="3"/>
  <c r="F551" i="3" s="1"/>
  <c r="G551" i="3"/>
  <c r="H551" i="3" s="1"/>
  <c r="E552" i="3"/>
  <c r="F552" i="3" s="1"/>
  <c r="G552" i="3"/>
  <c r="H552" i="3" s="1"/>
  <c r="E553" i="3"/>
  <c r="F553" i="3" s="1"/>
  <c r="G553" i="3"/>
  <c r="H553" i="3" s="1"/>
  <c r="E554" i="3"/>
  <c r="F554" i="3" s="1"/>
  <c r="G554" i="3"/>
  <c r="H554" i="3" s="1"/>
  <c r="E555" i="3"/>
  <c r="F555" i="3" s="1"/>
  <c r="G555" i="3"/>
  <c r="H555" i="3" s="1"/>
  <c r="E556" i="3"/>
  <c r="F556" i="3" s="1"/>
  <c r="G556" i="3"/>
  <c r="H556" i="3" s="1"/>
  <c r="E557" i="3"/>
  <c r="F557" i="3" s="1"/>
  <c r="G557" i="3"/>
  <c r="H557" i="3" s="1"/>
  <c r="E558" i="3"/>
  <c r="F558" i="3" s="1"/>
  <c r="G558" i="3"/>
  <c r="H558" i="3" s="1"/>
  <c r="E559" i="3"/>
  <c r="F559" i="3" s="1"/>
  <c r="G559" i="3"/>
  <c r="H559" i="3" s="1"/>
  <c r="E560" i="3"/>
  <c r="F560" i="3" s="1"/>
  <c r="G560" i="3"/>
  <c r="H560" i="3" s="1"/>
  <c r="E561" i="3"/>
  <c r="F561" i="3" s="1"/>
  <c r="G561" i="3"/>
  <c r="H561" i="3" s="1"/>
  <c r="E562" i="3"/>
  <c r="F562" i="3" s="1"/>
  <c r="G562" i="3"/>
  <c r="H562" i="3" s="1"/>
  <c r="E563" i="3"/>
  <c r="F563" i="3" s="1"/>
  <c r="G563" i="3"/>
  <c r="H563" i="3" s="1"/>
  <c r="E564" i="3"/>
  <c r="F564" i="3" s="1"/>
  <c r="G564" i="3"/>
  <c r="H564" i="3" s="1"/>
  <c r="E565" i="3"/>
  <c r="F565" i="3" s="1"/>
  <c r="G565" i="3"/>
  <c r="H565" i="3" s="1"/>
  <c r="E566" i="3"/>
  <c r="F566" i="3" s="1"/>
  <c r="G566" i="3"/>
  <c r="H566" i="3" s="1"/>
  <c r="E567" i="3"/>
  <c r="F567" i="3" s="1"/>
  <c r="G567" i="3"/>
  <c r="H567" i="3" s="1"/>
  <c r="E568" i="3"/>
  <c r="F568" i="3" s="1"/>
  <c r="G568" i="3"/>
  <c r="H568" i="3" s="1"/>
  <c r="E569" i="3"/>
  <c r="F569" i="3" s="1"/>
  <c r="G569" i="3"/>
  <c r="H569" i="3" s="1"/>
  <c r="E570" i="3"/>
  <c r="F570" i="3" s="1"/>
  <c r="G570" i="3"/>
  <c r="H570" i="3" s="1"/>
  <c r="E571" i="3"/>
  <c r="F571" i="3" s="1"/>
  <c r="G571" i="3"/>
  <c r="H571" i="3" s="1"/>
  <c r="E572" i="3"/>
  <c r="F572" i="3" s="1"/>
  <c r="G572" i="3"/>
  <c r="H572" i="3" s="1"/>
  <c r="E573" i="3"/>
  <c r="F573" i="3" s="1"/>
  <c r="G573" i="3"/>
  <c r="H573" i="3" s="1"/>
  <c r="E574" i="3"/>
  <c r="F574" i="3" s="1"/>
  <c r="G574" i="3"/>
  <c r="H574" i="3" s="1"/>
  <c r="E575" i="3"/>
  <c r="F575" i="3" s="1"/>
  <c r="G575" i="3"/>
  <c r="H575" i="3" s="1"/>
  <c r="E576" i="3"/>
  <c r="F576" i="3" s="1"/>
  <c r="G576" i="3"/>
  <c r="H576" i="3" s="1"/>
  <c r="E577" i="3"/>
  <c r="F577" i="3" s="1"/>
  <c r="G577" i="3"/>
  <c r="H577" i="3" s="1"/>
  <c r="E578" i="3"/>
  <c r="F578" i="3" s="1"/>
  <c r="G578" i="3"/>
  <c r="H578" i="3" s="1"/>
  <c r="E579" i="3"/>
  <c r="F579" i="3" s="1"/>
  <c r="G579" i="3"/>
  <c r="H579" i="3" s="1"/>
  <c r="E580" i="3"/>
  <c r="F580" i="3" s="1"/>
  <c r="G580" i="3"/>
  <c r="H580" i="3" s="1"/>
  <c r="E581" i="3"/>
  <c r="F581" i="3" s="1"/>
  <c r="G581" i="3"/>
  <c r="H581" i="3" s="1"/>
  <c r="E582" i="3"/>
  <c r="F582" i="3" s="1"/>
  <c r="G582" i="3"/>
  <c r="H582" i="3" s="1"/>
  <c r="E583" i="3"/>
  <c r="F583" i="3" s="1"/>
  <c r="G583" i="3"/>
  <c r="H583" i="3" s="1"/>
  <c r="E584" i="3"/>
  <c r="F584" i="3" s="1"/>
  <c r="G584" i="3"/>
  <c r="H584" i="3" s="1"/>
  <c r="E585" i="3"/>
  <c r="F585" i="3" s="1"/>
  <c r="G585" i="3"/>
  <c r="H585" i="3" s="1"/>
  <c r="E586" i="3"/>
  <c r="F586" i="3" s="1"/>
  <c r="G586" i="3"/>
  <c r="H586" i="3" s="1"/>
  <c r="E587" i="3"/>
  <c r="F587" i="3" s="1"/>
  <c r="G587" i="3"/>
  <c r="H587" i="3" s="1"/>
  <c r="E588" i="3"/>
  <c r="F588" i="3" s="1"/>
  <c r="G588" i="3"/>
  <c r="H588" i="3" s="1"/>
  <c r="E589" i="3"/>
  <c r="F589" i="3" s="1"/>
  <c r="G589" i="3"/>
  <c r="H589" i="3" s="1"/>
  <c r="E590" i="3"/>
  <c r="F590" i="3" s="1"/>
  <c r="G590" i="3"/>
  <c r="H590" i="3" s="1"/>
  <c r="E591" i="3"/>
  <c r="F591" i="3" s="1"/>
  <c r="G591" i="3"/>
  <c r="H591" i="3" s="1"/>
  <c r="E592" i="3"/>
  <c r="F592" i="3" s="1"/>
  <c r="G592" i="3"/>
  <c r="H592" i="3" s="1"/>
  <c r="E593" i="3"/>
  <c r="F593" i="3" s="1"/>
  <c r="G593" i="3"/>
  <c r="H593" i="3" s="1"/>
  <c r="E594" i="3"/>
  <c r="F594" i="3" s="1"/>
  <c r="G594" i="3"/>
  <c r="H594" i="3" s="1"/>
  <c r="E595" i="3"/>
  <c r="F595" i="3" s="1"/>
  <c r="G595" i="3"/>
  <c r="H595" i="3" s="1"/>
  <c r="E596" i="3"/>
  <c r="F596" i="3" s="1"/>
  <c r="G596" i="3"/>
  <c r="H596" i="3" s="1"/>
  <c r="E597" i="3"/>
  <c r="F597" i="3" s="1"/>
  <c r="G597" i="3"/>
  <c r="H597" i="3" s="1"/>
  <c r="E598" i="3"/>
  <c r="F598" i="3" s="1"/>
  <c r="G598" i="3"/>
  <c r="H598" i="3" s="1"/>
  <c r="E599" i="3"/>
  <c r="F599" i="3" s="1"/>
  <c r="G599" i="3"/>
  <c r="H599" i="3" s="1"/>
  <c r="E600" i="3"/>
  <c r="F600" i="3" s="1"/>
  <c r="G600" i="3"/>
  <c r="H600" i="3" s="1"/>
  <c r="E601" i="3"/>
  <c r="F601" i="3" s="1"/>
  <c r="G601" i="3"/>
  <c r="H601" i="3" s="1"/>
  <c r="E602" i="3"/>
  <c r="F602" i="3" s="1"/>
  <c r="G602" i="3"/>
  <c r="H602" i="3" s="1"/>
  <c r="E603" i="3"/>
  <c r="F603" i="3" s="1"/>
  <c r="G603" i="3"/>
  <c r="H603" i="3" s="1"/>
  <c r="E604" i="3"/>
  <c r="F604" i="3" s="1"/>
  <c r="G604" i="3"/>
  <c r="H604" i="3" s="1"/>
  <c r="E605" i="3"/>
  <c r="F605" i="3" s="1"/>
  <c r="G605" i="3"/>
  <c r="H605" i="3" s="1"/>
  <c r="E606" i="3"/>
  <c r="F606" i="3" s="1"/>
  <c r="G606" i="3"/>
  <c r="H606" i="3" s="1"/>
  <c r="E607" i="3"/>
  <c r="F607" i="3" s="1"/>
  <c r="G607" i="3"/>
  <c r="H607" i="3" s="1"/>
  <c r="E608" i="3"/>
  <c r="F608" i="3" s="1"/>
  <c r="G608" i="3"/>
  <c r="H608" i="3" s="1"/>
  <c r="E609" i="3"/>
  <c r="F609" i="3" s="1"/>
  <c r="G609" i="3"/>
  <c r="H609" i="3" s="1"/>
  <c r="E610" i="3"/>
  <c r="F610" i="3" s="1"/>
  <c r="G610" i="3"/>
  <c r="H610" i="3" s="1"/>
  <c r="E611" i="3"/>
  <c r="F611" i="3" s="1"/>
  <c r="G611" i="3"/>
  <c r="H611" i="3" s="1"/>
  <c r="E612" i="3"/>
  <c r="F612" i="3" s="1"/>
  <c r="G612" i="3"/>
  <c r="H612" i="3" s="1"/>
  <c r="E613" i="3"/>
  <c r="F613" i="3" s="1"/>
  <c r="G613" i="3"/>
  <c r="H613" i="3" s="1"/>
  <c r="E614" i="3"/>
  <c r="F614" i="3" s="1"/>
  <c r="G614" i="3"/>
  <c r="H614" i="3" s="1"/>
  <c r="E615" i="3"/>
  <c r="F615" i="3" s="1"/>
  <c r="G615" i="3"/>
  <c r="H615" i="3" s="1"/>
  <c r="E616" i="3"/>
  <c r="F616" i="3" s="1"/>
  <c r="G616" i="3"/>
  <c r="H616" i="3" s="1"/>
  <c r="E617" i="3"/>
  <c r="F617" i="3" s="1"/>
  <c r="G617" i="3"/>
  <c r="H617" i="3" s="1"/>
  <c r="E618" i="3"/>
  <c r="F618" i="3" s="1"/>
  <c r="G618" i="3"/>
  <c r="H618" i="3" s="1"/>
  <c r="E619" i="3"/>
  <c r="F619" i="3" s="1"/>
  <c r="G619" i="3"/>
  <c r="H619" i="3" s="1"/>
  <c r="E620" i="3"/>
  <c r="F620" i="3" s="1"/>
  <c r="G620" i="3"/>
  <c r="H620" i="3" s="1"/>
  <c r="E621" i="3"/>
  <c r="F621" i="3" s="1"/>
  <c r="G621" i="3"/>
  <c r="H621" i="3" s="1"/>
  <c r="E622" i="3"/>
  <c r="F622" i="3" s="1"/>
  <c r="G622" i="3"/>
  <c r="H622" i="3" s="1"/>
  <c r="E623" i="3"/>
  <c r="F623" i="3" s="1"/>
  <c r="G623" i="3"/>
  <c r="H623" i="3" s="1"/>
  <c r="E624" i="3"/>
  <c r="F624" i="3" s="1"/>
  <c r="G624" i="3"/>
  <c r="H624" i="3" s="1"/>
  <c r="E625" i="3"/>
  <c r="F625" i="3" s="1"/>
  <c r="G625" i="3"/>
  <c r="H625" i="3" s="1"/>
  <c r="E626" i="3"/>
  <c r="F626" i="3" s="1"/>
  <c r="G626" i="3"/>
  <c r="H626" i="3" s="1"/>
  <c r="E627" i="3"/>
  <c r="F627" i="3" s="1"/>
  <c r="G627" i="3"/>
  <c r="H627" i="3" s="1"/>
  <c r="E628" i="3"/>
  <c r="F628" i="3" s="1"/>
  <c r="G628" i="3"/>
  <c r="H628" i="3" s="1"/>
  <c r="E629" i="3"/>
  <c r="F629" i="3" s="1"/>
  <c r="G629" i="3"/>
  <c r="H629" i="3" s="1"/>
  <c r="E630" i="3"/>
  <c r="F630" i="3" s="1"/>
  <c r="G630" i="3"/>
  <c r="H630" i="3" s="1"/>
  <c r="E631" i="3"/>
  <c r="F631" i="3" s="1"/>
  <c r="G631" i="3"/>
  <c r="H631" i="3" s="1"/>
  <c r="E632" i="3"/>
  <c r="F632" i="3" s="1"/>
  <c r="G632" i="3"/>
  <c r="H632" i="3" s="1"/>
  <c r="E633" i="3"/>
  <c r="F633" i="3" s="1"/>
  <c r="G633" i="3"/>
  <c r="H633" i="3" s="1"/>
  <c r="E634" i="3"/>
  <c r="F634" i="3" s="1"/>
  <c r="G634" i="3"/>
  <c r="H634" i="3" s="1"/>
  <c r="E635" i="3"/>
  <c r="F635" i="3" s="1"/>
  <c r="G635" i="3"/>
  <c r="H635" i="3" s="1"/>
  <c r="E636" i="3"/>
  <c r="F636" i="3" s="1"/>
  <c r="G636" i="3"/>
  <c r="H636" i="3" s="1"/>
  <c r="E637" i="3"/>
  <c r="F637" i="3" s="1"/>
  <c r="G637" i="3"/>
  <c r="H637" i="3" s="1"/>
  <c r="E638" i="3"/>
  <c r="F638" i="3" s="1"/>
  <c r="G638" i="3"/>
  <c r="H638" i="3" s="1"/>
  <c r="E639" i="3"/>
  <c r="F639" i="3" s="1"/>
  <c r="G639" i="3"/>
  <c r="H639" i="3" s="1"/>
  <c r="E640" i="3"/>
  <c r="F640" i="3" s="1"/>
  <c r="G640" i="3"/>
  <c r="H640" i="3" s="1"/>
  <c r="E641" i="3"/>
  <c r="F641" i="3" s="1"/>
  <c r="G641" i="3"/>
  <c r="H641" i="3" s="1"/>
  <c r="E642" i="3"/>
  <c r="F642" i="3" s="1"/>
  <c r="G642" i="3"/>
  <c r="H642" i="3" s="1"/>
  <c r="E643" i="3"/>
  <c r="F643" i="3" s="1"/>
  <c r="G643" i="3"/>
  <c r="H643" i="3" s="1"/>
  <c r="E644" i="3"/>
  <c r="F644" i="3" s="1"/>
  <c r="G644" i="3"/>
  <c r="H644" i="3" s="1"/>
  <c r="E645" i="3"/>
  <c r="F645" i="3" s="1"/>
  <c r="G645" i="3"/>
  <c r="H645" i="3" s="1"/>
  <c r="E646" i="3"/>
  <c r="F646" i="3" s="1"/>
  <c r="G646" i="3"/>
  <c r="H646" i="3" s="1"/>
  <c r="E647" i="3"/>
  <c r="F647" i="3" s="1"/>
  <c r="G647" i="3"/>
  <c r="H647" i="3" s="1"/>
  <c r="E648" i="3"/>
  <c r="F648" i="3" s="1"/>
  <c r="G648" i="3"/>
  <c r="H648" i="3" s="1"/>
  <c r="E649" i="3"/>
  <c r="F649" i="3" s="1"/>
  <c r="G649" i="3"/>
  <c r="H649" i="3" s="1"/>
  <c r="E650" i="3"/>
  <c r="F650" i="3" s="1"/>
  <c r="G650" i="3"/>
  <c r="H650" i="3" s="1"/>
  <c r="E651" i="3"/>
  <c r="F651" i="3" s="1"/>
  <c r="G651" i="3"/>
  <c r="H651" i="3" s="1"/>
  <c r="E652" i="3"/>
  <c r="F652" i="3" s="1"/>
  <c r="G652" i="3"/>
  <c r="H652" i="3" s="1"/>
  <c r="E653" i="3"/>
  <c r="F653" i="3" s="1"/>
  <c r="G653" i="3"/>
  <c r="H653" i="3" s="1"/>
  <c r="E654" i="3"/>
  <c r="F654" i="3" s="1"/>
  <c r="G654" i="3"/>
  <c r="H654" i="3" s="1"/>
  <c r="E655" i="3"/>
  <c r="F655" i="3" s="1"/>
  <c r="G655" i="3"/>
  <c r="H655" i="3" s="1"/>
  <c r="E656" i="3"/>
  <c r="F656" i="3" s="1"/>
  <c r="G656" i="3"/>
  <c r="H656" i="3" s="1"/>
  <c r="E657" i="3"/>
  <c r="F657" i="3" s="1"/>
  <c r="G657" i="3"/>
  <c r="H657" i="3" s="1"/>
  <c r="E658" i="3"/>
  <c r="F658" i="3" s="1"/>
  <c r="G658" i="3"/>
  <c r="H658" i="3" s="1"/>
  <c r="E659" i="3"/>
  <c r="F659" i="3" s="1"/>
  <c r="G659" i="3"/>
  <c r="H659" i="3" s="1"/>
  <c r="E660" i="3"/>
  <c r="F660" i="3" s="1"/>
  <c r="G660" i="3"/>
  <c r="H660" i="3" s="1"/>
  <c r="E661" i="3"/>
  <c r="F661" i="3" s="1"/>
  <c r="G661" i="3"/>
  <c r="H661" i="3" s="1"/>
  <c r="E662" i="3"/>
  <c r="F662" i="3" s="1"/>
  <c r="G662" i="3"/>
  <c r="H662" i="3" s="1"/>
  <c r="E663" i="3"/>
  <c r="F663" i="3" s="1"/>
  <c r="G663" i="3"/>
  <c r="H663" i="3" s="1"/>
  <c r="E664" i="3"/>
  <c r="F664" i="3" s="1"/>
  <c r="G664" i="3"/>
  <c r="H664" i="3" s="1"/>
  <c r="E665" i="3"/>
  <c r="F665" i="3" s="1"/>
  <c r="G665" i="3"/>
  <c r="H665" i="3" s="1"/>
  <c r="E666" i="3"/>
  <c r="F666" i="3" s="1"/>
  <c r="G666" i="3"/>
  <c r="H666" i="3" s="1"/>
  <c r="E667" i="3"/>
  <c r="F667" i="3" s="1"/>
  <c r="G667" i="3"/>
  <c r="H667" i="3" s="1"/>
  <c r="E668" i="3"/>
  <c r="F668" i="3" s="1"/>
  <c r="G668" i="3"/>
  <c r="H668" i="3" s="1"/>
  <c r="E669" i="3"/>
  <c r="F669" i="3" s="1"/>
  <c r="G669" i="3"/>
  <c r="H669" i="3" s="1"/>
  <c r="E670" i="3"/>
  <c r="F670" i="3" s="1"/>
  <c r="G670" i="3"/>
  <c r="H670" i="3" s="1"/>
  <c r="E671" i="3"/>
  <c r="F671" i="3" s="1"/>
  <c r="G671" i="3"/>
  <c r="H671" i="3" s="1"/>
  <c r="E672" i="3"/>
  <c r="F672" i="3" s="1"/>
  <c r="G672" i="3"/>
  <c r="H672" i="3" s="1"/>
  <c r="E673" i="3"/>
  <c r="F673" i="3" s="1"/>
  <c r="G673" i="3"/>
  <c r="H673" i="3" s="1"/>
  <c r="E674" i="3"/>
  <c r="F674" i="3" s="1"/>
  <c r="G674" i="3"/>
  <c r="H674" i="3" s="1"/>
  <c r="E675" i="3"/>
  <c r="F675" i="3" s="1"/>
  <c r="G675" i="3"/>
  <c r="H675" i="3" s="1"/>
  <c r="E676" i="3"/>
  <c r="F676" i="3" s="1"/>
  <c r="G676" i="3"/>
  <c r="H676" i="3" s="1"/>
  <c r="E677" i="3"/>
  <c r="F677" i="3" s="1"/>
  <c r="G677" i="3"/>
  <c r="H677" i="3" s="1"/>
  <c r="E678" i="3"/>
  <c r="F678" i="3" s="1"/>
  <c r="G678" i="3"/>
  <c r="H678" i="3" s="1"/>
  <c r="E679" i="3"/>
  <c r="F679" i="3" s="1"/>
  <c r="G679" i="3"/>
  <c r="H679" i="3" s="1"/>
  <c r="E680" i="3"/>
  <c r="F680" i="3" s="1"/>
  <c r="G680" i="3"/>
  <c r="H680" i="3" s="1"/>
  <c r="E681" i="3"/>
  <c r="F681" i="3" s="1"/>
  <c r="G681" i="3"/>
  <c r="H681" i="3" s="1"/>
  <c r="E682" i="3"/>
  <c r="F682" i="3" s="1"/>
  <c r="G682" i="3"/>
  <c r="H682" i="3" s="1"/>
  <c r="E683" i="3"/>
  <c r="F683" i="3" s="1"/>
  <c r="G683" i="3"/>
  <c r="H683" i="3" s="1"/>
  <c r="E684" i="3"/>
  <c r="F684" i="3" s="1"/>
  <c r="G684" i="3"/>
  <c r="H684" i="3" s="1"/>
  <c r="E685" i="3"/>
  <c r="F685" i="3" s="1"/>
  <c r="G685" i="3"/>
  <c r="H685" i="3" s="1"/>
  <c r="E686" i="3"/>
  <c r="F686" i="3" s="1"/>
  <c r="G686" i="3"/>
  <c r="H686" i="3" s="1"/>
  <c r="E687" i="3"/>
  <c r="F687" i="3" s="1"/>
  <c r="G687" i="3"/>
  <c r="H687" i="3" s="1"/>
  <c r="E688" i="3"/>
  <c r="F688" i="3" s="1"/>
  <c r="G688" i="3"/>
  <c r="H688" i="3" s="1"/>
  <c r="E689" i="3"/>
  <c r="F689" i="3" s="1"/>
  <c r="G689" i="3"/>
  <c r="H689" i="3" s="1"/>
  <c r="E690" i="3"/>
  <c r="F690" i="3" s="1"/>
  <c r="G690" i="3"/>
  <c r="H690" i="3" s="1"/>
  <c r="E691" i="3"/>
  <c r="F691" i="3" s="1"/>
  <c r="G691" i="3"/>
  <c r="H691" i="3" s="1"/>
  <c r="E692" i="3"/>
  <c r="F692" i="3" s="1"/>
  <c r="G692" i="3"/>
  <c r="H692" i="3" s="1"/>
  <c r="E693" i="3"/>
  <c r="F693" i="3" s="1"/>
  <c r="G693" i="3"/>
  <c r="H693" i="3" s="1"/>
  <c r="E694" i="3"/>
  <c r="F694" i="3" s="1"/>
  <c r="G694" i="3"/>
  <c r="H694" i="3" s="1"/>
  <c r="E695" i="3"/>
  <c r="F695" i="3" s="1"/>
  <c r="G695" i="3"/>
  <c r="H695" i="3" s="1"/>
  <c r="E696" i="3"/>
  <c r="F696" i="3" s="1"/>
  <c r="G696" i="3"/>
  <c r="H696" i="3" s="1"/>
  <c r="E697" i="3"/>
  <c r="F697" i="3" s="1"/>
  <c r="G697" i="3"/>
  <c r="H697" i="3" s="1"/>
  <c r="E698" i="3"/>
  <c r="F698" i="3" s="1"/>
  <c r="G698" i="3"/>
  <c r="H698" i="3" s="1"/>
  <c r="E699" i="3"/>
  <c r="F699" i="3" s="1"/>
  <c r="G699" i="3"/>
  <c r="H699" i="3" s="1"/>
  <c r="E700" i="3"/>
  <c r="F700" i="3" s="1"/>
  <c r="G700" i="3"/>
  <c r="H700" i="3" s="1"/>
  <c r="E701" i="3"/>
  <c r="F701" i="3" s="1"/>
  <c r="G701" i="3"/>
  <c r="H701" i="3" s="1"/>
  <c r="E702" i="3"/>
  <c r="F702" i="3" s="1"/>
  <c r="G702" i="3"/>
  <c r="H702" i="3" s="1"/>
  <c r="E703" i="3"/>
  <c r="F703" i="3" s="1"/>
  <c r="G703" i="3"/>
  <c r="H703" i="3" s="1"/>
  <c r="E704" i="3"/>
  <c r="F704" i="3" s="1"/>
  <c r="G704" i="3"/>
  <c r="H704" i="3" s="1"/>
  <c r="E705" i="3"/>
  <c r="F705" i="3" s="1"/>
  <c r="G705" i="3"/>
  <c r="H705" i="3" s="1"/>
  <c r="E706" i="3"/>
  <c r="F706" i="3" s="1"/>
  <c r="G706" i="3"/>
  <c r="H706" i="3" s="1"/>
  <c r="E707" i="3"/>
  <c r="F707" i="3" s="1"/>
  <c r="G707" i="3"/>
  <c r="H707" i="3" s="1"/>
  <c r="E708" i="3"/>
  <c r="F708" i="3" s="1"/>
  <c r="G708" i="3"/>
  <c r="H708" i="3" s="1"/>
  <c r="E709" i="3"/>
  <c r="F709" i="3" s="1"/>
  <c r="G709" i="3"/>
  <c r="H709" i="3" s="1"/>
  <c r="E710" i="3"/>
  <c r="F710" i="3" s="1"/>
  <c r="G710" i="3"/>
  <c r="H710" i="3" s="1"/>
  <c r="E711" i="3"/>
  <c r="F711" i="3" s="1"/>
  <c r="G711" i="3"/>
  <c r="H711" i="3" s="1"/>
  <c r="E712" i="3"/>
  <c r="F712" i="3" s="1"/>
  <c r="G712" i="3"/>
  <c r="H712" i="3" s="1"/>
  <c r="E713" i="3"/>
  <c r="F713" i="3" s="1"/>
  <c r="G713" i="3"/>
  <c r="H713" i="3" s="1"/>
  <c r="E714" i="3"/>
  <c r="F714" i="3" s="1"/>
  <c r="G714" i="3"/>
  <c r="H714" i="3" s="1"/>
  <c r="E715" i="3"/>
  <c r="F715" i="3" s="1"/>
  <c r="G715" i="3"/>
  <c r="H715" i="3" s="1"/>
  <c r="E716" i="3"/>
  <c r="F716" i="3" s="1"/>
  <c r="G716" i="3"/>
  <c r="H716" i="3" s="1"/>
  <c r="E717" i="3"/>
  <c r="F717" i="3" s="1"/>
  <c r="G717" i="3"/>
  <c r="H717" i="3" s="1"/>
  <c r="E718" i="3"/>
  <c r="F718" i="3" s="1"/>
  <c r="G718" i="3"/>
  <c r="H718" i="3" s="1"/>
  <c r="E719" i="3"/>
  <c r="F719" i="3" s="1"/>
  <c r="G719" i="3"/>
  <c r="H719" i="3" s="1"/>
  <c r="E720" i="3"/>
  <c r="F720" i="3" s="1"/>
  <c r="G720" i="3"/>
  <c r="H720" i="3" s="1"/>
  <c r="E721" i="3"/>
  <c r="F721" i="3" s="1"/>
  <c r="G721" i="3"/>
  <c r="H721" i="3" s="1"/>
  <c r="E722" i="3"/>
  <c r="F722" i="3" s="1"/>
  <c r="G722" i="3"/>
  <c r="H722" i="3" s="1"/>
  <c r="E723" i="3"/>
  <c r="F723" i="3" s="1"/>
  <c r="G723" i="3"/>
  <c r="H723" i="3" s="1"/>
  <c r="E724" i="3"/>
  <c r="F724" i="3" s="1"/>
  <c r="G724" i="3"/>
  <c r="H724" i="3" s="1"/>
  <c r="E725" i="3"/>
  <c r="F725" i="3" s="1"/>
  <c r="G725" i="3"/>
  <c r="H725" i="3" s="1"/>
  <c r="E726" i="3"/>
  <c r="F726" i="3" s="1"/>
  <c r="G726" i="3"/>
  <c r="H726" i="3" s="1"/>
  <c r="E727" i="3"/>
  <c r="F727" i="3" s="1"/>
  <c r="G727" i="3"/>
  <c r="H727" i="3" s="1"/>
  <c r="E728" i="3"/>
  <c r="F728" i="3" s="1"/>
  <c r="G728" i="3"/>
  <c r="H728" i="3" s="1"/>
  <c r="E729" i="3"/>
  <c r="F729" i="3" s="1"/>
  <c r="G729" i="3"/>
  <c r="H729" i="3" s="1"/>
  <c r="E730" i="3"/>
  <c r="F730" i="3" s="1"/>
  <c r="G730" i="3"/>
  <c r="H730" i="3" s="1"/>
  <c r="E731" i="3"/>
  <c r="F731" i="3" s="1"/>
  <c r="G731" i="3"/>
  <c r="H731" i="3" s="1"/>
  <c r="E732" i="3"/>
  <c r="F732" i="3" s="1"/>
  <c r="G732" i="3"/>
  <c r="H732" i="3" s="1"/>
  <c r="E733" i="3"/>
  <c r="F733" i="3" s="1"/>
  <c r="G733" i="3"/>
  <c r="H733" i="3" s="1"/>
  <c r="E734" i="3"/>
  <c r="F734" i="3" s="1"/>
  <c r="G734" i="3"/>
  <c r="H734" i="3" s="1"/>
  <c r="E735" i="3"/>
  <c r="F735" i="3" s="1"/>
  <c r="G735" i="3"/>
  <c r="H735" i="3" s="1"/>
  <c r="E736" i="3"/>
  <c r="F736" i="3" s="1"/>
  <c r="G736" i="3"/>
  <c r="H736" i="3" s="1"/>
  <c r="E737" i="3"/>
  <c r="F737" i="3" s="1"/>
  <c r="G737" i="3"/>
  <c r="H737" i="3" s="1"/>
  <c r="E738" i="3"/>
  <c r="F738" i="3" s="1"/>
  <c r="G738" i="3"/>
  <c r="H738" i="3" s="1"/>
  <c r="E739" i="3"/>
  <c r="F739" i="3" s="1"/>
  <c r="G739" i="3"/>
  <c r="H739" i="3" s="1"/>
  <c r="E740" i="3"/>
  <c r="F740" i="3" s="1"/>
  <c r="G740" i="3"/>
  <c r="H740" i="3" s="1"/>
  <c r="E741" i="3"/>
  <c r="F741" i="3" s="1"/>
  <c r="G741" i="3"/>
  <c r="H741" i="3" s="1"/>
  <c r="E742" i="3"/>
  <c r="F742" i="3" s="1"/>
  <c r="G742" i="3"/>
  <c r="H742" i="3" s="1"/>
  <c r="E743" i="3"/>
  <c r="F743" i="3" s="1"/>
  <c r="G743" i="3"/>
  <c r="H743" i="3" s="1"/>
  <c r="E744" i="3"/>
  <c r="F744" i="3" s="1"/>
  <c r="G744" i="3"/>
  <c r="H744" i="3" s="1"/>
  <c r="E745" i="3"/>
  <c r="F745" i="3" s="1"/>
  <c r="G745" i="3"/>
  <c r="H745" i="3" s="1"/>
  <c r="E746" i="3"/>
  <c r="F746" i="3" s="1"/>
  <c r="G746" i="3"/>
  <c r="H746" i="3" s="1"/>
  <c r="E747" i="3"/>
  <c r="F747" i="3" s="1"/>
  <c r="G747" i="3"/>
  <c r="H747" i="3" s="1"/>
  <c r="E748" i="3"/>
  <c r="F748" i="3" s="1"/>
  <c r="G748" i="3"/>
  <c r="H748" i="3" s="1"/>
  <c r="E749" i="3"/>
  <c r="F749" i="3" s="1"/>
  <c r="G749" i="3"/>
  <c r="H749" i="3" s="1"/>
  <c r="E750" i="3"/>
  <c r="F750" i="3" s="1"/>
  <c r="G750" i="3"/>
  <c r="H750" i="3" s="1"/>
  <c r="E751" i="3"/>
  <c r="F751" i="3" s="1"/>
  <c r="G751" i="3"/>
  <c r="H751" i="3" s="1"/>
  <c r="E752" i="3"/>
  <c r="F752" i="3" s="1"/>
  <c r="G752" i="3"/>
  <c r="H752" i="3" s="1"/>
  <c r="E753" i="3"/>
  <c r="F753" i="3" s="1"/>
  <c r="G753" i="3"/>
  <c r="H753" i="3" s="1"/>
  <c r="E754" i="3"/>
  <c r="F754" i="3" s="1"/>
  <c r="G754" i="3"/>
  <c r="H754" i="3" s="1"/>
  <c r="E755" i="3"/>
  <c r="F755" i="3" s="1"/>
  <c r="G755" i="3"/>
  <c r="H755" i="3" s="1"/>
  <c r="E756" i="3"/>
  <c r="F756" i="3" s="1"/>
  <c r="G756" i="3"/>
  <c r="H756" i="3" s="1"/>
  <c r="E757" i="3"/>
  <c r="F757" i="3" s="1"/>
  <c r="G757" i="3"/>
  <c r="H757" i="3" s="1"/>
  <c r="E758" i="3"/>
  <c r="F758" i="3" s="1"/>
  <c r="G758" i="3"/>
  <c r="H758" i="3" s="1"/>
  <c r="E759" i="3"/>
  <c r="F759" i="3" s="1"/>
  <c r="G759" i="3"/>
  <c r="H759" i="3" s="1"/>
  <c r="E760" i="3"/>
  <c r="F760" i="3" s="1"/>
  <c r="G760" i="3"/>
  <c r="H760" i="3" s="1"/>
  <c r="E761" i="3"/>
  <c r="F761" i="3" s="1"/>
  <c r="G761" i="3"/>
  <c r="H761" i="3" s="1"/>
  <c r="E762" i="3"/>
  <c r="F762" i="3" s="1"/>
  <c r="G762" i="3"/>
  <c r="H762" i="3" s="1"/>
  <c r="E763" i="3"/>
  <c r="F763" i="3" s="1"/>
  <c r="G763" i="3"/>
  <c r="H763" i="3" s="1"/>
  <c r="E764" i="3"/>
  <c r="F764" i="3" s="1"/>
  <c r="G764" i="3"/>
  <c r="H764" i="3" s="1"/>
  <c r="E765" i="3"/>
  <c r="F765" i="3" s="1"/>
  <c r="G765" i="3"/>
  <c r="H765" i="3" s="1"/>
  <c r="E766" i="3"/>
  <c r="F766" i="3" s="1"/>
  <c r="G766" i="3"/>
  <c r="H766" i="3" s="1"/>
  <c r="E767" i="3"/>
  <c r="F767" i="3" s="1"/>
  <c r="G767" i="3"/>
  <c r="H767" i="3" s="1"/>
  <c r="E768" i="3"/>
  <c r="F768" i="3" s="1"/>
  <c r="G768" i="3"/>
  <c r="H768" i="3" s="1"/>
  <c r="E769" i="3"/>
  <c r="F769" i="3" s="1"/>
  <c r="G769" i="3"/>
  <c r="H769" i="3" s="1"/>
  <c r="E770" i="3"/>
  <c r="F770" i="3" s="1"/>
  <c r="G770" i="3"/>
  <c r="H770" i="3" s="1"/>
  <c r="E771" i="3"/>
  <c r="F771" i="3" s="1"/>
  <c r="G771" i="3"/>
  <c r="H771" i="3" s="1"/>
  <c r="E772" i="3"/>
  <c r="F772" i="3" s="1"/>
  <c r="G772" i="3"/>
  <c r="H772" i="3" s="1"/>
  <c r="E773" i="3"/>
  <c r="F773" i="3" s="1"/>
  <c r="G773" i="3"/>
  <c r="H773" i="3" s="1"/>
  <c r="E774" i="3"/>
  <c r="F774" i="3" s="1"/>
  <c r="G774" i="3"/>
  <c r="H774" i="3" s="1"/>
  <c r="E775" i="3"/>
  <c r="F775" i="3" s="1"/>
  <c r="G775" i="3"/>
  <c r="H775" i="3" s="1"/>
  <c r="E776" i="3"/>
  <c r="F776" i="3" s="1"/>
  <c r="G776" i="3"/>
  <c r="H776" i="3" s="1"/>
  <c r="E777" i="3"/>
  <c r="F777" i="3" s="1"/>
  <c r="G777" i="3"/>
  <c r="H777" i="3" s="1"/>
  <c r="E778" i="3"/>
  <c r="F778" i="3" s="1"/>
  <c r="G778" i="3"/>
  <c r="H778" i="3" s="1"/>
  <c r="E779" i="3"/>
  <c r="F779" i="3" s="1"/>
  <c r="G779" i="3"/>
  <c r="H779" i="3" s="1"/>
  <c r="E780" i="3"/>
  <c r="F780" i="3" s="1"/>
  <c r="G780" i="3"/>
  <c r="H780" i="3" s="1"/>
  <c r="E781" i="3"/>
  <c r="F781" i="3" s="1"/>
  <c r="G781" i="3"/>
  <c r="H781" i="3" s="1"/>
  <c r="E782" i="3"/>
  <c r="F782" i="3" s="1"/>
  <c r="G782" i="3"/>
  <c r="H782" i="3" s="1"/>
  <c r="E783" i="3"/>
  <c r="F783" i="3" s="1"/>
  <c r="G783" i="3"/>
  <c r="H783" i="3" s="1"/>
  <c r="E784" i="3"/>
  <c r="F784" i="3" s="1"/>
  <c r="G784" i="3"/>
  <c r="H784" i="3" s="1"/>
  <c r="E785" i="3"/>
  <c r="F785" i="3" s="1"/>
  <c r="G785" i="3"/>
  <c r="H785" i="3" s="1"/>
  <c r="E786" i="3"/>
  <c r="F786" i="3" s="1"/>
  <c r="G786" i="3"/>
  <c r="H786" i="3" s="1"/>
  <c r="E787" i="3"/>
  <c r="F787" i="3" s="1"/>
  <c r="G787" i="3"/>
  <c r="H787" i="3" s="1"/>
  <c r="E788" i="3"/>
  <c r="F788" i="3" s="1"/>
  <c r="G788" i="3"/>
  <c r="H788" i="3" s="1"/>
  <c r="E789" i="3"/>
  <c r="F789" i="3" s="1"/>
  <c r="G789" i="3"/>
  <c r="H789" i="3" s="1"/>
  <c r="E790" i="3"/>
  <c r="F790" i="3" s="1"/>
  <c r="G790" i="3"/>
  <c r="H790" i="3" s="1"/>
  <c r="E791" i="3"/>
  <c r="F791" i="3" s="1"/>
  <c r="G791" i="3"/>
  <c r="H791" i="3" s="1"/>
  <c r="E792" i="3"/>
  <c r="F792" i="3" s="1"/>
  <c r="G792" i="3"/>
  <c r="H792" i="3" s="1"/>
  <c r="E793" i="3"/>
  <c r="F793" i="3" s="1"/>
  <c r="G793" i="3"/>
  <c r="H793" i="3" s="1"/>
  <c r="E794" i="3"/>
  <c r="F794" i="3" s="1"/>
  <c r="G794" i="3"/>
  <c r="H794" i="3" s="1"/>
  <c r="E795" i="3"/>
  <c r="F795" i="3" s="1"/>
  <c r="G795" i="3"/>
  <c r="H795" i="3" s="1"/>
  <c r="E796" i="3"/>
  <c r="F796" i="3" s="1"/>
  <c r="G796" i="3"/>
  <c r="H796" i="3" s="1"/>
  <c r="E797" i="3"/>
  <c r="F797" i="3" s="1"/>
  <c r="G797" i="3"/>
  <c r="H797" i="3" s="1"/>
  <c r="E798" i="3"/>
  <c r="F798" i="3" s="1"/>
  <c r="G798" i="3"/>
  <c r="H798" i="3" s="1"/>
  <c r="E799" i="3"/>
  <c r="F799" i="3" s="1"/>
  <c r="G799" i="3"/>
  <c r="H799" i="3" s="1"/>
  <c r="E800" i="3"/>
  <c r="F800" i="3" s="1"/>
  <c r="G800" i="3"/>
  <c r="H800" i="3" s="1"/>
  <c r="E801" i="3"/>
  <c r="F801" i="3" s="1"/>
  <c r="G801" i="3"/>
  <c r="H801" i="3" s="1"/>
  <c r="E802" i="3"/>
  <c r="F802" i="3" s="1"/>
  <c r="G802" i="3"/>
  <c r="H802" i="3" s="1"/>
  <c r="E803" i="3"/>
  <c r="F803" i="3" s="1"/>
  <c r="G803" i="3"/>
  <c r="H803" i="3" s="1"/>
  <c r="E804" i="3"/>
  <c r="F804" i="3" s="1"/>
  <c r="G804" i="3"/>
  <c r="H804" i="3" s="1"/>
  <c r="E805" i="3"/>
  <c r="F805" i="3" s="1"/>
  <c r="G805" i="3"/>
  <c r="H805" i="3" s="1"/>
  <c r="E806" i="3"/>
  <c r="F806" i="3" s="1"/>
  <c r="G806" i="3"/>
  <c r="H806" i="3" s="1"/>
  <c r="E807" i="3"/>
  <c r="F807" i="3" s="1"/>
  <c r="G807" i="3"/>
  <c r="H807" i="3" s="1"/>
  <c r="E808" i="3"/>
  <c r="F808" i="3" s="1"/>
  <c r="G808" i="3"/>
  <c r="H808" i="3" s="1"/>
  <c r="E809" i="3"/>
  <c r="F809" i="3" s="1"/>
  <c r="G809" i="3"/>
  <c r="H809" i="3" s="1"/>
  <c r="E810" i="3"/>
  <c r="F810" i="3" s="1"/>
  <c r="G810" i="3"/>
  <c r="H810" i="3" s="1"/>
  <c r="E811" i="3"/>
  <c r="F811" i="3" s="1"/>
  <c r="G811" i="3"/>
  <c r="H811" i="3" s="1"/>
  <c r="E812" i="3"/>
  <c r="F812" i="3" s="1"/>
  <c r="G812" i="3"/>
  <c r="H812" i="3" s="1"/>
  <c r="E813" i="3"/>
  <c r="F813" i="3" s="1"/>
  <c r="G813" i="3"/>
  <c r="H813" i="3" s="1"/>
  <c r="E814" i="3"/>
  <c r="F814" i="3" s="1"/>
  <c r="G814" i="3"/>
  <c r="H814" i="3" s="1"/>
  <c r="E815" i="3"/>
  <c r="F815" i="3" s="1"/>
  <c r="G815" i="3"/>
  <c r="H815" i="3" s="1"/>
  <c r="E816" i="3"/>
  <c r="F816" i="3" s="1"/>
  <c r="G816" i="3"/>
  <c r="H816" i="3" s="1"/>
  <c r="E817" i="3"/>
  <c r="F817" i="3" s="1"/>
  <c r="G817" i="3"/>
  <c r="H817" i="3" s="1"/>
  <c r="E818" i="3"/>
  <c r="F818" i="3" s="1"/>
  <c r="G818" i="3"/>
  <c r="H818" i="3" s="1"/>
  <c r="E819" i="3"/>
  <c r="F819" i="3" s="1"/>
  <c r="G819" i="3"/>
  <c r="H819" i="3" s="1"/>
  <c r="E820" i="3"/>
  <c r="F820" i="3" s="1"/>
  <c r="G820" i="3"/>
  <c r="H820" i="3" s="1"/>
  <c r="E821" i="3"/>
  <c r="F821" i="3" s="1"/>
  <c r="G821" i="3"/>
  <c r="H821" i="3" s="1"/>
  <c r="E822" i="3"/>
  <c r="F822" i="3" s="1"/>
  <c r="G822" i="3"/>
  <c r="H822" i="3" s="1"/>
  <c r="E823" i="3"/>
  <c r="F823" i="3" s="1"/>
  <c r="G823" i="3"/>
  <c r="H823" i="3" s="1"/>
  <c r="E824" i="3"/>
  <c r="F824" i="3" s="1"/>
  <c r="G824" i="3"/>
  <c r="H824" i="3" s="1"/>
  <c r="E825" i="3"/>
  <c r="F825" i="3" s="1"/>
  <c r="G825" i="3"/>
  <c r="H825" i="3" s="1"/>
  <c r="E826" i="3"/>
  <c r="F826" i="3" s="1"/>
  <c r="G826" i="3"/>
  <c r="H826" i="3" s="1"/>
  <c r="E827" i="3"/>
  <c r="F827" i="3" s="1"/>
  <c r="G827" i="3"/>
  <c r="H827" i="3" s="1"/>
  <c r="E828" i="3"/>
  <c r="F828" i="3" s="1"/>
  <c r="G828" i="3"/>
  <c r="H828" i="3" s="1"/>
  <c r="E829" i="3"/>
  <c r="F829" i="3" s="1"/>
  <c r="G829" i="3"/>
  <c r="H829" i="3" s="1"/>
  <c r="E830" i="3"/>
  <c r="F830" i="3" s="1"/>
  <c r="G830" i="3"/>
  <c r="H830" i="3" s="1"/>
  <c r="E831" i="3"/>
  <c r="F831" i="3" s="1"/>
  <c r="G831" i="3"/>
  <c r="H831" i="3" s="1"/>
  <c r="E832" i="3"/>
  <c r="F832" i="3" s="1"/>
  <c r="G832" i="3"/>
  <c r="H832" i="3" s="1"/>
  <c r="E833" i="3"/>
  <c r="F833" i="3" s="1"/>
  <c r="G833" i="3"/>
  <c r="H833" i="3" s="1"/>
  <c r="E834" i="3"/>
  <c r="F834" i="3" s="1"/>
  <c r="G834" i="3"/>
  <c r="H834" i="3" s="1"/>
  <c r="E835" i="3"/>
  <c r="F835" i="3" s="1"/>
  <c r="G835" i="3"/>
  <c r="H835" i="3" s="1"/>
  <c r="E836" i="3"/>
  <c r="F836" i="3" s="1"/>
  <c r="G836" i="3"/>
  <c r="H836" i="3" s="1"/>
  <c r="E837" i="3"/>
  <c r="F837" i="3" s="1"/>
  <c r="G837" i="3"/>
  <c r="H837" i="3" s="1"/>
  <c r="E838" i="3"/>
  <c r="F838" i="3" s="1"/>
  <c r="G838" i="3"/>
  <c r="H838" i="3" s="1"/>
  <c r="E839" i="3"/>
  <c r="F839" i="3" s="1"/>
  <c r="G839" i="3"/>
  <c r="H839" i="3" s="1"/>
  <c r="E840" i="3"/>
  <c r="F840" i="3" s="1"/>
  <c r="G840" i="3"/>
  <c r="H840" i="3" s="1"/>
  <c r="E841" i="3"/>
  <c r="F841" i="3" s="1"/>
  <c r="G841" i="3"/>
  <c r="H841" i="3" s="1"/>
  <c r="E842" i="3"/>
  <c r="F842" i="3" s="1"/>
  <c r="G842" i="3"/>
  <c r="H842" i="3" s="1"/>
  <c r="E843" i="3"/>
  <c r="F843" i="3" s="1"/>
  <c r="G843" i="3"/>
  <c r="H843" i="3" s="1"/>
  <c r="E844" i="3"/>
  <c r="F844" i="3" s="1"/>
  <c r="G844" i="3"/>
  <c r="H844" i="3" s="1"/>
  <c r="E845" i="3"/>
  <c r="F845" i="3" s="1"/>
  <c r="G845" i="3"/>
  <c r="H845" i="3" s="1"/>
  <c r="E846" i="3"/>
  <c r="F846" i="3" s="1"/>
  <c r="G846" i="3"/>
  <c r="H846" i="3" s="1"/>
  <c r="E847" i="3"/>
  <c r="F847" i="3" s="1"/>
  <c r="G847" i="3"/>
  <c r="H847" i="3" s="1"/>
  <c r="E848" i="3"/>
  <c r="F848" i="3" s="1"/>
  <c r="G848" i="3"/>
  <c r="H848" i="3" s="1"/>
  <c r="E849" i="3"/>
  <c r="F849" i="3" s="1"/>
  <c r="G849" i="3"/>
  <c r="H849" i="3" s="1"/>
  <c r="E850" i="3"/>
  <c r="F850" i="3" s="1"/>
  <c r="G850" i="3"/>
  <c r="H850" i="3" s="1"/>
  <c r="E851" i="3"/>
  <c r="F851" i="3" s="1"/>
  <c r="G851" i="3"/>
  <c r="H851" i="3" s="1"/>
  <c r="E852" i="3"/>
  <c r="F852" i="3" s="1"/>
  <c r="G852" i="3"/>
  <c r="H852" i="3" s="1"/>
  <c r="E853" i="3"/>
  <c r="F853" i="3" s="1"/>
  <c r="G853" i="3"/>
  <c r="H853" i="3" s="1"/>
  <c r="E854" i="3"/>
  <c r="F854" i="3" s="1"/>
  <c r="G854" i="3"/>
  <c r="H854" i="3" s="1"/>
  <c r="E855" i="3"/>
  <c r="F855" i="3" s="1"/>
  <c r="G855" i="3"/>
  <c r="H855" i="3" s="1"/>
  <c r="E856" i="3"/>
  <c r="F856" i="3" s="1"/>
  <c r="G856" i="3"/>
  <c r="H856" i="3" s="1"/>
  <c r="E857" i="3"/>
  <c r="F857" i="3" s="1"/>
  <c r="G857" i="3"/>
  <c r="H857" i="3" s="1"/>
  <c r="E858" i="3"/>
  <c r="F858" i="3" s="1"/>
  <c r="G858" i="3"/>
  <c r="H858" i="3" s="1"/>
  <c r="E859" i="3"/>
  <c r="F859" i="3" s="1"/>
  <c r="G859" i="3"/>
  <c r="H859" i="3" s="1"/>
  <c r="E860" i="3"/>
  <c r="F860" i="3" s="1"/>
  <c r="G860" i="3"/>
  <c r="H860" i="3" s="1"/>
  <c r="E861" i="3"/>
  <c r="F861" i="3" s="1"/>
  <c r="G861" i="3"/>
  <c r="H861" i="3" s="1"/>
  <c r="E862" i="3"/>
  <c r="F862" i="3" s="1"/>
  <c r="G862" i="3"/>
  <c r="H862" i="3" s="1"/>
  <c r="E863" i="3"/>
  <c r="F863" i="3" s="1"/>
  <c r="G863" i="3"/>
  <c r="H863" i="3" s="1"/>
  <c r="E864" i="3"/>
  <c r="F864" i="3" s="1"/>
  <c r="G864" i="3"/>
  <c r="H864" i="3" s="1"/>
  <c r="E865" i="3"/>
  <c r="F865" i="3" s="1"/>
  <c r="G865" i="3"/>
  <c r="H865" i="3" s="1"/>
  <c r="E866" i="3"/>
  <c r="F866" i="3" s="1"/>
  <c r="G866" i="3"/>
  <c r="H866" i="3" s="1"/>
  <c r="E867" i="3"/>
  <c r="F867" i="3" s="1"/>
  <c r="G867" i="3"/>
  <c r="H867" i="3" s="1"/>
  <c r="E868" i="3"/>
  <c r="F868" i="3" s="1"/>
  <c r="G868" i="3"/>
  <c r="H868" i="3" s="1"/>
  <c r="E869" i="3"/>
  <c r="F869" i="3" s="1"/>
  <c r="G869" i="3"/>
  <c r="H869" i="3" s="1"/>
  <c r="E870" i="3"/>
  <c r="F870" i="3" s="1"/>
  <c r="G870" i="3"/>
  <c r="H870" i="3" s="1"/>
  <c r="E871" i="3"/>
  <c r="F871" i="3" s="1"/>
  <c r="G871" i="3"/>
  <c r="H871" i="3" s="1"/>
  <c r="E872" i="3"/>
  <c r="F872" i="3" s="1"/>
  <c r="G872" i="3"/>
  <c r="H872" i="3" s="1"/>
  <c r="E873" i="3"/>
  <c r="F873" i="3" s="1"/>
  <c r="G873" i="3"/>
  <c r="H873" i="3" s="1"/>
  <c r="E874" i="3"/>
  <c r="F874" i="3" s="1"/>
  <c r="G874" i="3"/>
  <c r="H874" i="3" s="1"/>
  <c r="E875" i="3"/>
  <c r="F875" i="3" s="1"/>
  <c r="G875" i="3"/>
  <c r="H875" i="3" s="1"/>
  <c r="E876" i="3"/>
  <c r="F876" i="3" s="1"/>
  <c r="G876" i="3"/>
  <c r="H876" i="3" s="1"/>
  <c r="E877" i="3"/>
  <c r="F877" i="3" s="1"/>
  <c r="G877" i="3"/>
  <c r="H877" i="3" s="1"/>
  <c r="E878" i="3"/>
  <c r="F878" i="3" s="1"/>
  <c r="G878" i="3"/>
  <c r="H878" i="3" s="1"/>
  <c r="E879" i="3"/>
  <c r="F879" i="3" s="1"/>
  <c r="G879" i="3"/>
  <c r="H879" i="3" s="1"/>
  <c r="E880" i="3"/>
  <c r="F880" i="3" s="1"/>
  <c r="G880" i="3"/>
  <c r="H880" i="3" s="1"/>
  <c r="E881" i="3"/>
  <c r="F881" i="3" s="1"/>
  <c r="G881" i="3"/>
  <c r="H881" i="3" s="1"/>
  <c r="E882" i="3"/>
  <c r="F882" i="3" s="1"/>
  <c r="G882" i="3"/>
  <c r="H882" i="3" s="1"/>
  <c r="E883" i="3"/>
  <c r="F883" i="3" s="1"/>
  <c r="G883" i="3"/>
  <c r="H883" i="3" s="1"/>
  <c r="E884" i="3"/>
  <c r="F884" i="3" s="1"/>
  <c r="G884" i="3"/>
  <c r="H884" i="3" s="1"/>
  <c r="E885" i="3"/>
  <c r="F885" i="3" s="1"/>
  <c r="G885" i="3"/>
  <c r="H885" i="3" s="1"/>
  <c r="E886" i="3"/>
  <c r="F886" i="3" s="1"/>
  <c r="G886" i="3"/>
  <c r="H886" i="3" s="1"/>
  <c r="E887" i="3"/>
  <c r="F887" i="3" s="1"/>
  <c r="G887" i="3"/>
  <c r="H887" i="3" s="1"/>
  <c r="E888" i="3"/>
  <c r="F888" i="3" s="1"/>
  <c r="G888" i="3"/>
  <c r="H888" i="3" s="1"/>
  <c r="E889" i="3"/>
  <c r="F889" i="3" s="1"/>
  <c r="G889" i="3"/>
  <c r="H889" i="3" s="1"/>
  <c r="E890" i="3"/>
  <c r="F890" i="3" s="1"/>
  <c r="G890" i="3"/>
  <c r="H890" i="3" s="1"/>
  <c r="E891" i="3"/>
  <c r="F891" i="3" s="1"/>
  <c r="G891" i="3"/>
  <c r="H891" i="3" s="1"/>
  <c r="E892" i="3"/>
  <c r="F892" i="3" s="1"/>
  <c r="G892" i="3"/>
  <c r="H892" i="3" s="1"/>
  <c r="E893" i="3"/>
  <c r="F893" i="3" s="1"/>
  <c r="G893" i="3"/>
  <c r="H893" i="3" s="1"/>
  <c r="E894" i="3"/>
  <c r="F894" i="3" s="1"/>
  <c r="G894" i="3"/>
  <c r="H894" i="3" s="1"/>
  <c r="E895" i="3"/>
  <c r="F895" i="3" s="1"/>
  <c r="G895" i="3"/>
  <c r="H895" i="3" s="1"/>
  <c r="E896" i="3"/>
  <c r="F896" i="3" s="1"/>
  <c r="G896" i="3"/>
  <c r="H896" i="3" s="1"/>
  <c r="E897" i="3"/>
  <c r="F897" i="3" s="1"/>
  <c r="G897" i="3"/>
  <c r="H897" i="3" s="1"/>
  <c r="E898" i="3"/>
  <c r="F898" i="3" s="1"/>
  <c r="G898" i="3"/>
  <c r="H898" i="3" s="1"/>
  <c r="E899" i="3"/>
  <c r="F899" i="3" s="1"/>
  <c r="G899" i="3"/>
  <c r="H899" i="3" s="1"/>
  <c r="E900" i="3"/>
  <c r="F900" i="3" s="1"/>
  <c r="G900" i="3"/>
  <c r="H900" i="3" s="1"/>
  <c r="E901" i="3"/>
  <c r="F901" i="3" s="1"/>
  <c r="G901" i="3"/>
  <c r="H901" i="3" s="1"/>
  <c r="E902" i="3"/>
  <c r="F902" i="3" s="1"/>
  <c r="G902" i="3"/>
  <c r="H902" i="3" s="1"/>
  <c r="E903" i="3"/>
  <c r="F903" i="3" s="1"/>
  <c r="G903" i="3"/>
  <c r="H903" i="3" s="1"/>
  <c r="E904" i="3"/>
  <c r="F904" i="3" s="1"/>
  <c r="G904" i="3"/>
  <c r="H904" i="3" s="1"/>
  <c r="E905" i="3"/>
  <c r="F905" i="3" s="1"/>
  <c r="G905" i="3"/>
  <c r="H905" i="3" s="1"/>
  <c r="E906" i="3"/>
  <c r="F906" i="3" s="1"/>
  <c r="G906" i="3"/>
  <c r="H906" i="3" s="1"/>
  <c r="E907" i="3"/>
  <c r="F907" i="3" s="1"/>
  <c r="G907" i="3"/>
  <c r="H907" i="3" s="1"/>
  <c r="E908" i="3"/>
  <c r="F908" i="3" s="1"/>
  <c r="G908" i="3"/>
  <c r="H908" i="3" s="1"/>
  <c r="E909" i="3"/>
  <c r="F909" i="3" s="1"/>
  <c r="G909" i="3"/>
  <c r="H909" i="3" s="1"/>
  <c r="E910" i="3"/>
  <c r="F910" i="3" s="1"/>
  <c r="G910" i="3"/>
  <c r="H910" i="3" s="1"/>
  <c r="E911" i="3"/>
  <c r="F911" i="3" s="1"/>
  <c r="G911" i="3"/>
  <c r="H911" i="3" s="1"/>
  <c r="E912" i="3"/>
  <c r="F912" i="3" s="1"/>
  <c r="G912" i="3"/>
  <c r="H912" i="3" s="1"/>
  <c r="E913" i="3"/>
  <c r="F913" i="3" s="1"/>
  <c r="G913" i="3"/>
  <c r="H913" i="3" s="1"/>
  <c r="E914" i="3"/>
  <c r="F914" i="3" s="1"/>
  <c r="G914" i="3"/>
  <c r="H914" i="3" s="1"/>
  <c r="E915" i="3"/>
  <c r="F915" i="3" s="1"/>
  <c r="G915" i="3"/>
  <c r="H915" i="3" s="1"/>
  <c r="E916" i="3"/>
  <c r="F916" i="3" s="1"/>
  <c r="G916" i="3"/>
  <c r="H916" i="3" s="1"/>
  <c r="E917" i="3"/>
  <c r="F917" i="3" s="1"/>
  <c r="G917" i="3"/>
  <c r="H917" i="3" s="1"/>
  <c r="E918" i="3"/>
  <c r="F918" i="3" s="1"/>
  <c r="G918" i="3"/>
  <c r="H918" i="3" s="1"/>
  <c r="E919" i="3"/>
  <c r="F919" i="3" s="1"/>
  <c r="G919" i="3"/>
  <c r="H919" i="3" s="1"/>
  <c r="E920" i="3"/>
  <c r="F920" i="3" s="1"/>
  <c r="G920" i="3"/>
  <c r="H920" i="3" s="1"/>
  <c r="E921" i="3"/>
  <c r="F921" i="3" s="1"/>
  <c r="G921" i="3"/>
  <c r="H921" i="3" s="1"/>
  <c r="E922" i="3"/>
  <c r="F922" i="3" s="1"/>
  <c r="G922" i="3"/>
  <c r="H922" i="3" s="1"/>
  <c r="E923" i="3"/>
  <c r="F923" i="3" s="1"/>
  <c r="G923" i="3"/>
  <c r="H923" i="3" s="1"/>
  <c r="E924" i="3"/>
  <c r="F924" i="3" s="1"/>
  <c r="G924" i="3"/>
  <c r="H924" i="3" s="1"/>
  <c r="E925" i="3"/>
  <c r="F925" i="3" s="1"/>
  <c r="G925" i="3"/>
  <c r="H925" i="3" s="1"/>
  <c r="E926" i="3"/>
  <c r="F926" i="3" s="1"/>
  <c r="G926" i="3"/>
  <c r="H926" i="3" s="1"/>
  <c r="E927" i="3"/>
  <c r="F927" i="3" s="1"/>
  <c r="G927" i="3"/>
  <c r="H927" i="3" s="1"/>
  <c r="E928" i="3"/>
  <c r="F928" i="3" s="1"/>
  <c r="G928" i="3"/>
  <c r="H928" i="3" s="1"/>
  <c r="E929" i="3"/>
  <c r="F929" i="3" s="1"/>
  <c r="G929" i="3"/>
  <c r="H929" i="3" s="1"/>
  <c r="E930" i="3"/>
  <c r="F930" i="3" s="1"/>
  <c r="G930" i="3"/>
  <c r="H930" i="3" s="1"/>
  <c r="E931" i="3"/>
  <c r="F931" i="3" s="1"/>
  <c r="G931" i="3"/>
  <c r="H931" i="3" s="1"/>
  <c r="E932" i="3"/>
  <c r="F932" i="3" s="1"/>
  <c r="G932" i="3"/>
  <c r="H932" i="3" s="1"/>
  <c r="E933" i="3"/>
  <c r="F933" i="3" s="1"/>
  <c r="G933" i="3"/>
  <c r="H933" i="3" s="1"/>
  <c r="E934" i="3"/>
  <c r="F934" i="3" s="1"/>
  <c r="G934" i="3"/>
  <c r="H934" i="3" s="1"/>
  <c r="E935" i="3"/>
  <c r="F935" i="3" s="1"/>
  <c r="G935" i="3"/>
  <c r="H935" i="3" s="1"/>
  <c r="E936" i="3"/>
  <c r="F936" i="3" s="1"/>
  <c r="G936" i="3"/>
  <c r="H936" i="3" s="1"/>
  <c r="E937" i="3"/>
  <c r="F937" i="3" s="1"/>
  <c r="G937" i="3"/>
  <c r="H937" i="3" s="1"/>
  <c r="E938" i="3"/>
  <c r="F938" i="3" s="1"/>
  <c r="G938" i="3"/>
  <c r="H938" i="3" s="1"/>
  <c r="E939" i="3"/>
  <c r="F939" i="3" s="1"/>
  <c r="G939" i="3"/>
  <c r="H939" i="3" s="1"/>
  <c r="E940" i="3"/>
  <c r="F940" i="3" s="1"/>
  <c r="G940" i="3"/>
  <c r="H940" i="3" s="1"/>
  <c r="E941" i="3"/>
  <c r="F941" i="3" s="1"/>
  <c r="G941" i="3"/>
  <c r="H941" i="3" s="1"/>
  <c r="E942" i="3"/>
  <c r="F942" i="3" s="1"/>
  <c r="G942" i="3"/>
  <c r="H942" i="3" s="1"/>
  <c r="E943" i="3"/>
  <c r="F943" i="3" s="1"/>
  <c r="G943" i="3"/>
  <c r="H943" i="3" s="1"/>
  <c r="E944" i="3"/>
  <c r="F944" i="3" s="1"/>
  <c r="G944" i="3"/>
  <c r="H944" i="3" s="1"/>
  <c r="E945" i="3"/>
  <c r="F945" i="3" s="1"/>
  <c r="G945" i="3"/>
  <c r="H945" i="3" s="1"/>
  <c r="E946" i="3"/>
  <c r="F946" i="3" s="1"/>
  <c r="G946" i="3"/>
  <c r="H946" i="3" s="1"/>
  <c r="E947" i="3"/>
  <c r="F947" i="3" s="1"/>
  <c r="G947" i="3"/>
  <c r="H947" i="3" s="1"/>
  <c r="E948" i="3"/>
  <c r="F948" i="3" s="1"/>
  <c r="G948" i="3"/>
  <c r="H948" i="3" s="1"/>
  <c r="E949" i="3"/>
  <c r="F949" i="3" s="1"/>
  <c r="G949" i="3"/>
  <c r="H949" i="3" s="1"/>
  <c r="E950" i="3"/>
  <c r="F950" i="3" s="1"/>
  <c r="G950" i="3"/>
  <c r="H950" i="3" s="1"/>
  <c r="E951" i="3"/>
  <c r="F951" i="3" s="1"/>
  <c r="G951" i="3"/>
  <c r="H951" i="3" s="1"/>
  <c r="E952" i="3"/>
  <c r="F952" i="3" s="1"/>
  <c r="G952" i="3"/>
  <c r="H952" i="3" s="1"/>
  <c r="E953" i="3"/>
  <c r="F953" i="3" s="1"/>
  <c r="G953" i="3"/>
  <c r="H953" i="3" s="1"/>
  <c r="E954" i="3"/>
  <c r="F954" i="3" s="1"/>
  <c r="G954" i="3"/>
  <c r="H954" i="3" s="1"/>
  <c r="E955" i="3"/>
  <c r="F955" i="3" s="1"/>
  <c r="G955" i="3"/>
  <c r="H955" i="3" s="1"/>
  <c r="E956" i="3"/>
  <c r="F956" i="3" s="1"/>
  <c r="G956" i="3"/>
  <c r="H956" i="3" s="1"/>
  <c r="E957" i="3"/>
  <c r="F957" i="3" s="1"/>
  <c r="G957" i="3"/>
  <c r="H957" i="3" s="1"/>
  <c r="E958" i="3"/>
  <c r="F958" i="3" s="1"/>
  <c r="G958" i="3"/>
  <c r="H958" i="3" s="1"/>
  <c r="E959" i="3"/>
  <c r="F959" i="3" s="1"/>
  <c r="G959" i="3"/>
  <c r="H959" i="3" s="1"/>
  <c r="E960" i="3"/>
  <c r="F960" i="3" s="1"/>
  <c r="G960" i="3"/>
  <c r="H960" i="3" s="1"/>
  <c r="E961" i="3"/>
  <c r="F961" i="3" s="1"/>
  <c r="G961" i="3"/>
  <c r="H961" i="3" s="1"/>
  <c r="E962" i="3"/>
  <c r="F962" i="3" s="1"/>
  <c r="G962" i="3"/>
  <c r="H962" i="3" s="1"/>
  <c r="E963" i="3"/>
  <c r="F963" i="3" s="1"/>
  <c r="G963" i="3"/>
  <c r="H963" i="3" s="1"/>
  <c r="E964" i="3"/>
  <c r="F964" i="3" s="1"/>
  <c r="G964" i="3"/>
  <c r="H964" i="3" s="1"/>
  <c r="E965" i="3"/>
  <c r="F965" i="3" s="1"/>
  <c r="G965" i="3"/>
  <c r="H965" i="3" s="1"/>
  <c r="E966" i="3"/>
  <c r="F966" i="3" s="1"/>
  <c r="G966" i="3"/>
  <c r="H966" i="3" s="1"/>
  <c r="E967" i="3"/>
  <c r="F967" i="3" s="1"/>
  <c r="G967" i="3"/>
  <c r="H967" i="3" s="1"/>
  <c r="E968" i="3"/>
  <c r="F968" i="3" s="1"/>
  <c r="G968" i="3"/>
  <c r="H968" i="3" s="1"/>
  <c r="E969" i="3"/>
  <c r="F969" i="3" s="1"/>
  <c r="G969" i="3"/>
  <c r="H969" i="3" s="1"/>
  <c r="E970" i="3"/>
  <c r="F970" i="3" s="1"/>
  <c r="G970" i="3"/>
  <c r="H970" i="3" s="1"/>
  <c r="E971" i="3"/>
  <c r="F971" i="3" s="1"/>
  <c r="G971" i="3"/>
  <c r="H971" i="3" s="1"/>
  <c r="E972" i="3"/>
  <c r="F972" i="3" s="1"/>
  <c r="G972" i="3"/>
  <c r="H972" i="3" s="1"/>
  <c r="E973" i="3"/>
  <c r="F973" i="3" s="1"/>
  <c r="G973" i="3"/>
  <c r="H973" i="3" s="1"/>
  <c r="E974" i="3"/>
  <c r="F974" i="3" s="1"/>
  <c r="G974" i="3"/>
  <c r="H974" i="3" s="1"/>
  <c r="E975" i="3"/>
  <c r="F975" i="3" s="1"/>
  <c r="G975" i="3"/>
  <c r="H975" i="3" s="1"/>
  <c r="E976" i="3"/>
  <c r="F976" i="3" s="1"/>
  <c r="G976" i="3"/>
  <c r="H976" i="3" s="1"/>
  <c r="E977" i="3"/>
  <c r="F977" i="3" s="1"/>
  <c r="G977" i="3"/>
  <c r="H977" i="3" s="1"/>
  <c r="E978" i="3"/>
  <c r="F978" i="3" s="1"/>
  <c r="G978" i="3"/>
  <c r="H978" i="3" s="1"/>
  <c r="E979" i="3"/>
  <c r="F979" i="3" s="1"/>
  <c r="G979" i="3"/>
  <c r="H979" i="3" s="1"/>
  <c r="E980" i="3"/>
  <c r="F980" i="3" s="1"/>
  <c r="G980" i="3"/>
  <c r="H980" i="3" s="1"/>
  <c r="E981" i="3"/>
  <c r="F981" i="3" s="1"/>
  <c r="G981" i="3"/>
  <c r="H981" i="3" s="1"/>
  <c r="E982" i="3"/>
  <c r="F982" i="3" s="1"/>
  <c r="G982" i="3"/>
  <c r="H982" i="3" s="1"/>
  <c r="E983" i="3"/>
  <c r="F983" i="3" s="1"/>
  <c r="G983" i="3"/>
  <c r="H983" i="3" s="1"/>
  <c r="E984" i="3"/>
  <c r="F984" i="3" s="1"/>
  <c r="G984" i="3"/>
  <c r="H984" i="3" s="1"/>
  <c r="E985" i="3"/>
  <c r="F985" i="3" s="1"/>
  <c r="G985" i="3"/>
  <c r="H985" i="3" s="1"/>
  <c r="E986" i="3"/>
  <c r="F986" i="3" s="1"/>
  <c r="G986" i="3"/>
  <c r="H986" i="3" s="1"/>
  <c r="E987" i="3"/>
  <c r="F987" i="3" s="1"/>
  <c r="G987" i="3"/>
  <c r="H987" i="3" s="1"/>
  <c r="E988" i="3"/>
  <c r="F988" i="3" s="1"/>
  <c r="G988" i="3"/>
  <c r="H988" i="3" s="1"/>
  <c r="E989" i="3"/>
  <c r="F989" i="3" s="1"/>
  <c r="G989" i="3"/>
  <c r="H989" i="3" s="1"/>
  <c r="E990" i="3"/>
  <c r="F990" i="3" s="1"/>
  <c r="G990" i="3"/>
  <c r="H990" i="3" s="1"/>
  <c r="E991" i="3"/>
  <c r="F991" i="3" s="1"/>
  <c r="G991" i="3"/>
  <c r="H991" i="3" s="1"/>
  <c r="E992" i="3"/>
  <c r="F992" i="3" s="1"/>
  <c r="G992" i="3"/>
  <c r="H992" i="3" s="1"/>
  <c r="E993" i="3"/>
  <c r="F993" i="3" s="1"/>
  <c r="G993" i="3"/>
  <c r="H993" i="3" s="1"/>
  <c r="E994" i="3"/>
  <c r="F994" i="3" s="1"/>
  <c r="G994" i="3"/>
  <c r="H994" i="3" s="1"/>
  <c r="E995" i="3"/>
  <c r="F995" i="3" s="1"/>
  <c r="G995" i="3"/>
  <c r="H995" i="3" s="1"/>
  <c r="E996" i="3"/>
  <c r="F996" i="3" s="1"/>
  <c r="G996" i="3"/>
  <c r="H996" i="3" s="1"/>
  <c r="E997" i="3"/>
  <c r="F997" i="3" s="1"/>
  <c r="G997" i="3"/>
  <c r="H997" i="3" s="1"/>
  <c r="E998" i="3"/>
  <c r="F998" i="3" s="1"/>
  <c r="G998" i="3"/>
  <c r="H998" i="3" s="1"/>
  <c r="E999" i="3"/>
  <c r="F999" i="3" s="1"/>
  <c r="G999" i="3"/>
  <c r="H999" i="3" s="1"/>
  <c r="E36" i="8" l="1"/>
  <c r="E28" i="8"/>
  <c r="C29" i="8"/>
  <c r="C34" i="8"/>
  <c r="E30" i="8"/>
  <c r="C27" i="8"/>
  <c r="E31" i="8"/>
  <c r="E25" i="8"/>
  <c r="E32" i="8"/>
  <c r="C26" i="8"/>
  <c r="C35" i="8"/>
  <c r="C30" i="8"/>
  <c r="E29" i="8"/>
  <c r="C31" i="8"/>
  <c r="C25" i="8"/>
  <c r="C36" i="8"/>
  <c r="E26" i="8"/>
  <c r="E35" i="8"/>
  <c r="C32" i="8"/>
  <c r="E34" i="8"/>
  <c r="D23" i="8"/>
  <c r="B23" i="8"/>
  <c r="B22" i="8"/>
  <c r="D22" i="8"/>
  <c r="D24" i="8"/>
  <c r="B24" i="8"/>
  <c r="C28" i="8"/>
  <c r="E27" i="8"/>
  <c r="AL4" i="1"/>
  <c r="AX4" i="1" s="1"/>
  <c r="BF4" i="1" s="1"/>
  <c r="AM4" i="1"/>
  <c r="AN4" i="1"/>
  <c r="AU4" i="1" s="1"/>
  <c r="BC4" i="1" s="1"/>
  <c r="AO4" i="1"/>
  <c r="AY4" i="1" s="1"/>
  <c r="BG4" i="1" s="1"/>
  <c r="AP4" i="1"/>
  <c r="AV4" i="1" s="1"/>
  <c r="BD4" i="1" s="1"/>
  <c r="AQ4" i="1"/>
  <c r="AW4" i="1" s="1"/>
  <c r="BE4" i="1" s="1"/>
  <c r="AR4" i="1"/>
  <c r="AZ4" i="1" s="1"/>
  <c r="BH4" i="1" s="1"/>
  <c r="AS4" i="1"/>
  <c r="BA4" i="1" s="1"/>
  <c r="BI4" i="1" s="1"/>
  <c r="AL5" i="1"/>
  <c r="AX5" i="1" s="1"/>
  <c r="BF5" i="1" s="1"/>
  <c r="AM5" i="1"/>
  <c r="AN5" i="1"/>
  <c r="AU5" i="1" s="1"/>
  <c r="BC5" i="1" s="1"/>
  <c r="AO5" i="1"/>
  <c r="AY5" i="1" s="1"/>
  <c r="BG5" i="1" s="1"/>
  <c r="AP5" i="1"/>
  <c r="AV5" i="1" s="1"/>
  <c r="BD5" i="1" s="1"/>
  <c r="AQ5" i="1"/>
  <c r="AW5" i="1" s="1"/>
  <c r="BE5" i="1" s="1"/>
  <c r="AR5" i="1"/>
  <c r="AZ5" i="1" s="1"/>
  <c r="BH5" i="1" s="1"/>
  <c r="AS5" i="1"/>
  <c r="BA5" i="1" s="1"/>
  <c r="BI5" i="1" s="1"/>
  <c r="AL6" i="1"/>
  <c r="AX6" i="1" s="1"/>
  <c r="BF6" i="1" s="1"/>
  <c r="AM6" i="1"/>
  <c r="AN6" i="1"/>
  <c r="AU6" i="1" s="1"/>
  <c r="BC6" i="1" s="1"/>
  <c r="AO6" i="1"/>
  <c r="AY6" i="1" s="1"/>
  <c r="BG6" i="1" s="1"/>
  <c r="AP6" i="1"/>
  <c r="AV6" i="1" s="1"/>
  <c r="BD6" i="1" s="1"/>
  <c r="AQ6" i="1"/>
  <c r="AW6" i="1" s="1"/>
  <c r="BE6" i="1" s="1"/>
  <c r="AR6" i="1"/>
  <c r="AZ6" i="1" s="1"/>
  <c r="BH6" i="1" s="1"/>
  <c r="AS6" i="1"/>
  <c r="BA6" i="1" s="1"/>
  <c r="BI6" i="1" s="1"/>
  <c r="AL7" i="1"/>
  <c r="AX7" i="1" s="1"/>
  <c r="BF7" i="1" s="1"/>
  <c r="AM7" i="1"/>
  <c r="AN7" i="1"/>
  <c r="AU7" i="1" s="1"/>
  <c r="BC7" i="1" s="1"/>
  <c r="AO7" i="1"/>
  <c r="AY7" i="1" s="1"/>
  <c r="BG7" i="1" s="1"/>
  <c r="AP7" i="1"/>
  <c r="AV7" i="1" s="1"/>
  <c r="BD7" i="1" s="1"/>
  <c r="AQ7" i="1"/>
  <c r="AW7" i="1" s="1"/>
  <c r="BE7" i="1" s="1"/>
  <c r="AR7" i="1"/>
  <c r="AZ7" i="1" s="1"/>
  <c r="BH7" i="1" s="1"/>
  <c r="AS7" i="1"/>
  <c r="BA7" i="1" s="1"/>
  <c r="BI7" i="1" s="1"/>
  <c r="AL8" i="1"/>
  <c r="AX8" i="1" s="1"/>
  <c r="BF8" i="1" s="1"/>
  <c r="AM8" i="1"/>
  <c r="AN8" i="1"/>
  <c r="AU8" i="1" s="1"/>
  <c r="BC8" i="1" s="1"/>
  <c r="AO8" i="1"/>
  <c r="AY8" i="1" s="1"/>
  <c r="BG8" i="1" s="1"/>
  <c r="AP8" i="1"/>
  <c r="AV8" i="1" s="1"/>
  <c r="BD8" i="1" s="1"/>
  <c r="AQ8" i="1"/>
  <c r="AW8" i="1" s="1"/>
  <c r="BE8" i="1" s="1"/>
  <c r="AR8" i="1"/>
  <c r="AZ8" i="1" s="1"/>
  <c r="BH8" i="1" s="1"/>
  <c r="AS8" i="1"/>
  <c r="BA8" i="1" s="1"/>
  <c r="BI8" i="1" s="1"/>
  <c r="AL9" i="1"/>
  <c r="AX9" i="1" s="1"/>
  <c r="BF9" i="1" s="1"/>
  <c r="AM9" i="1"/>
  <c r="AN9" i="1"/>
  <c r="AU9" i="1" s="1"/>
  <c r="BC9" i="1" s="1"/>
  <c r="AO9" i="1"/>
  <c r="AY9" i="1" s="1"/>
  <c r="BG9" i="1" s="1"/>
  <c r="AP9" i="1"/>
  <c r="AV9" i="1" s="1"/>
  <c r="BD9" i="1" s="1"/>
  <c r="AQ9" i="1"/>
  <c r="AW9" i="1" s="1"/>
  <c r="BE9" i="1" s="1"/>
  <c r="AR9" i="1"/>
  <c r="AZ9" i="1" s="1"/>
  <c r="BH9" i="1" s="1"/>
  <c r="AS9" i="1"/>
  <c r="BA9" i="1" s="1"/>
  <c r="BI9" i="1" s="1"/>
  <c r="AL10" i="1"/>
  <c r="AN10" i="1"/>
  <c r="AU10" i="1" s="1"/>
  <c r="BC10" i="1" s="1"/>
  <c r="AO10" i="1"/>
  <c r="AY10" i="1" s="1"/>
  <c r="BG10" i="1" s="1"/>
  <c r="AP10" i="1"/>
  <c r="AV10" i="1" s="1"/>
  <c r="BD10" i="1" s="1"/>
  <c r="AQ10" i="1"/>
  <c r="AW10" i="1" s="1"/>
  <c r="BE10" i="1" s="1"/>
  <c r="AR10" i="1"/>
  <c r="AZ10" i="1" s="1"/>
  <c r="BH10" i="1" s="1"/>
  <c r="AS10" i="1"/>
  <c r="BA10" i="1" s="1"/>
  <c r="BI10" i="1" s="1"/>
  <c r="AL11" i="1"/>
  <c r="AN11" i="1"/>
  <c r="AU11" i="1" s="1"/>
  <c r="BC11" i="1" s="1"/>
  <c r="AO11" i="1"/>
  <c r="AY11" i="1" s="1"/>
  <c r="BG11" i="1" s="1"/>
  <c r="AP11" i="1"/>
  <c r="AV11" i="1" s="1"/>
  <c r="BD11" i="1" s="1"/>
  <c r="AQ11" i="1"/>
  <c r="AW11" i="1" s="1"/>
  <c r="BE11" i="1" s="1"/>
  <c r="AR11" i="1"/>
  <c r="AZ11" i="1" s="1"/>
  <c r="BH11" i="1" s="1"/>
  <c r="AS11" i="1"/>
  <c r="BA11" i="1" s="1"/>
  <c r="BI11" i="1" s="1"/>
  <c r="AL12" i="1"/>
  <c r="AX12" i="1" s="1"/>
  <c r="BF12" i="1" s="1"/>
  <c r="AM12" i="1"/>
  <c r="AN12" i="1"/>
  <c r="AU12" i="1" s="1"/>
  <c r="BC12" i="1" s="1"/>
  <c r="AO12" i="1"/>
  <c r="AY12" i="1" s="1"/>
  <c r="BG12" i="1" s="1"/>
  <c r="AP12" i="1"/>
  <c r="AV12" i="1" s="1"/>
  <c r="BD12" i="1" s="1"/>
  <c r="AQ12" i="1"/>
  <c r="AW12" i="1" s="1"/>
  <c r="BE12" i="1" s="1"/>
  <c r="AR12" i="1"/>
  <c r="AZ12" i="1" s="1"/>
  <c r="BH12" i="1" s="1"/>
  <c r="AS12" i="1"/>
  <c r="BA12" i="1" s="1"/>
  <c r="BI12" i="1" s="1"/>
  <c r="AL13" i="1"/>
  <c r="AX13" i="1" s="1"/>
  <c r="BF13" i="1" s="1"/>
  <c r="AM13" i="1"/>
  <c r="AN13" i="1"/>
  <c r="AU13" i="1" s="1"/>
  <c r="BC13" i="1" s="1"/>
  <c r="AO13" i="1"/>
  <c r="AY13" i="1" s="1"/>
  <c r="BG13" i="1" s="1"/>
  <c r="AP13" i="1"/>
  <c r="AV13" i="1" s="1"/>
  <c r="BD13" i="1" s="1"/>
  <c r="AQ13" i="1"/>
  <c r="AW13" i="1" s="1"/>
  <c r="BE13" i="1" s="1"/>
  <c r="AR13" i="1"/>
  <c r="AZ13" i="1" s="1"/>
  <c r="BH13" i="1" s="1"/>
  <c r="AS13" i="1"/>
  <c r="BA13" i="1" s="1"/>
  <c r="BI13" i="1" s="1"/>
  <c r="AL14" i="1"/>
  <c r="AX14" i="1" s="1"/>
  <c r="BF14" i="1" s="1"/>
  <c r="AM14" i="1"/>
  <c r="AN14" i="1"/>
  <c r="AU14" i="1" s="1"/>
  <c r="BC14" i="1" s="1"/>
  <c r="AO14" i="1"/>
  <c r="AY14" i="1" s="1"/>
  <c r="BG14" i="1" s="1"/>
  <c r="AP14" i="1"/>
  <c r="AV14" i="1" s="1"/>
  <c r="BD14" i="1" s="1"/>
  <c r="AQ14" i="1"/>
  <c r="AW14" i="1" s="1"/>
  <c r="BE14" i="1" s="1"/>
  <c r="AR14" i="1"/>
  <c r="AZ14" i="1" s="1"/>
  <c r="BH14" i="1" s="1"/>
  <c r="AS14" i="1"/>
  <c r="BA14" i="1" s="1"/>
  <c r="BI14" i="1" s="1"/>
  <c r="AL15" i="1"/>
  <c r="AX15" i="1" s="1"/>
  <c r="BF15" i="1" s="1"/>
  <c r="AM15" i="1"/>
  <c r="AN15" i="1"/>
  <c r="AU15" i="1" s="1"/>
  <c r="BC15" i="1" s="1"/>
  <c r="AO15" i="1"/>
  <c r="AP15" i="1"/>
  <c r="AV15" i="1" s="1"/>
  <c r="BD15" i="1" s="1"/>
  <c r="AQ15" i="1"/>
  <c r="AW15" i="1" s="1"/>
  <c r="BE15" i="1" s="1"/>
  <c r="AR15" i="1"/>
  <c r="AZ15" i="1" s="1"/>
  <c r="BH15" i="1" s="1"/>
  <c r="AS15" i="1"/>
  <c r="BA15" i="1" s="1"/>
  <c r="BI15" i="1" s="1"/>
  <c r="AL16" i="1"/>
  <c r="AX16" i="1" s="1"/>
  <c r="BF16" i="1" s="1"/>
  <c r="AM16" i="1"/>
  <c r="AN16" i="1"/>
  <c r="AU16" i="1" s="1"/>
  <c r="BC16" i="1" s="1"/>
  <c r="AO16" i="1"/>
  <c r="AP16" i="1"/>
  <c r="AV16" i="1" s="1"/>
  <c r="BD16" i="1" s="1"/>
  <c r="AQ16" i="1"/>
  <c r="AW16" i="1" s="1"/>
  <c r="BE16" i="1" s="1"/>
  <c r="AR16" i="1"/>
  <c r="AZ16" i="1" s="1"/>
  <c r="BH16" i="1" s="1"/>
  <c r="AS16" i="1"/>
  <c r="BA16" i="1" s="1"/>
  <c r="BI16" i="1" s="1"/>
  <c r="AL17" i="1"/>
  <c r="AX17" i="1" s="1"/>
  <c r="BF17" i="1" s="1"/>
  <c r="AM17" i="1"/>
  <c r="AN17" i="1"/>
  <c r="AU17" i="1" s="1"/>
  <c r="BC17" i="1" s="1"/>
  <c r="AO17" i="1"/>
  <c r="AP17" i="1"/>
  <c r="AV17" i="1" s="1"/>
  <c r="BD17" i="1" s="1"/>
  <c r="AQ17" i="1"/>
  <c r="AW17" i="1" s="1"/>
  <c r="BE17" i="1" s="1"/>
  <c r="AR17" i="1"/>
  <c r="AZ17" i="1" s="1"/>
  <c r="BH17" i="1" s="1"/>
  <c r="AS17" i="1"/>
  <c r="BA17" i="1" s="1"/>
  <c r="BI17" i="1" s="1"/>
  <c r="AL18" i="1"/>
  <c r="AX18" i="1" s="1"/>
  <c r="BF18" i="1" s="1"/>
  <c r="AM18" i="1"/>
  <c r="AN18" i="1"/>
  <c r="AU18" i="1" s="1"/>
  <c r="BC18" i="1" s="1"/>
  <c r="AO18" i="1"/>
  <c r="AP18" i="1"/>
  <c r="AV18" i="1" s="1"/>
  <c r="BD18" i="1" s="1"/>
  <c r="AQ18" i="1"/>
  <c r="AW18" i="1" s="1"/>
  <c r="BE18" i="1" s="1"/>
  <c r="AR18" i="1"/>
  <c r="AZ18" i="1" s="1"/>
  <c r="BH18" i="1" s="1"/>
  <c r="AS18" i="1"/>
  <c r="BA18" i="1" s="1"/>
  <c r="BI18" i="1" s="1"/>
  <c r="AL19" i="1"/>
  <c r="AX19" i="1" s="1"/>
  <c r="BF19" i="1" s="1"/>
  <c r="AM19" i="1"/>
  <c r="AN19" i="1"/>
  <c r="AU19" i="1" s="1"/>
  <c r="BC19" i="1" s="1"/>
  <c r="AO19" i="1"/>
  <c r="AP19" i="1"/>
  <c r="AV19" i="1" s="1"/>
  <c r="BD19" i="1" s="1"/>
  <c r="AQ19" i="1"/>
  <c r="AW19" i="1" s="1"/>
  <c r="BE19" i="1" s="1"/>
  <c r="AR19" i="1"/>
  <c r="AZ19" i="1" s="1"/>
  <c r="BH19" i="1" s="1"/>
  <c r="AS19" i="1"/>
  <c r="BA19" i="1" s="1"/>
  <c r="BI19" i="1" s="1"/>
  <c r="AL20" i="1"/>
  <c r="AX20" i="1" s="1"/>
  <c r="BF20" i="1" s="1"/>
  <c r="AM20" i="1"/>
  <c r="AN20" i="1"/>
  <c r="AU20" i="1" s="1"/>
  <c r="BC20" i="1" s="1"/>
  <c r="AO20" i="1"/>
  <c r="AP20" i="1"/>
  <c r="AV20" i="1" s="1"/>
  <c r="BD20" i="1" s="1"/>
  <c r="AQ20" i="1"/>
  <c r="AW20" i="1" s="1"/>
  <c r="BE20" i="1" s="1"/>
  <c r="AR20" i="1"/>
  <c r="AZ20" i="1" s="1"/>
  <c r="BH20" i="1" s="1"/>
  <c r="AS20" i="1"/>
  <c r="BA20" i="1" s="1"/>
  <c r="BI20" i="1" s="1"/>
  <c r="AL21" i="1"/>
  <c r="AX21" i="1" s="1"/>
  <c r="BF21" i="1" s="1"/>
  <c r="AM21" i="1"/>
  <c r="AN21" i="1"/>
  <c r="AU21" i="1" s="1"/>
  <c r="BC21" i="1" s="1"/>
  <c r="AO21" i="1"/>
  <c r="AP21" i="1"/>
  <c r="AV21" i="1" s="1"/>
  <c r="BD21" i="1" s="1"/>
  <c r="AQ21" i="1"/>
  <c r="AW21" i="1" s="1"/>
  <c r="BE21" i="1" s="1"/>
  <c r="AR21" i="1"/>
  <c r="AZ21" i="1" s="1"/>
  <c r="BH21" i="1" s="1"/>
  <c r="AS21" i="1"/>
  <c r="BA21" i="1" s="1"/>
  <c r="BI21" i="1" s="1"/>
  <c r="AL22" i="1"/>
  <c r="AX22" i="1" s="1"/>
  <c r="BF22" i="1" s="1"/>
  <c r="AM22" i="1"/>
  <c r="AN22" i="1"/>
  <c r="AU22" i="1" s="1"/>
  <c r="BC22" i="1" s="1"/>
  <c r="AO22" i="1"/>
  <c r="AP22" i="1"/>
  <c r="AV22" i="1" s="1"/>
  <c r="BD22" i="1" s="1"/>
  <c r="AQ22" i="1"/>
  <c r="AW22" i="1" s="1"/>
  <c r="BE22" i="1" s="1"/>
  <c r="AR22" i="1"/>
  <c r="AZ22" i="1" s="1"/>
  <c r="BH22" i="1" s="1"/>
  <c r="AS22" i="1"/>
  <c r="BA22" i="1" s="1"/>
  <c r="BI22" i="1" s="1"/>
  <c r="AL23" i="1"/>
  <c r="AX23" i="1" s="1"/>
  <c r="BF23" i="1" s="1"/>
  <c r="AM23" i="1"/>
  <c r="AN23" i="1"/>
  <c r="AU23" i="1" s="1"/>
  <c r="BC23" i="1" s="1"/>
  <c r="AO23" i="1"/>
  <c r="AP23" i="1"/>
  <c r="AV23" i="1" s="1"/>
  <c r="BD23" i="1" s="1"/>
  <c r="AQ23" i="1"/>
  <c r="AW23" i="1" s="1"/>
  <c r="BE23" i="1" s="1"/>
  <c r="AR23" i="1"/>
  <c r="AZ23" i="1" s="1"/>
  <c r="BH23" i="1" s="1"/>
  <c r="AS23" i="1"/>
  <c r="BA23" i="1" s="1"/>
  <c r="BI23" i="1" s="1"/>
  <c r="AL24" i="1"/>
  <c r="AX24" i="1" s="1"/>
  <c r="BF24" i="1" s="1"/>
  <c r="AM24" i="1"/>
  <c r="AN24" i="1"/>
  <c r="AU24" i="1" s="1"/>
  <c r="BC24" i="1" s="1"/>
  <c r="AO24" i="1"/>
  <c r="AP24" i="1"/>
  <c r="AV24" i="1" s="1"/>
  <c r="BD24" i="1" s="1"/>
  <c r="AQ24" i="1"/>
  <c r="AW24" i="1" s="1"/>
  <c r="BE24" i="1" s="1"/>
  <c r="AR24" i="1"/>
  <c r="AZ24" i="1" s="1"/>
  <c r="BH24" i="1" s="1"/>
  <c r="AS24" i="1"/>
  <c r="BA24" i="1" s="1"/>
  <c r="BI24" i="1" s="1"/>
  <c r="AL25" i="1"/>
  <c r="AX25" i="1" s="1"/>
  <c r="BF25" i="1" s="1"/>
  <c r="AM25" i="1"/>
  <c r="AN25" i="1"/>
  <c r="AU25" i="1" s="1"/>
  <c r="BC25" i="1" s="1"/>
  <c r="AO25" i="1"/>
  <c r="AP25" i="1"/>
  <c r="AV25" i="1" s="1"/>
  <c r="BD25" i="1" s="1"/>
  <c r="AQ25" i="1"/>
  <c r="AW25" i="1" s="1"/>
  <c r="BE25" i="1" s="1"/>
  <c r="AR25" i="1"/>
  <c r="AZ25" i="1" s="1"/>
  <c r="BH25" i="1" s="1"/>
  <c r="AS25" i="1"/>
  <c r="BA25" i="1" s="1"/>
  <c r="BI25" i="1" s="1"/>
  <c r="AL26" i="1"/>
  <c r="AX26" i="1" s="1"/>
  <c r="BF26" i="1" s="1"/>
  <c r="AM26" i="1"/>
  <c r="AN26" i="1"/>
  <c r="AU26" i="1" s="1"/>
  <c r="BC26" i="1" s="1"/>
  <c r="AO26" i="1"/>
  <c r="AP26" i="1"/>
  <c r="AV26" i="1" s="1"/>
  <c r="BD26" i="1" s="1"/>
  <c r="AQ26" i="1"/>
  <c r="AW26" i="1" s="1"/>
  <c r="BE26" i="1" s="1"/>
  <c r="AR26" i="1"/>
  <c r="AZ26" i="1" s="1"/>
  <c r="BH26" i="1" s="1"/>
  <c r="AS26" i="1"/>
  <c r="BA26" i="1" s="1"/>
  <c r="BI26" i="1" s="1"/>
  <c r="AL27" i="1"/>
  <c r="AX27" i="1" s="1"/>
  <c r="BF27" i="1" s="1"/>
  <c r="AM27" i="1"/>
  <c r="AN27" i="1"/>
  <c r="AU27" i="1" s="1"/>
  <c r="BC27" i="1" s="1"/>
  <c r="AO27" i="1"/>
  <c r="AP27" i="1"/>
  <c r="AV27" i="1" s="1"/>
  <c r="BD27" i="1" s="1"/>
  <c r="AQ27" i="1"/>
  <c r="AW27" i="1" s="1"/>
  <c r="BE27" i="1" s="1"/>
  <c r="AR27" i="1"/>
  <c r="AZ27" i="1" s="1"/>
  <c r="BH27" i="1" s="1"/>
  <c r="AS27" i="1"/>
  <c r="BA27" i="1" s="1"/>
  <c r="BI27" i="1" s="1"/>
  <c r="G53" i="3"/>
  <c r="H53" i="3" s="1"/>
  <c r="G57" i="3"/>
  <c r="H57" i="3" s="1"/>
  <c r="G59" i="3"/>
  <c r="H59" i="3" s="1"/>
  <c r="G60" i="3"/>
  <c r="H60" i="3" s="1"/>
  <c r="G61" i="3"/>
  <c r="H61" i="3" s="1"/>
  <c r="G71" i="3"/>
  <c r="H71" i="3" s="1"/>
  <c r="G74" i="3"/>
  <c r="H74" i="3" s="1"/>
  <c r="G76" i="3"/>
  <c r="H76" i="3" s="1"/>
  <c r="G78" i="3"/>
  <c r="H78" i="3" s="1"/>
  <c r="G81" i="3"/>
  <c r="H81" i="3" s="1"/>
  <c r="G82" i="3"/>
  <c r="H82" i="3" s="1"/>
  <c r="G84" i="3"/>
  <c r="H84" i="3" s="1"/>
  <c r="G88" i="3"/>
  <c r="H88" i="3" s="1"/>
  <c r="G90" i="3"/>
  <c r="H90" i="3" s="1"/>
  <c r="G93" i="3"/>
  <c r="H93" i="3" s="1"/>
  <c r="G94" i="3"/>
  <c r="H94" i="3" s="1"/>
  <c r="G98" i="3"/>
  <c r="H98" i="3" s="1"/>
  <c r="G99" i="3"/>
  <c r="H99" i="3" s="1"/>
  <c r="G101" i="3"/>
  <c r="H101" i="3" s="1"/>
  <c r="AS3" i="1"/>
  <c r="BA3" i="1" s="1"/>
  <c r="BI3" i="1" s="1"/>
  <c r="AR3" i="1"/>
  <c r="AZ3" i="1" s="1"/>
  <c r="BH3" i="1" s="1"/>
  <c r="AQ3" i="1"/>
  <c r="AW3" i="1" s="1"/>
  <c r="BE3" i="1" s="1"/>
  <c r="AP3" i="1"/>
  <c r="AV3" i="1" s="1"/>
  <c r="BD3" i="1" s="1"/>
  <c r="AO3" i="1"/>
  <c r="AY3" i="1" s="1"/>
  <c r="BG3" i="1" s="1"/>
  <c r="AN3" i="1"/>
  <c r="AU3" i="1" s="1"/>
  <c r="BC3" i="1" s="1"/>
  <c r="AM3" i="1"/>
  <c r="AL3" i="1"/>
  <c r="AX3" i="1" s="1"/>
  <c r="BF3" i="1" s="1"/>
  <c r="G10" i="3" l="1"/>
  <c r="H10" i="3" s="1"/>
  <c r="F9" i="5" s="1"/>
  <c r="G9" i="3"/>
  <c r="H9" i="3" s="1"/>
  <c r="F8" i="5" s="1"/>
  <c r="G8" i="3"/>
  <c r="H8" i="3" s="1"/>
  <c r="F7" i="5" s="1"/>
  <c r="AT3" i="1"/>
  <c r="G4" i="3"/>
  <c r="H4" i="3" s="1"/>
  <c r="G100" i="3"/>
  <c r="H100" i="3" s="1"/>
  <c r="G97" i="3"/>
  <c r="H97" i="3" s="1"/>
  <c r="G96" i="3"/>
  <c r="H96" i="3" s="1"/>
  <c r="G92" i="3"/>
  <c r="H92" i="3" s="1"/>
  <c r="G91" i="3"/>
  <c r="H91" i="3" s="1"/>
  <c r="G89" i="3"/>
  <c r="H89" i="3" s="1"/>
  <c r="G86" i="3"/>
  <c r="H86" i="3" s="1"/>
  <c r="G85" i="3"/>
  <c r="H85" i="3" s="1"/>
  <c r="G83" i="3"/>
  <c r="H83" i="3" s="1"/>
  <c r="G80" i="3"/>
  <c r="H80" i="3" s="1"/>
  <c r="G79" i="3"/>
  <c r="H79" i="3" s="1"/>
  <c r="G77" i="3"/>
  <c r="H77" i="3" s="1"/>
  <c r="G73" i="3"/>
  <c r="H73" i="3" s="1"/>
  <c r="G72" i="3"/>
  <c r="H72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56" i="3"/>
  <c r="H56" i="3" s="1"/>
  <c r="G54" i="3"/>
  <c r="H54" i="3" s="1"/>
  <c r="G50" i="3"/>
  <c r="H50" i="3" s="1"/>
  <c r="X5" i="5"/>
  <c r="G6" i="3"/>
  <c r="H6" i="3" s="1"/>
  <c r="F5" i="5" s="1"/>
  <c r="X6" i="5"/>
  <c r="G7" i="3"/>
  <c r="H7" i="3" s="1"/>
  <c r="F6" i="5" s="1"/>
  <c r="G45" i="3"/>
  <c r="H45" i="3" s="1"/>
  <c r="G44" i="3"/>
  <c r="H44" i="3" s="1"/>
  <c r="G42" i="3"/>
  <c r="H42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0" i="3"/>
  <c r="H30" i="3" s="1"/>
  <c r="G29" i="3"/>
  <c r="H29" i="3" s="1"/>
  <c r="G28" i="3"/>
  <c r="H28" i="3" s="1"/>
  <c r="F27" i="5" s="1"/>
  <c r="G27" i="3"/>
  <c r="H27" i="3" s="1"/>
  <c r="F26" i="5" s="1"/>
  <c r="G26" i="3"/>
  <c r="H26" i="3" s="1"/>
  <c r="F25" i="5" s="1"/>
  <c r="G25" i="3"/>
  <c r="H25" i="3" s="1"/>
  <c r="F24" i="5" s="1"/>
  <c r="G24" i="3"/>
  <c r="H24" i="3" s="1"/>
  <c r="F23" i="5" s="1"/>
  <c r="G23" i="3"/>
  <c r="H23" i="3" s="1"/>
  <c r="F22" i="5" s="1"/>
  <c r="G22" i="3"/>
  <c r="H22" i="3" s="1"/>
  <c r="F21" i="5" s="1"/>
  <c r="G21" i="3"/>
  <c r="H21" i="3" s="1"/>
  <c r="F20" i="5" s="1"/>
  <c r="G20" i="3"/>
  <c r="H20" i="3" s="1"/>
  <c r="F19" i="5" s="1"/>
  <c r="G19" i="3"/>
  <c r="H19" i="3" s="1"/>
  <c r="F18" i="5" s="1"/>
  <c r="G18" i="3"/>
  <c r="H18" i="3" s="1"/>
  <c r="F17" i="5" s="1"/>
  <c r="G17" i="3"/>
  <c r="H17" i="3" s="1"/>
  <c r="F16" i="5" s="1"/>
  <c r="G16" i="3"/>
  <c r="H16" i="3" s="1"/>
  <c r="F15" i="5" s="1"/>
  <c r="G15" i="3"/>
  <c r="H15" i="3" s="1"/>
  <c r="F14" i="5" s="1"/>
  <c r="G14" i="3"/>
  <c r="H14" i="3" s="1"/>
  <c r="F13" i="5" s="1"/>
  <c r="G13" i="3"/>
  <c r="H13" i="3" s="1"/>
  <c r="F12" i="5" s="1"/>
  <c r="AX11" i="1"/>
  <c r="BF11" i="1" s="1"/>
  <c r="G12" i="3"/>
  <c r="H12" i="3" s="1"/>
  <c r="F11" i="5" s="1"/>
  <c r="G43" i="3"/>
  <c r="H43" i="3" s="1"/>
  <c r="G41" i="3"/>
  <c r="H41" i="3" s="1"/>
  <c r="G31" i="3"/>
  <c r="H31" i="3" s="1"/>
  <c r="AX10" i="1"/>
  <c r="BF10" i="1" s="1"/>
  <c r="G11" i="3"/>
  <c r="H11" i="3" s="1"/>
  <c r="F10" i="5" s="1"/>
  <c r="E24" i="8"/>
  <c r="C22" i="8"/>
  <c r="E23" i="8"/>
  <c r="C24" i="8"/>
  <c r="E22" i="8"/>
  <c r="C23" i="8"/>
  <c r="AY25" i="1"/>
  <c r="BG25" i="1" s="1"/>
  <c r="AY24" i="1"/>
  <c r="BG24" i="1" s="1"/>
  <c r="AY27" i="1"/>
  <c r="BG27" i="1" s="1"/>
  <c r="AY26" i="1"/>
  <c r="BG26" i="1" s="1"/>
  <c r="AY23" i="1"/>
  <c r="BG23" i="1" s="1"/>
  <c r="AY22" i="1"/>
  <c r="BG22" i="1" s="1"/>
  <c r="AY21" i="1"/>
  <c r="BG21" i="1" s="1"/>
  <c r="AY20" i="1"/>
  <c r="BG20" i="1" s="1"/>
  <c r="AY19" i="1"/>
  <c r="BG19" i="1" s="1"/>
  <c r="AY18" i="1"/>
  <c r="BG18" i="1" s="1"/>
  <c r="AY17" i="1"/>
  <c r="BG17" i="1" s="1"/>
  <c r="AY16" i="1"/>
  <c r="BG16" i="1" s="1"/>
  <c r="AY15" i="1"/>
  <c r="BG15" i="1" s="1"/>
  <c r="I101" i="3"/>
  <c r="I100" i="3"/>
  <c r="I99" i="3"/>
  <c r="I98" i="3"/>
  <c r="I96" i="3"/>
  <c r="I94" i="3"/>
  <c r="I93" i="3"/>
  <c r="I92" i="3"/>
  <c r="I91" i="3"/>
  <c r="I90" i="3"/>
  <c r="I88" i="3"/>
  <c r="I86" i="3"/>
  <c r="I85" i="3"/>
  <c r="I84" i="3"/>
  <c r="I82" i="3"/>
  <c r="I81" i="3"/>
  <c r="I80" i="3"/>
  <c r="I79" i="3"/>
  <c r="I78" i="3"/>
  <c r="I77" i="3"/>
  <c r="I76" i="3"/>
  <c r="I74" i="3"/>
  <c r="I73" i="3"/>
  <c r="I71" i="3"/>
  <c r="I70" i="3"/>
  <c r="I69" i="3"/>
  <c r="I68" i="3"/>
  <c r="I67" i="3"/>
  <c r="I65" i="3"/>
  <c r="I64" i="3"/>
  <c r="I63" i="3"/>
  <c r="I62" i="3"/>
  <c r="I61" i="3"/>
  <c r="I60" i="3"/>
  <c r="I59" i="3"/>
  <c r="I57" i="3"/>
  <c r="I56" i="3"/>
  <c r="I54" i="3"/>
  <c r="I45" i="3"/>
  <c r="I42" i="3"/>
  <c r="I41" i="3"/>
  <c r="I40" i="3"/>
  <c r="I39" i="3"/>
  <c r="I38" i="3"/>
  <c r="I36" i="3"/>
  <c r="I34" i="3"/>
  <c r="I33" i="3"/>
  <c r="I32" i="3"/>
  <c r="I30" i="3"/>
  <c r="I29" i="3"/>
  <c r="AT27" i="1"/>
  <c r="AT26" i="1"/>
  <c r="I27" i="3" s="1"/>
  <c r="G26" i="5" s="1"/>
  <c r="AT25" i="1"/>
  <c r="I26" i="3" s="1"/>
  <c r="G25" i="5" s="1"/>
  <c r="AT24" i="1"/>
  <c r="I25" i="3" s="1"/>
  <c r="G24" i="5" s="1"/>
  <c r="AT23" i="1"/>
  <c r="I24" i="3" s="1"/>
  <c r="G23" i="5" s="1"/>
  <c r="AT22" i="1"/>
  <c r="I23" i="3" s="1"/>
  <c r="G22" i="5" s="1"/>
  <c r="AT21" i="1"/>
  <c r="I22" i="3" s="1"/>
  <c r="G21" i="5" s="1"/>
  <c r="AT20" i="1"/>
  <c r="I21" i="3" s="1"/>
  <c r="G20" i="5" s="1"/>
  <c r="AT19" i="1"/>
  <c r="I20" i="3" s="1"/>
  <c r="G19" i="5" s="1"/>
  <c r="AT18" i="1"/>
  <c r="I19" i="3" s="1"/>
  <c r="G18" i="5" s="1"/>
  <c r="AT17" i="1"/>
  <c r="I18" i="3" s="1"/>
  <c r="G17" i="5" s="1"/>
  <c r="AT16" i="1"/>
  <c r="I17" i="3" s="1"/>
  <c r="G16" i="5" s="1"/>
  <c r="AT15" i="1"/>
  <c r="I16" i="3" s="1"/>
  <c r="G15" i="5" s="1"/>
  <c r="AT14" i="1"/>
  <c r="I15" i="3" s="1"/>
  <c r="G14" i="5" s="1"/>
  <c r="AT13" i="1"/>
  <c r="I14" i="3" s="1"/>
  <c r="G13" i="5" s="1"/>
  <c r="AT12" i="1"/>
  <c r="I13" i="3" s="1"/>
  <c r="G12" i="5" s="1"/>
  <c r="AT11" i="1"/>
  <c r="AT10" i="1"/>
  <c r="AT9" i="1"/>
  <c r="I10" i="3" s="1"/>
  <c r="G9" i="5" s="1"/>
  <c r="AT8" i="1"/>
  <c r="I9" i="3" s="1"/>
  <c r="G8" i="5" s="1"/>
  <c r="AT7" i="1"/>
  <c r="I8" i="3" s="1"/>
  <c r="G7" i="5" s="1"/>
  <c r="AT6" i="1"/>
  <c r="I7" i="3" s="1"/>
  <c r="G6" i="5" s="1"/>
  <c r="G5" i="3"/>
  <c r="H5" i="3" s="1"/>
  <c r="F4" i="5" s="1"/>
  <c r="AT4" i="1"/>
  <c r="BB3" i="1"/>
  <c r="E4" i="3" s="1"/>
  <c r="I4" i="3"/>
  <c r="AT5" i="1"/>
  <c r="I6" i="3" s="1"/>
  <c r="G5" i="5" s="1"/>
  <c r="C5" i="3"/>
  <c r="D5" i="3"/>
  <c r="D122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A220" i="3"/>
  <c r="C220" i="3"/>
  <c r="D220" i="3"/>
  <c r="A221" i="3"/>
  <c r="C221" i="3"/>
  <c r="D221" i="3"/>
  <c r="A222" i="3"/>
  <c r="C222" i="3"/>
  <c r="D222" i="3"/>
  <c r="A223" i="3"/>
  <c r="C223" i="3"/>
  <c r="D223" i="3"/>
  <c r="A224" i="3"/>
  <c r="C224" i="3"/>
  <c r="D224" i="3"/>
  <c r="A225" i="3"/>
  <c r="C225" i="3"/>
  <c r="D225" i="3"/>
  <c r="A226" i="3"/>
  <c r="C226" i="3"/>
  <c r="D226" i="3"/>
  <c r="A227" i="3"/>
  <c r="C227" i="3"/>
  <c r="D227" i="3"/>
  <c r="A228" i="3"/>
  <c r="C228" i="3"/>
  <c r="D228" i="3"/>
  <c r="A229" i="3"/>
  <c r="C229" i="3"/>
  <c r="D229" i="3"/>
  <c r="A230" i="3"/>
  <c r="C230" i="3"/>
  <c r="D230" i="3"/>
  <c r="A231" i="3"/>
  <c r="C231" i="3"/>
  <c r="D231" i="3"/>
  <c r="A232" i="3"/>
  <c r="C232" i="3"/>
  <c r="D232" i="3"/>
  <c r="A233" i="3"/>
  <c r="C233" i="3"/>
  <c r="D233" i="3"/>
  <c r="A234" i="3"/>
  <c r="C234" i="3"/>
  <c r="D234" i="3"/>
  <c r="A235" i="3"/>
  <c r="C235" i="3"/>
  <c r="D235" i="3"/>
  <c r="A236" i="3"/>
  <c r="C236" i="3"/>
  <c r="D236" i="3"/>
  <c r="A237" i="3"/>
  <c r="C237" i="3"/>
  <c r="D237" i="3"/>
  <c r="A238" i="3"/>
  <c r="C238" i="3"/>
  <c r="D238" i="3"/>
  <c r="A239" i="3"/>
  <c r="C239" i="3"/>
  <c r="D239" i="3"/>
  <c r="A240" i="3"/>
  <c r="C240" i="3"/>
  <c r="D240" i="3"/>
  <c r="A241" i="3"/>
  <c r="C241" i="3"/>
  <c r="D241" i="3"/>
  <c r="A242" i="3"/>
  <c r="C242" i="3"/>
  <c r="D242" i="3"/>
  <c r="A243" i="3"/>
  <c r="C243" i="3"/>
  <c r="D243" i="3"/>
  <c r="A244" i="3"/>
  <c r="C244" i="3"/>
  <c r="D244" i="3"/>
  <c r="A245" i="3"/>
  <c r="C245" i="3"/>
  <c r="D245" i="3"/>
  <c r="A246" i="3"/>
  <c r="C246" i="3"/>
  <c r="D246" i="3"/>
  <c r="A247" i="3"/>
  <c r="C247" i="3"/>
  <c r="D247" i="3"/>
  <c r="A248" i="3"/>
  <c r="C248" i="3"/>
  <c r="D248" i="3"/>
  <c r="A249" i="3"/>
  <c r="C249" i="3"/>
  <c r="D249" i="3"/>
  <c r="A250" i="3"/>
  <c r="C250" i="3"/>
  <c r="D250" i="3"/>
  <c r="A251" i="3"/>
  <c r="C251" i="3"/>
  <c r="D251" i="3"/>
  <c r="A252" i="3"/>
  <c r="C252" i="3"/>
  <c r="D252" i="3"/>
  <c r="A253" i="3"/>
  <c r="C253" i="3"/>
  <c r="D253" i="3"/>
  <c r="A254" i="3"/>
  <c r="C254" i="3"/>
  <c r="D254" i="3"/>
  <c r="A255" i="3"/>
  <c r="C255" i="3"/>
  <c r="D255" i="3"/>
  <c r="A256" i="3"/>
  <c r="C256" i="3"/>
  <c r="D256" i="3"/>
  <c r="A257" i="3"/>
  <c r="C257" i="3"/>
  <c r="D257" i="3"/>
  <c r="A258" i="3"/>
  <c r="C258" i="3"/>
  <c r="D258" i="3"/>
  <c r="A259" i="3"/>
  <c r="C259" i="3"/>
  <c r="D259" i="3"/>
  <c r="A260" i="3"/>
  <c r="C260" i="3"/>
  <c r="D260" i="3"/>
  <c r="A261" i="3"/>
  <c r="C261" i="3"/>
  <c r="D261" i="3"/>
  <c r="A262" i="3"/>
  <c r="C262" i="3"/>
  <c r="D262" i="3"/>
  <c r="A263" i="3"/>
  <c r="C263" i="3"/>
  <c r="D263" i="3"/>
  <c r="A264" i="3"/>
  <c r="C264" i="3"/>
  <c r="D264" i="3"/>
  <c r="A265" i="3"/>
  <c r="C265" i="3"/>
  <c r="D265" i="3"/>
  <c r="A266" i="3"/>
  <c r="C266" i="3"/>
  <c r="D266" i="3"/>
  <c r="A267" i="3"/>
  <c r="C267" i="3"/>
  <c r="D267" i="3"/>
  <c r="A268" i="3"/>
  <c r="C268" i="3"/>
  <c r="D268" i="3"/>
  <c r="A269" i="3"/>
  <c r="C269" i="3"/>
  <c r="D269" i="3"/>
  <c r="A270" i="3"/>
  <c r="C270" i="3"/>
  <c r="D270" i="3"/>
  <c r="A271" i="3"/>
  <c r="C271" i="3"/>
  <c r="D271" i="3"/>
  <c r="A272" i="3"/>
  <c r="C272" i="3"/>
  <c r="D272" i="3"/>
  <c r="A273" i="3"/>
  <c r="C273" i="3"/>
  <c r="D273" i="3"/>
  <c r="A274" i="3"/>
  <c r="C274" i="3"/>
  <c r="D274" i="3"/>
  <c r="A275" i="3"/>
  <c r="C275" i="3"/>
  <c r="D275" i="3"/>
  <c r="A276" i="3"/>
  <c r="C276" i="3"/>
  <c r="D276" i="3"/>
  <c r="A277" i="3"/>
  <c r="C277" i="3"/>
  <c r="D277" i="3"/>
  <c r="A278" i="3"/>
  <c r="C278" i="3"/>
  <c r="D278" i="3"/>
  <c r="A279" i="3"/>
  <c r="C279" i="3"/>
  <c r="D279" i="3"/>
  <c r="A280" i="3"/>
  <c r="C280" i="3"/>
  <c r="D280" i="3"/>
  <c r="A281" i="3"/>
  <c r="C281" i="3"/>
  <c r="D281" i="3"/>
  <c r="A282" i="3"/>
  <c r="C282" i="3"/>
  <c r="D282" i="3"/>
  <c r="A283" i="3"/>
  <c r="C283" i="3"/>
  <c r="D283" i="3"/>
  <c r="A284" i="3"/>
  <c r="C284" i="3"/>
  <c r="D284" i="3"/>
  <c r="A285" i="3"/>
  <c r="C285" i="3"/>
  <c r="D285" i="3"/>
  <c r="A286" i="3"/>
  <c r="C286" i="3"/>
  <c r="D286" i="3"/>
  <c r="A287" i="3"/>
  <c r="C287" i="3"/>
  <c r="D287" i="3"/>
  <c r="A288" i="3"/>
  <c r="C288" i="3"/>
  <c r="D288" i="3"/>
  <c r="A289" i="3"/>
  <c r="C289" i="3"/>
  <c r="D289" i="3"/>
  <c r="A290" i="3"/>
  <c r="C290" i="3"/>
  <c r="D290" i="3"/>
  <c r="A291" i="3"/>
  <c r="C291" i="3"/>
  <c r="D291" i="3"/>
  <c r="A292" i="3"/>
  <c r="C292" i="3"/>
  <c r="D292" i="3"/>
  <c r="A293" i="3"/>
  <c r="C293" i="3"/>
  <c r="D293" i="3"/>
  <c r="A294" i="3"/>
  <c r="C294" i="3"/>
  <c r="D294" i="3"/>
  <c r="A295" i="3"/>
  <c r="C295" i="3"/>
  <c r="D295" i="3"/>
  <c r="A296" i="3"/>
  <c r="C296" i="3"/>
  <c r="D296" i="3"/>
  <c r="A297" i="3"/>
  <c r="C297" i="3"/>
  <c r="D297" i="3"/>
  <c r="A298" i="3"/>
  <c r="C298" i="3"/>
  <c r="D298" i="3"/>
  <c r="A299" i="3"/>
  <c r="C299" i="3"/>
  <c r="D299" i="3"/>
  <c r="A300" i="3"/>
  <c r="C300" i="3"/>
  <c r="D300" i="3"/>
  <c r="A301" i="3"/>
  <c r="C301" i="3"/>
  <c r="D301" i="3"/>
  <c r="A302" i="3"/>
  <c r="C302" i="3"/>
  <c r="D302" i="3"/>
  <c r="A303" i="3"/>
  <c r="C303" i="3"/>
  <c r="D303" i="3"/>
  <c r="A304" i="3"/>
  <c r="C304" i="3"/>
  <c r="D304" i="3"/>
  <c r="A305" i="3"/>
  <c r="C305" i="3"/>
  <c r="D305" i="3"/>
  <c r="A306" i="3"/>
  <c r="C306" i="3"/>
  <c r="D306" i="3"/>
  <c r="A307" i="3"/>
  <c r="C307" i="3"/>
  <c r="D307" i="3"/>
  <c r="A308" i="3"/>
  <c r="C308" i="3"/>
  <c r="D308" i="3"/>
  <c r="A309" i="3"/>
  <c r="C309" i="3"/>
  <c r="D309" i="3"/>
  <c r="A310" i="3"/>
  <c r="C310" i="3"/>
  <c r="D310" i="3"/>
  <c r="A311" i="3"/>
  <c r="C311" i="3"/>
  <c r="D311" i="3"/>
  <c r="A312" i="3"/>
  <c r="C312" i="3"/>
  <c r="D312" i="3"/>
  <c r="A313" i="3"/>
  <c r="C313" i="3"/>
  <c r="D313" i="3"/>
  <c r="A314" i="3"/>
  <c r="C314" i="3"/>
  <c r="D314" i="3"/>
  <c r="A315" i="3"/>
  <c r="C315" i="3"/>
  <c r="D315" i="3"/>
  <c r="A316" i="3"/>
  <c r="C316" i="3"/>
  <c r="D316" i="3"/>
  <c r="A317" i="3"/>
  <c r="C317" i="3"/>
  <c r="D317" i="3"/>
  <c r="A318" i="3"/>
  <c r="C318" i="3"/>
  <c r="D318" i="3"/>
  <c r="A319" i="3"/>
  <c r="C319" i="3"/>
  <c r="D319" i="3"/>
  <c r="A320" i="3"/>
  <c r="C320" i="3"/>
  <c r="D320" i="3"/>
  <c r="A321" i="3"/>
  <c r="C321" i="3"/>
  <c r="D321" i="3"/>
  <c r="A322" i="3"/>
  <c r="C322" i="3"/>
  <c r="D322" i="3"/>
  <c r="A323" i="3"/>
  <c r="C323" i="3"/>
  <c r="D323" i="3"/>
  <c r="A324" i="3"/>
  <c r="C324" i="3"/>
  <c r="D324" i="3"/>
  <c r="A325" i="3"/>
  <c r="C325" i="3"/>
  <c r="D325" i="3"/>
  <c r="A326" i="3"/>
  <c r="C326" i="3"/>
  <c r="D326" i="3"/>
  <c r="A327" i="3"/>
  <c r="C327" i="3"/>
  <c r="D327" i="3"/>
  <c r="A328" i="3"/>
  <c r="C328" i="3"/>
  <c r="D328" i="3"/>
  <c r="A329" i="3"/>
  <c r="C329" i="3"/>
  <c r="D329" i="3"/>
  <c r="A330" i="3"/>
  <c r="C330" i="3"/>
  <c r="D330" i="3"/>
  <c r="A331" i="3"/>
  <c r="C331" i="3"/>
  <c r="D331" i="3"/>
  <c r="A332" i="3"/>
  <c r="C332" i="3"/>
  <c r="D332" i="3"/>
  <c r="A333" i="3"/>
  <c r="C333" i="3"/>
  <c r="D333" i="3"/>
  <c r="A334" i="3"/>
  <c r="C334" i="3"/>
  <c r="D334" i="3"/>
  <c r="A335" i="3"/>
  <c r="C335" i="3"/>
  <c r="D335" i="3"/>
  <c r="A336" i="3"/>
  <c r="C336" i="3"/>
  <c r="D336" i="3"/>
  <c r="A337" i="3"/>
  <c r="C337" i="3"/>
  <c r="D337" i="3"/>
  <c r="A338" i="3"/>
  <c r="C338" i="3"/>
  <c r="D338" i="3"/>
  <c r="A339" i="3"/>
  <c r="C339" i="3"/>
  <c r="D339" i="3"/>
  <c r="A340" i="3"/>
  <c r="C340" i="3"/>
  <c r="D340" i="3"/>
  <c r="A341" i="3"/>
  <c r="C341" i="3"/>
  <c r="D341" i="3"/>
  <c r="A342" i="3"/>
  <c r="C342" i="3"/>
  <c r="D342" i="3"/>
  <c r="A343" i="3"/>
  <c r="C343" i="3"/>
  <c r="D343" i="3"/>
  <c r="A344" i="3"/>
  <c r="C344" i="3"/>
  <c r="D344" i="3"/>
  <c r="A345" i="3"/>
  <c r="C345" i="3"/>
  <c r="D345" i="3"/>
  <c r="A346" i="3"/>
  <c r="C346" i="3"/>
  <c r="D346" i="3"/>
  <c r="A347" i="3"/>
  <c r="C347" i="3"/>
  <c r="D347" i="3"/>
  <c r="A348" i="3"/>
  <c r="C348" i="3"/>
  <c r="D348" i="3"/>
  <c r="A349" i="3"/>
  <c r="C349" i="3"/>
  <c r="D349" i="3"/>
  <c r="A350" i="3"/>
  <c r="C350" i="3"/>
  <c r="D350" i="3"/>
  <c r="A351" i="3"/>
  <c r="C351" i="3"/>
  <c r="D351" i="3"/>
  <c r="A352" i="3"/>
  <c r="C352" i="3"/>
  <c r="D352" i="3"/>
  <c r="A353" i="3"/>
  <c r="C353" i="3"/>
  <c r="D353" i="3"/>
  <c r="A354" i="3"/>
  <c r="C354" i="3"/>
  <c r="D354" i="3"/>
  <c r="A355" i="3"/>
  <c r="C355" i="3"/>
  <c r="D355" i="3"/>
  <c r="A356" i="3"/>
  <c r="C356" i="3"/>
  <c r="D356" i="3"/>
  <c r="A357" i="3"/>
  <c r="C357" i="3"/>
  <c r="D357" i="3"/>
  <c r="A358" i="3"/>
  <c r="C358" i="3"/>
  <c r="D358" i="3"/>
  <c r="A359" i="3"/>
  <c r="C359" i="3"/>
  <c r="D359" i="3"/>
  <c r="A360" i="3"/>
  <c r="C360" i="3"/>
  <c r="D360" i="3"/>
  <c r="A361" i="3"/>
  <c r="C361" i="3"/>
  <c r="D361" i="3"/>
  <c r="A362" i="3"/>
  <c r="C362" i="3"/>
  <c r="D362" i="3"/>
  <c r="A363" i="3"/>
  <c r="C363" i="3"/>
  <c r="D363" i="3"/>
  <c r="A364" i="3"/>
  <c r="C364" i="3"/>
  <c r="D364" i="3"/>
  <c r="A365" i="3"/>
  <c r="C365" i="3"/>
  <c r="D365" i="3"/>
  <c r="A366" i="3"/>
  <c r="C366" i="3"/>
  <c r="D366" i="3"/>
  <c r="A367" i="3"/>
  <c r="C367" i="3"/>
  <c r="D367" i="3"/>
  <c r="A368" i="3"/>
  <c r="C368" i="3"/>
  <c r="D368" i="3"/>
  <c r="A369" i="3"/>
  <c r="C369" i="3"/>
  <c r="D369" i="3"/>
  <c r="A370" i="3"/>
  <c r="C370" i="3"/>
  <c r="D370" i="3"/>
  <c r="A371" i="3"/>
  <c r="C371" i="3"/>
  <c r="D371" i="3"/>
  <c r="A372" i="3"/>
  <c r="C372" i="3"/>
  <c r="D372" i="3"/>
  <c r="A373" i="3"/>
  <c r="C373" i="3"/>
  <c r="D373" i="3"/>
  <c r="A374" i="3"/>
  <c r="C374" i="3"/>
  <c r="D374" i="3"/>
  <c r="A375" i="3"/>
  <c r="C375" i="3"/>
  <c r="D375" i="3"/>
  <c r="A376" i="3"/>
  <c r="C376" i="3"/>
  <c r="D376" i="3"/>
  <c r="A377" i="3"/>
  <c r="C377" i="3"/>
  <c r="D377" i="3"/>
  <c r="A378" i="3"/>
  <c r="C378" i="3"/>
  <c r="D378" i="3"/>
  <c r="A379" i="3"/>
  <c r="C379" i="3"/>
  <c r="D379" i="3"/>
  <c r="A380" i="3"/>
  <c r="C380" i="3"/>
  <c r="D380" i="3"/>
  <c r="A381" i="3"/>
  <c r="C381" i="3"/>
  <c r="D381" i="3"/>
  <c r="A382" i="3"/>
  <c r="C382" i="3"/>
  <c r="D382" i="3"/>
  <c r="A383" i="3"/>
  <c r="C383" i="3"/>
  <c r="D383" i="3"/>
  <c r="A384" i="3"/>
  <c r="C384" i="3"/>
  <c r="D384" i="3"/>
  <c r="A385" i="3"/>
  <c r="C385" i="3"/>
  <c r="D385" i="3"/>
  <c r="A386" i="3"/>
  <c r="C386" i="3"/>
  <c r="D386" i="3"/>
  <c r="A387" i="3"/>
  <c r="C387" i="3"/>
  <c r="D387" i="3"/>
  <c r="A388" i="3"/>
  <c r="C388" i="3"/>
  <c r="D388" i="3"/>
  <c r="A389" i="3"/>
  <c r="C389" i="3"/>
  <c r="D389" i="3"/>
  <c r="A390" i="3"/>
  <c r="C390" i="3"/>
  <c r="D390" i="3"/>
  <c r="A391" i="3"/>
  <c r="C391" i="3"/>
  <c r="D391" i="3"/>
  <c r="A392" i="3"/>
  <c r="C392" i="3"/>
  <c r="D392" i="3"/>
  <c r="A393" i="3"/>
  <c r="C393" i="3"/>
  <c r="D393" i="3"/>
  <c r="A394" i="3"/>
  <c r="C394" i="3"/>
  <c r="D394" i="3"/>
  <c r="A395" i="3"/>
  <c r="C395" i="3"/>
  <c r="D395" i="3"/>
  <c r="A396" i="3"/>
  <c r="C396" i="3"/>
  <c r="D396" i="3"/>
  <c r="A397" i="3"/>
  <c r="C397" i="3"/>
  <c r="D397" i="3"/>
  <c r="A398" i="3"/>
  <c r="C398" i="3"/>
  <c r="D398" i="3"/>
  <c r="A399" i="3"/>
  <c r="C399" i="3"/>
  <c r="D399" i="3"/>
  <c r="A400" i="3"/>
  <c r="C400" i="3"/>
  <c r="D400" i="3"/>
  <c r="A401" i="3"/>
  <c r="C401" i="3"/>
  <c r="D401" i="3"/>
  <c r="A402" i="3"/>
  <c r="C402" i="3"/>
  <c r="D402" i="3"/>
  <c r="A403" i="3"/>
  <c r="C403" i="3"/>
  <c r="D403" i="3"/>
  <c r="A404" i="3"/>
  <c r="C404" i="3"/>
  <c r="D404" i="3"/>
  <c r="A405" i="3"/>
  <c r="C405" i="3"/>
  <c r="D405" i="3"/>
  <c r="A406" i="3"/>
  <c r="C406" i="3"/>
  <c r="D406" i="3"/>
  <c r="A407" i="3"/>
  <c r="C407" i="3"/>
  <c r="D407" i="3"/>
  <c r="A408" i="3"/>
  <c r="C408" i="3"/>
  <c r="D408" i="3"/>
  <c r="A409" i="3"/>
  <c r="C409" i="3"/>
  <c r="D409" i="3"/>
  <c r="A410" i="3"/>
  <c r="C410" i="3"/>
  <c r="D410" i="3"/>
  <c r="A411" i="3"/>
  <c r="C411" i="3"/>
  <c r="D411" i="3"/>
  <c r="A412" i="3"/>
  <c r="C412" i="3"/>
  <c r="D412" i="3"/>
  <c r="A413" i="3"/>
  <c r="C413" i="3"/>
  <c r="D413" i="3"/>
  <c r="A414" i="3"/>
  <c r="C414" i="3"/>
  <c r="D414" i="3"/>
  <c r="A415" i="3"/>
  <c r="C415" i="3"/>
  <c r="D415" i="3"/>
  <c r="A416" i="3"/>
  <c r="C416" i="3"/>
  <c r="D416" i="3"/>
  <c r="A417" i="3"/>
  <c r="C417" i="3"/>
  <c r="D417" i="3"/>
  <c r="A418" i="3"/>
  <c r="C418" i="3"/>
  <c r="D418" i="3"/>
  <c r="A419" i="3"/>
  <c r="C419" i="3"/>
  <c r="D419" i="3"/>
  <c r="A420" i="3"/>
  <c r="C420" i="3"/>
  <c r="D420" i="3"/>
  <c r="A421" i="3"/>
  <c r="C421" i="3"/>
  <c r="D421" i="3"/>
  <c r="A422" i="3"/>
  <c r="C422" i="3"/>
  <c r="D422" i="3"/>
  <c r="A423" i="3"/>
  <c r="C423" i="3"/>
  <c r="D423" i="3"/>
  <c r="A424" i="3"/>
  <c r="C424" i="3"/>
  <c r="D424" i="3"/>
  <c r="A425" i="3"/>
  <c r="C425" i="3"/>
  <c r="D425" i="3"/>
  <c r="A426" i="3"/>
  <c r="C426" i="3"/>
  <c r="D426" i="3"/>
  <c r="A427" i="3"/>
  <c r="C427" i="3"/>
  <c r="D427" i="3"/>
  <c r="A428" i="3"/>
  <c r="C428" i="3"/>
  <c r="D428" i="3"/>
  <c r="A429" i="3"/>
  <c r="C429" i="3"/>
  <c r="D429" i="3"/>
  <c r="A430" i="3"/>
  <c r="C430" i="3"/>
  <c r="D430" i="3"/>
  <c r="A431" i="3"/>
  <c r="C431" i="3"/>
  <c r="D431" i="3"/>
  <c r="A432" i="3"/>
  <c r="C432" i="3"/>
  <c r="D432" i="3"/>
  <c r="A433" i="3"/>
  <c r="C433" i="3"/>
  <c r="D433" i="3"/>
  <c r="A434" i="3"/>
  <c r="C434" i="3"/>
  <c r="D434" i="3"/>
  <c r="A435" i="3"/>
  <c r="C435" i="3"/>
  <c r="D435" i="3"/>
  <c r="A436" i="3"/>
  <c r="C436" i="3"/>
  <c r="D436" i="3"/>
  <c r="A437" i="3"/>
  <c r="C437" i="3"/>
  <c r="D437" i="3"/>
  <c r="A438" i="3"/>
  <c r="C438" i="3"/>
  <c r="D438" i="3"/>
  <c r="A439" i="3"/>
  <c r="C439" i="3"/>
  <c r="D439" i="3"/>
  <c r="A440" i="3"/>
  <c r="C440" i="3"/>
  <c r="D440" i="3"/>
  <c r="A441" i="3"/>
  <c r="C441" i="3"/>
  <c r="D441" i="3"/>
  <c r="A442" i="3"/>
  <c r="C442" i="3"/>
  <c r="D442" i="3"/>
  <c r="A443" i="3"/>
  <c r="C443" i="3"/>
  <c r="D443" i="3"/>
  <c r="A444" i="3"/>
  <c r="C444" i="3"/>
  <c r="D444" i="3"/>
  <c r="A445" i="3"/>
  <c r="C445" i="3"/>
  <c r="D445" i="3"/>
  <c r="A446" i="3"/>
  <c r="C446" i="3"/>
  <c r="D446" i="3"/>
  <c r="A447" i="3"/>
  <c r="C447" i="3"/>
  <c r="D447" i="3"/>
  <c r="A448" i="3"/>
  <c r="C448" i="3"/>
  <c r="D448" i="3"/>
  <c r="A449" i="3"/>
  <c r="C449" i="3"/>
  <c r="D449" i="3"/>
  <c r="A450" i="3"/>
  <c r="C450" i="3"/>
  <c r="D450" i="3"/>
  <c r="A451" i="3"/>
  <c r="C451" i="3"/>
  <c r="D451" i="3"/>
  <c r="A452" i="3"/>
  <c r="C452" i="3"/>
  <c r="D452" i="3"/>
  <c r="A453" i="3"/>
  <c r="C453" i="3"/>
  <c r="D453" i="3"/>
  <c r="A454" i="3"/>
  <c r="C454" i="3"/>
  <c r="D454" i="3"/>
  <c r="A455" i="3"/>
  <c r="C455" i="3"/>
  <c r="D455" i="3"/>
  <c r="A456" i="3"/>
  <c r="C456" i="3"/>
  <c r="D456" i="3"/>
  <c r="A457" i="3"/>
  <c r="C457" i="3"/>
  <c r="D457" i="3"/>
  <c r="A458" i="3"/>
  <c r="C458" i="3"/>
  <c r="D458" i="3"/>
  <c r="A459" i="3"/>
  <c r="C459" i="3"/>
  <c r="D459" i="3"/>
  <c r="A460" i="3"/>
  <c r="C460" i="3"/>
  <c r="D460" i="3"/>
  <c r="A461" i="3"/>
  <c r="C461" i="3"/>
  <c r="D461" i="3"/>
  <c r="A462" i="3"/>
  <c r="C462" i="3"/>
  <c r="D462" i="3"/>
  <c r="A463" i="3"/>
  <c r="C463" i="3"/>
  <c r="D463" i="3"/>
  <c r="A464" i="3"/>
  <c r="C464" i="3"/>
  <c r="D464" i="3"/>
  <c r="A465" i="3"/>
  <c r="C465" i="3"/>
  <c r="D465" i="3"/>
  <c r="A466" i="3"/>
  <c r="C466" i="3"/>
  <c r="D466" i="3"/>
  <c r="A467" i="3"/>
  <c r="C467" i="3"/>
  <c r="D467" i="3"/>
  <c r="A468" i="3"/>
  <c r="C468" i="3"/>
  <c r="D468" i="3"/>
  <c r="A469" i="3"/>
  <c r="C469" i="3"/>
  <c r="D469" i="3"/>
  <c r="A470" i="3"/>
  <c r="C470" i="3"/>
  <c r="D470" i="3"/>
  <c r="A471" i="3"/>
  <c r="C471" i="3"/>
  <c r="D471" i="3"/>
  <c r="A472" i="3"/>
  <c r="C472" i="3"/>
  <c r="D472" i="3"/>
  <c r="A473" i="3"/>
  <c r="C473" i="3"/>
  <c r="D473" i="3"/>
  <c r="A474" i="3"/>
  <c r="C474" i="3"/>
  <c r="D474" i="3"/>
  <c r="A475" i="3"/>
  <c r="C475" i="3"/>
  <c r="D475" i="3"/>
  <c r="A476" i="3"/>
  <c r="C476" i="3"/>
  <c r="D476" i="3"/>
  <c r="A477" i="3"/>
  <c r="C477" i="3"/>
  <c r="D477" i="3"/>
  <c r="A478" i="3"/>
  <c r="C478" i="3"/>
  <c r="D478" i="3"/>
  <c r="A479" i="3"/>
  <c r="C479" i="3"/>
  <c r="D479" i="3"/>
  <c r="A480" i="3"/>
  <c r="C480" i="3"/>
  <c r="D480" i="3"/>
  <c r="A481" i="3"/>
  <c r="C481" i="3"/>
  <c r="D481" i="3"/>
  <c r="A482" i="3"/>
  <c r="C482" i="3"/>
  <c r="D482" i="3"/>
  <c r="A483" i="3"/>
  <c r="C483" i="3"/>
  <c r="D483" i="3"/>
  <c r="A484" i="3"/>
  <c r="C484" i="3"/>
  <c r="D484" i="3"/>
  <c r="A485" i="3"/>
  <c r="C485" i="3"/>
  <c r="D485" i="3"/>
  <c r="A486" i="3"/>
  <c r="C486" i="3"/>
  <c r="D486" i="3"/>
  <c r="A487" i="3"/>
  <c r="C487" i="3"/>
  <c r="D487" i="3"/>
  <c r="A488" i="3"/>
  <c r="C488" i="3"/>
  <c r="D488" i="3"/>
  <c r="A489" i="3"/>
  <c r="C489" i="3"/>
  <c r="D489" i="3"/>
  <c r="A490" i="3"/>
  <c r="C490" i="3"/>
  <c r="D490" i="3"/>
  <c r="A491" i="3"/>
  <c r="C491" i="3"/>
  <c r="D491" i="3"/>
  <c r="A492" i="3"/>
  <c r="C492" i="3"/>
  <c r="D492" i="3"/>
  <c r="A493" i="3"/>
  <c r="C493" i="3"/>
  <c r="D493" i="3"/>
  <c r="A494" i="3"/>
  <c r="C494" i="3"/>
  <c r="D494" i="3"/>
  <c r="A495" i="3"/>
  <c r="C495" i="3"/>
  <c r="D495" i="3"/>
  <c r="A496" i="3"/>
  <c r="C496" i="3"/>
  <c r="D496" i="3"/>
  <c r="A497" i="3"/>
  <c r="C497" i="3"/>
  <c r="D497" i="3"/>
  <c r="A498" i="3"/>
  <c r="C498" i="3"/>
  <c r="D498" i="3"/>
  <c r="A499" i="3"/>
  <c r="C499" i="3"/>
  <c r="D499" i="3"/>
  <c r="A500" i="3"/>
  <c r="C500" i="3"/>
  <c r="D500" i="3"/>
  <c r="A501" i="3"/>
  <c r="C501" i="3"/>
  <c r="D501" i="3"/>
  <c r="A502" i="3"/>
  <c r="C502" i="3"/>
  <c r="D502" i="3"/>
  <c r="A503" i="3"/>
  <c r="C503" i="3"/>
  <c r="D503" i="3"/>
  <c r="A504" i="3"/>
  <c r="C504" i="3"/>
  <c r="D504" i="3"/>
  <c r="A505" i="3"/>
  <c r="C505" i="3"/>
  <c r="D505" i="3"/>
  <c r="A506" i="3"/>
  <c r="C506" i="3"/>
  <c r="D506" i="3"/>
  <c r="A507" i="3"/>
  <c r="C507" i="3"/>
  <c r="D507" i="3"/>
  <c r="A508" i="3"/>
  <c r="C508" i="3"/>
  <c r="D508" i="3"/>
  <c r="A509" i="3"/>
  <c r="C509" i="3"/>
  <c r="D509" i="3"/>
  <c r="A510" i="3"/>
  <c r="C510" i="3"/>
  <c r="D510" i="3"/>
  <c r="A511" i="3"/>
  <c r="C511" i="3"/>
  <c r="D511" i="3"/>
  <c r="A512" i="3"/>
  <c r="C512" i="3"/>
  <c r="D512" i="3"/>
  <c r="A513" i="3"/>
  <c r="C513" i="3"/>
  <c r="D513" i="3"/>
  <c r="A514" i="3"/>
  <c r="C514" i="3"/>
  <c r="D514" i="3"/>
  <c r="A515" i="3"/>
  <c r="C515" i="3"/>
  <c r="D515" i="3"/>
  <c r="A516" i="3"/>
  <c r="C516" i="3"/>
  <c r="D516" i="3"/>
  <c r="A517" i="3"/>
  <c r="C517" i="3"/>
  <c r="D517" i="3"/>
  <c r="A518" i="3"/>
  <c r="C518" i="3"/>
  <c r="D518" i="3"/>
  <c r="A519" i="3"/>
  <c r="C519" i="3"/>
  <c r="D519" i="3"/>
  <c r="A520" i="3"/>
  <c r="C520" i="3"/>
  <c r="D520" i="3"/>
  <c r="A521" i="3"/>
  <c r="C521" i="3"/>
  <c r="D521" i="3"/>
  <c r="A522" i="3"/>
  <c r="C522" i="3"/>
  <c r="D522" i="3"/>
  <c r="A523" i="3"/>
  <c r="C523" i="3"/>
  <c r="D523" i="3"/>
  <c r="A524" i="3"/>
  <c r="C524" i="3"/>
  <c r="D524" i="3"/>
  <c r="A525" i="3"/>
  <c r="C525" i="3"/>
  <c r="D525" i="3"/>
  <c r="A526" i="3"/>
  <c r="C526" i="3"/>
  <c r="D526" i="3"/>
  <c r="A527" i="3"/>
  <c r="C527" i="3"/>
  <c r="D527" i="3"/>
  <c r="A528" i="3"/>
  <c r="C528" i="3"/>
  <c r="D528" i="3"/>
  <c r="A529" i="3"/>
  <c r="C529" i="3"/>
  <c r="D529" i="3"/>
  <c r="A530" i="3"/>
  <c r="C530" i="3"/>
  <c r="D530" i="3"/>
  <c r="A531" i="3"/>
  <c r="C531" i="3"/>
  <c r="D531" i="3"/>
  <c r="A532" i="3"/>
  <c r="C532" i="3"/>
  <c r="D532" i="3"/>
  <c r="A533" i="3"/>
  <c r="C533" i="3"/>
  <c r="D533" i="3"/>
  <c r="A534" i="3"/>
  <c r="C534" i="3"/>
  <c r="D534" i="3"/>
  <c r="A535" i="3"/>
  <c r="C535" i="3"/>
  <c r="D535" i="3"/>
  <c r="A536" i="3"/>
  <c r="C536" i="3"/>
  <c r="D536" i="3"/>
  <c r="A537" i="3"/>
  <c r="C537" i="3"/>
  <c r="D537" i="3"/>
  <c r="A538" i="3"/>
  <c r="C538" i="3"/>
  <c r="D538" i="3"/>
  <c r="A539" i="3"/>
  <c r="C539" i="3"/>
  <c r="D539" i="3"/>
  <c r="A540" i="3"/>
  <c r="C540" i="3"/>
  <c r="D540" i="3"/>
  <c r="A541" i="3"/>
  <c r="C541" i="3"/>
  <c r="D541" i="3"/>
  <c r="A542" i="3"/>
  <c r="C542" i="3"/>
  <c r="D542" i="3"/>
  <c r="A543" i="3"/>
  <c r="C543" i="3"/>
  <c r="D543" i="3"/>
  <c r="A544" i="3"/>
  <c r="C544" i="3"/>
  <c r="D544" i="3"/>
  <c r="A545" i="3"/>
  <c r="C545" i="3"/>
  <c r="D545" i="3"/>
  <c r="A546" i="3"/>
  <c r="C546" i="3"/>
  <c r="D546" i="3"/>
  <c r="A547" i="3"/>
  <c r="C547" i="3"/>
  <c r="D547" i="3"/>
  <c r="A548" i="3"/>
  <c r="C548" i="3"/>
  <c r="D548" i="3"/>
  <c r="A549" i="3"/>
  <c r="C549" i="3"/>
  <c r="D549" i="3"/>
  <c r="A550" i="3"/>
  <c r="C550" i="3"/>
  <c r="D550" i="3"/>
  <c r="A551" i="3"/>
  <c r="C551" i="3"/>
  <c r="D551" i="3"/>
  <c r="A552" i="3"/>
  <c r="C552" i="3"/>
  <c r="D552" i="3"/>
  <c r="A553" i="3"/>
  <c r="C553" i="3"/>
  <c r="D553" i="3"/>
  <c r="A554" i="3"/>
  <c r="C554" i="3"/>
  <c r="D554" i="3"/>
  <c r="A555" i="3"/>
  <c r="C555" i="3"/>
  <c r="D555" i="3"/>
  <c r="A556" i="3"/>
  <c r="C556" i="3"/>
  <c r="D556" i="3"/>
  <c r="A557" i="3"/>
  <c r="C557" i="3"/>
  <c r="D557" i="3"/>
  <c r="A558" i="3"/>
  <c r="C558" i="3"/>
  <c r="D558" i="3"/>
  <c r="A559" i="3"/>
  <c r="C559" i="3"/>
  <c r="D559" i="3"/>
  <c r="A560" i="3"/>
  <c r="C560" i="3"/>
  <c r="D560" i="3"/>
  <c r="A561" i="3"/>
  <c r="C561" i="3"/>
  <c r="D561" i="3"/>
  <c r="A562" i="3"/>
  <c r="C562" i="3"/>
  <c r="D562" i="3"/>
  <c r="A563" i="3"/>
  <c r="C563" i="3"/>
  <c r="D563" i="3"/>
  <c r="A564" i="3"/>
  <c r="C564" i="3"/>
  <c r="D564" i="3"/>
  <c r="A565" i="3"/>
  <c r="C565" i="3"/>
  <c r="D565" i="3"/>
  <c r="A566" i="3"/>
  <c r="C566" i="3"/>
  <c r="D566" i="3"/>
  <c r="A567" i="3"/>
  <c r="C567" i="3"/>
  <c r="D567" i="3"/>
  <c r="A568" i="3"/>
  <c r="C568" i="3"/>
  <c r="D568" i="3"/>
  <c r="A569" i="3"/>
  <c r="C569" i="3"/>
  <c r="D569" i="3"/>
  <c r="A570" i="3"/>
  <c r="C570" i="3"/>
  <c r="D570" i="3"/>
  <c r="A571" i="3"/>
  <c r="C571" i="3"/>
  <c r="D571" i="3"/>
  <c r="A572" i="3"/>
  <c r="C572" i="3"/>
  <c r="D572" i="3"/>
  <c r="A573" i="3"/>
  <c r="C573" i="3"/>
  <c r="D573" i="3"/>
  <c r="A574" i="3"/>
  <c r="C574" i="3"/>
  <c r="D574" i="3"/>
  <c r="A575" i="3"/>
  <c r="C575" i="3"/>
  <c r="D575" i="3"/>
  <c r="A576" i="3"/>
  <c r="C576" i="3"/>
  <c r="D576" i="3"/>
  <c r="A577" i="3"/>
  <c r="C577" i="3"/>
  <c r="D577" i="3"/>
  <c r="A578" i="3"/>
  <c r="C578" i="3"/>
  <c r="D578" i="3"/>
  <c r="A579" i="3"/>
  <c r="C579" i="3"/>
  <c r="D579" i="3"/>
  <c r="A580" i="3"/>
  <c r="C580" i="3"/>
  <c r="D580" i="3"/>
  <c r="A581" i="3"/>
  <c r="C581" i="3"/>
  <c r="D581" i="3"/>
  <c r="A582" i="3"/>
  <c r="C582" i="3"/>
  <c r="D582" i="3"/>
  <c r="A583" i="3"/>
  <c r="C583" i="3"/>
  <c r="D583" i="3"/>
  <c r="A584" i="3"/>
  <c r="C584" i="3"/>
  <c r="D584" i="3"/>
  <c r="A585" i="3"/>
  <c r="C585" i="3"/>
  <c r="D585" i="3"/>
  <c r="A586" i="3"/>
  <c r="C586" i="3"/>
  <c r="D586" i="3"/>
  <c r="A587" i="3"/>
  <c r="C587" i="3"/>
  <c r="D587" i="3"/>
  <c r="A588" i="3"/>
  <c r="C588" i="3"/>
  <c r="D588" i="3"/>
  <c r="A589" i="3"/>
  <c r="C589" i="3"/>
  <c r="D589" i="3"/>
  <c r="A590" i="3"/>
  <c r="C590" i="3"/>
  <c r="D590" i="3"/>
  <c r="A591" i="3"/>
  <c r="C591" i="3"/>
  <c r="D591" i="3"/>
  <c r="A592" i="3"/>
  <c r="C592" i="3"/>
  <c r="D592" i="3"/>
  <c r="A593" i="3"/>
  <c r="C593" i="3"/>
  <c r="D593" i="3"/>
  <c r="A594" i="3"/>
  <c r="C594" i="3"/>
  <c r="D594" i="3"/>
  <c r="A595" i="3"/>
  <c r="C595" i="3"/>
  <c r="D595" i="3"/>
  <c r="A596" i="3"/>
  <c r="C596" i="3"/>
  <c r="D596" i="3"/>
  <c r="A597" i="3"/>
  <c r="C597" i="3"/>
  <c r="D597" i="3"/>
  <c r="A598" i="3"/>
  <c r="C598" i="3"/>
  <c r="D598" i="3"/>
  <c r="A599" i="3"/>
  <c r="C599" i="3"/>
  <c r="D599" i="3"/>
  <c r="A600" i="3"/>
  <c r="C600" i="3"/>
  <c r="D600" i="3"/>
  <c r="A601" i="3"/>
  <c r="C601" i="3"/>
  <c r="D601" i="3"/>
  <c r="A602" i="3"/>
  <c r="C602" i="3"/>
  <c r="D602" i="3"/>
  <c r="A603" i="3"/>
  <c r="C603" i="3"/>
  <c r="D603" i="3"/>
  <c r="A604" i="3"/>
  <c r="C604" i="3"/>
  <c r="D604" i="3"/>
  <c r="A605" i="3"/>
  <c r="C605" i="3"/>
  <c r="D605" i="3"/>
  <c r="A606" i="3"/>
  <c r="C606" i="3"/>
  <c r="D606" i="3"/>
  <c r="A607" i="3"/>
  <c r="C607" i="3"/>
  <c r="D607" i="3"/>
  <c r="A608" i="3"/>
  <c r="C608" i="3"/>
  <c r="D608" i="3"/>
  <c r="A609" i="3"/>
  <c r="C609" i="3"/>
  <c r="D609" i="3"/>
  <c r="A610" i="3"/>
  <c r="C610" i="3"/>
  <c r="D610" i="3"/>
  <c r="A611" i="3"/>
  <c r="C611" i="3"/>
  <c r="D611" i="3"/>
  <c r="A612" i="3"/>
  <c r="C612" i="3"/>
  <c r="D612" i="3"/>
  <c r="A613" i="3"/>
  <c r="C613" i="3"/>
  <c r="D613" i="3"/>
  <c r="A614" i="3"/>
  <c r="C614" i="3"/>
  <c r="D614" i="3"/>
  <c r="A615" i="3"/>
  <c r="C615" i="3"/>
  <c r="D615" i="3"/>
  <c r="A616" i="3"/>
  <c r="C616" i="3"/>
  <c r="D616" i="3"/>
  <c r="A617" i="3"/>
  <c r="C617" i="3"/>
  <c r="D617" i="3"/>
  <c r="A618" i="3"/>
  <c r="C618" i="3"/>
  <c r="D618" i="3"/>
  <c r="A619" i="3"/>
  <c r="C619" i="3"/>
  <c r="D619" i="3"/>
  <c r="A620" i="3"/>
  <c r="C620" i="3"/>
  <c r="D620" i="3"/>
  <c r="A621" i="3"/>
  <c r="C621" i="3"/>
  <c r="D621" i="3"/>
  <c r="A622" i="3"/>
  <c r="C622" i="3"/>
  <c r="D622" i="3"/>
  <c r="A623" i="3"/>
  <c r="C623" i="3"/>
  <c r="D623" i="3"/>
  <c r="A624" i="3"/>
  <c r="C624" i="3"/>
  <c r="D624" i="3"/>
  <c r="A625" i="3"/>
  <c r="C625" i="3"/>
  <c r="D625" i="3"/>
  <c r="A626" i="3"/>
  <c r="C626" i="3"/>
  <c r="D626" i="3"/>
  <c r="A627" i="3"/>
  <c r="C627" i="3"/>
  <c r="D627" i="3"/>
  <c r="A628" i="3"/>
  <c r="C628" i="3"/>
  <c r="D628" i="3"/>
  <c r="A629" i="3"/>
  <c r="C629" i="3"/>
  <c r="D629" i="3"/>
  <c r="A630" i="3"/>
  <c r="C630" i="3"/>
  <c r="D630" i="3"/>
  <c r="A631" i="3"/>
  <c r="C631" i="3"/>
  <c r="D631" i="3"/>
  <c r="A632" i="3"/>
  <c r="C632" i="3"/>
  <c r="D632" i="3"/>
  <c r="A633" i="3"/>
  <c r="C633" i="3"/>
  <c r="D633" i="3"/>
  <c r="A634" i="3"/>
  <c r="C634" i="3"/>
  <c r="D634" i="3"/>
  <c r="A635" i="3"/>
  <c r="C635" i="3"/>
  <c r="D635" i="3"/>
  <c r="A636" i="3"/>
  <c r="C636" i="3"/>
  <c r="D636" i="3"/>
  <c r="A637" i="3"/>
  <c r="C637" i="3"/>
  <c r="D637" i="3"/>
  <c r="A638" i="3"/>
  <c r="C638" i="3"/>
  <c r="D638" i="3"/>
  <c r="A639" i="3"/>
  <c r="C639" i="3"/>
  <c r="D639" i="3"/>
  <c r="A640" i="3"/>
  <c r="C640" i="3"/>
  <c r="D640" i="3"/>
  <c r="A641" i="3"/>
  <c r="C641" i="3"/>
  <c r="D641" i="3"/>
  <c r="A642" i="3"/>
  <c r="C642" i="3"/>
  <c r="D642" i="3"/>
  <c r="A643" i="3"/>
  <c r="C643" i="3"/>
  <c r="D643" i="3"/>
  <c r="A644" i="3"/>
  <c r="C644" i="3"/>
  <c r="D644" i="3"/>
  <c r="A645" i="3"/>
  <c r="C645" i="3"/>
  <c r="D645" i="3"/>
  <c r="A646" i="3"/>
  <c r="C646" i="3"/>
  <c r="D646" i="3"/>
  <c r="A647" i="3"/>
  <c r="C647" i="3"/>
  <c r="D647" i="3"/>
  <c r="A648" i="3"/>
  <c r="C648" i="3"/>
  <c r="D648" i="3"/>
  <c r="A649" i="3"/>
  <c r="C649" i="3"/>
  <c r="D649" i="3"/>
  <c r="A650" i="3"/>
  <c r="C650" i="3"/>
  <c r="D650" i="3"/>
  <c r="A651" i="3"/>
  <c r="C651" i="3"/>
  <c r="D651" i="3"/>
  <c r="A652" i="3"/>
  <c r="C652" i="3"/>
  <c r="D652" i="3"/>
  <c r="A653" i="3"/>
  <c r="C653" i="3"/>
  <c r="D653" i="3"/>
  <c r="A654" i="3"/>
  <c r="C654" i="3"/>
  <c r="D654" i="3"/>
  <c r="A655" i="3"/>
  <c r="C655" i="3"/>
  <c r="D655" i="3"/>
  <c r="A656" i="3"/>
  <c r="C656" i="3"/>
  <c r="D656" i="3"/>
  <c r="A657" i="3"/>
  <c r="C657" i="3"/>
  <c r="D657" i="3"/>
  <c r="A658" i="3"/>
  <c r="C658" i="3"/>
  <c r="D658" i="3"/>
  <c r="A659" i="3"/>
  <c r="C659" i="3"/>
  <c r="D659" i="3"/>
  <c r="A660" i="3"/>
  <c r="C660" i="3"/>
  <c r="D660" i="3"/>
  <c r="A661" i="3"/>
  <c r="C661" i="3"/>
  <c r="D661" i="3"/>
  <c r="A662" i="3"/>
  <c r="C662" i="3"/>
  <c r="D662" i="3"/>
  <c r="A663" i="3"/>
  <c r="C663" i="3"/>
  <c r="D663" i="3"/>
  <c r="A664" i="3"/>
  <c r="C664" i="3"/>
  <c r="D664" i="3"/>
  <c r="A665" i="3"/>
  <c r="C665" i="3"/>
  <c r="D665" i="3"/>
  <c r="A666" i="3"/>
  <c r="C666" i="3"/>
  <c r="D666" i="3"/>
  <c r="A667" i="3"/>
  <c r="C667" i="3"/>
  <c r="D667" i="3"/>
  <c r="A668" i="3"/>
  <c r="C668" i="3"/>
  <c r="D668" i="3"/>
  <c r="A669" i="3"/>
  <c r="C669" i="3"/>
  <c r="D669" i="3"/>
  <c r="A670" i="3"/>
  <c r="C670" i="3"/>
  <c r="D670" i="3"/>
  <c r="A671" i="3"/>
  <c r="C671" i="3"/>
  <c r="D671" i="3"/>
  <c r="A672" i="3"/>
  <c r="C672" i="3"/>
  <c r="D672" i="3"/>
  <c r="A673" i="3"/>
  <c r="C673" i="3"/>
  <c r="D673" i="3"/>
  <c r="A674" i="3"/>
  <c r="C674" i="3"/>
  <c r="D674" i="3"/>
  <c r="A675" i="3"/>
  <c r="C675" i="3"/>
  <c r="D675" i="3"/>
  <c r="A676" i="3"/>
  <c r="C676" i="3"/>
  <c r="D676" i="3"/>
  <c r="A677" i="3"/>
  <c r="C677" i="3"/>
  <c r="D677" i="3"/>
  <c r="A678" i="3"/>
  <c r="C678" i="3"/>
  <c r="D678" i="3"/>
  <c r="A679" i="3"/>
  <c r="C679" i="3"/>
  <c r="D679" i="3"/>
  <c r="A680" i="3"/>
  <c r="C680" i="3"/>
  <c r="D680" i="3"/>
  <c r="A681" i="3"/>
  <c r="C681" i="3"/>
  <c r="D681" i="3"/>
  <c r="A682" i="3"/>
  <c r="C682" i="3"/>
  <c r="D682" i="3"/>
  <c r="A683" i="3"/>
  <c r="C683" i="3"/>
  <c r="D683" i="3"/>
  <c r="A684" i="3"/>
  <c r="C684" i="3"/>
  <c r="D684" i="3"/>
  <c r="A685" i="3"/>
  <c r="C685" i="3"/>
  <c r="D685" i="3"/>
  <c r="A686" i="3"/>
  <c r="C686" i="3"/>
  <c r="D686" i="3"/>
  <c r="A687" i="3"/>
  <c r="C687" i="3"/>
  <c r="D687" i="3"/>
  <c r="A688" i="3"/>
  <c r="C688" i="3"/>
  <c r="D688" i="3"/>
  <c r="A689" i="3"/>
  <c r="C689" i="3"/>
  <c r="D689" i="3"/>
  <c r="A690" i="3"/>
  <c r="C690" i="3"/>
  <c r="D690" i="3"/>
  <c r="A691" i="3"/>
  <c r="C691" i="3"/>
  <c r="D691" i="3"/>
  <c r="A692" i="3"/>
  <c r="C692" i="3"/>
  <c r="D692" i="3"/>
  <c r="A693" i="3"/>
  <c r="C693" i="3"/>
  <c r="D693" i="3"/>
  <c r="A694" i="3"/>
  <c r="C694" i="3"/>
  <c r="D694" i="3"/>
  <c r="A695" i="3"/>
  <c r="C695" i="3"/>
  <c r="D695" i="3"/>
  <c r="A696" i="3"/>
  <c r="C696" i="3"/>
  <c r="D696" i="3"/>
  <c r="A697" i="3"/>
  <c r="C697" i="3"/>
  <c r="D697" i="3"/>
  <c r="A698" i="3"/>
  <c r="C698" i="3"/>
  <c r="D698" i="3"/>
  <c r="A699" i="3"/>
  <c r="C699" i="3"/>
  <c r="D699" i="3"/>
  <c r="A700" i="3"/>
  <c r="C700" i="3"/>
  <c r="D700" i="3"/>
  <c r="A701" i="3"/>
  <c r="C701" i="3"/>
  <c r="D701" i="3"/>
  <c r="A702" i="3"/>
  <c r="C702" i="3"/>
  <c r="D702" i="3"/>
  <c r="A703" i="3"/>
  <c r="C703" i="3"/>
  <c r="D703" i="3"/>
  <c r="A704" i="3"/>
  <c r="C704" i="3"/>
  <c r="D704" i="3"/>
  <c r="A705" i="3"/>
  <c r="C705" i="3"/>
  <c r="D705" i="3"/>
  <c r="A706" i="3"/>
  <c r="C706" i="3"/>
  <c r="D706" i="3"/>
  <c r="A707" i="3"/>
  <c r="C707" i="3"/>
  <c r="D707" i="3"/>
  <c r="A708" i="3"/>
  <c r="C708" i="3"/>
  <c r="D708" i="3"/>
  <c r="A709" i="3"/>
  <c r="C709" i="3"/>
  <c r="D709" i="3"/>
  <c r="A710" i="3"/>
  <c r="C710" i="3"/>
  <c r="D710" i="3"/>
  <c r="A711" i="3"/>
  <c r="C711" i="3"/>
  <c r="D711" i="3"/>
  <c r="A712" i="3"/>
  <c r="C712" i="3"/>
  <c r="D712" i="3"/>
  <c r="A713" i="3"/>
  <c r="C713" i="3"/>
  <c r="D713" i="3"/>
  <c r="A714" i="3"/>
  <c r="C714" i="3"/>
  <c r="D714" i="3"/>
  <c r="A715" i="3"/>
  <c r="C715" i="3"/>
  <c r="D715" i="3"/>
  <c r="A716" i="3"/>
  <c r="C716" i="3"/>
  <c r="D716" i="3"/>
  <c r="A717" i="3"/>
  <c r="C717" i="3"/>
  <c r="D717" i="3"/>
  <c r="A718" i="3"/>
  <c r="C718" i="3"/>
  <c r="D718" i="3"/>
  <c r="A719" i="3"/>
  <c r="C719" i="3"/>
  <c r="D719" i="3"/>
  <c r="A720" i="3"/>
  <c r="C720" i="3"/>
  <c r="D720" i="3"/>
  <c r="A721" i="3"/>
  <c r="C721" i="3"/>
  <c r="D721" i="3"/>
  <c r="A722" i="3"/>
  <c r="C722" i="3"/>
  <c r="D722" i="3"/>
  <c r="A723" i="3"/>
  <c r="C723" i="3"/>
  <c r="D723" i="3"/>
  <c r="A724" i="3"/>
  <c r="C724" i="3"/>
  <c r="D724" i="3"/>
  <c r="A725" i="3"/>
  <c r="C725" i="3"/>
  <c r="D725" i="3"/>
  <c r="A726" i="3"/>
  <c r="C726" i="3"/>
  <c r="D726" i="3"/>
  <c r="A727" i="3"/>
  <c r="C727" i="3"/>
  <c r="D727" i="3"/>
  <c r="A728" i="3"/>
  <c r="C728" i="3"/>
  <c r="D728" i="3"/>
  <c r="A729" i="3"/>
  <c r="C729" i="3"/>
  <c r="D729" i="3"/>
  <c r="A730" i="3"/>
  <c r="C730" i="3"/>
  <c r="D730" i="3"/>
  <c r="A731" i="3"/>
  <c r="C731" i="3"/>
  <c r="D731" i="3"/>
  <c r="A732" i="3"/>
  <c r="C732" i="3"/>
  <c r="D732" i="3"/>
  <c r="A733" i="3"/>
  <c r="C733" i="3"/>
  <c r="D733" i="3"/>
  <c r="A734" i="3"/>
  <c r="C734" i="3"/>
  <c r="D734" i="3"/>
  <c r="A735" i="3"/>
  <c r="C735" i="3"/>
  <c r="D735" i="3"/>
  <c r="A736" i="3"/>
  <c r="C736" i="3"/>
  <c r="D736" i="3"/>
  <c r="A737" i="3"/>
  <c r="C737" i="3"/>
  <c r="D737" i="3"/>
  <c r="A738" i="3"/>
  <c r="C738" i="3"/>
  <c r="D738" i="3"/>
  <c r="A739" i="3"/>
  <c r="C739" i="3"/>
  <c r="D739" i="3"/>
  <c r="A740" i="3"/>
  <c r="C740" i="3"/>
  <c r="D740" i="3"/>
  <c r="A741" i="3"/>
  <c r="C741" i="3"/>
  <c r="D741" i="3"/>
  <c r="A742" i="3"/>
  <c r="C742" i="3"/>
  <c r="D742" i="3"/>
  <c r="A743" i="3"/>
  <c r="C743" i="3"/>
  <c r="D743" i="3"/>
  <c r="A744" i="3"/>
  <c r="C744" i="3"/>
  <c r="D744" i="3"/>
  <c r="A745" i="3"/>
  <c r="C745" i="3"/>
  <c r="D745" i="3"/>
  <c r="A746" i="3"/>
  <c r="C746" i="3"/>
  <c r="D746" i="3"/>
  <c r="A747" i="3"/>
  <c r="C747" i="3"/>
  <c r="D747" i="3"/>
  <c r="A748" i="3"/>
  <c r="C748" i="3"/>
  <c r="D748" i="3"/>
  <c r="A749" i="3"/>
  <c r="C749" i="3"/>
  <c r="D749" i="3"/>
  <c r="A750" i="3"/>
  <c r="C750" i="3"/>
  <c r="D750" i="3"/>
  <c r="A751" i="3"/>
  <c r="C751" i="3"/>
  <c r="D751" i="3"/>
  <c r="A752" i="3"/>
  <c r="C752" i="3"/>
  <c r="D752" i="3"/>
  <c r="A753" i="3"/>
  <c r="C753" i="3"/>
  <c r="D753" i="3"/>
  <c r="A754" i="3"/>
  <c r="C754" i="3"/>
  <c r="D754" i="3"/>
  <c r="A755" i="3"/>
  <c r="C755" i="3"/>
  <c r="D755" i="3"/>
  <c r="A756" i="3"/>
  <c r="C756" i="3"/>
  <c r="D756" i="3"/>
  <c r="A757" i="3"/>
  <c r="C757" i="3"/>
  <c r="D757" i="3"/>
  <c r="A758" i="3"/>
  <c r="C758" i="3"/>
  <c r="D758" i="3"/>
  <c r="A759" i="3"/>
  <c r="C759" i="3"/>
  <c r="D759" i="3"/>
  <c r="A760" i="3"/>
  <c r="C760" i="3"/>
  <c r="D760" i="3"/>
  <c r="A761" i="3"/>
  <c r="C761" i="3"/>
  <c r="D761" i="3"/>
  <c r="A762" i="3"/>
  <c r="C762" i="3"/>
  <c r="D762" i="3"/>
  <c r="A763" i="3"/>
  <c r="C763" i="3"/>
  <c r="D763" i="3"/>
  <c r="A764" i="3"/>
  <c r="C764" i="3"/>
  <c r="D764" i="3"/>
  <c r="A765" i="3"/>
  <c r="C765" i="3"/>
  <c r="D765" i="3"/>
  <c r="A766" i="3"/>
  <c r="C766" i="3"/>
  <c r="D766" i="3"/>
  <c r="A767" i="3"/>
  <c r="C767" i="3"/>
  <c r="D767" i="3"/>
  <c r="A768" i="3"/>
  <c r="C768" i="3"/>
  <c r="D768" i="3"/>
  <c r="A769" i="3"/>
  <c r="C769" i="3"/>
  <c r="D769" i="3"/>
  <c r="A770" i="3"/>
  <c r="C770" i="3"/>
  <c r="D770" i="3"/>
  <c r="A771" i="3"/>
  <c r="C771" i="3"/>
  <c r="D771" i="3"/>
  <c r="A772" i="3"/>
  <c r="C772" i="3"/>
  <c r="D772" i="3"/>
  <c r="A773" i="3"/>
  <c r="C773" i="3"/>
  <c r="D773" i="3"/>
  <c r="A774" i="3"/>
  <c r="C774" i="3"/>
  <c r="D774" i="3"/>
  <c r="A775" i="3"/>
  <c r="C775" i="3"/>
  <c r="D775" i="3"/>
  <c r="A776" i="3"/>
  <c r="C776" i="3"/>
  <c r="D776" i="3"/>
  <c r="A777" i="3"/>
  <c r="C777" i="3"/>
  <c r="D777" i="3"/>
  <c r="A778" i="3"/>
  <c r="C778" i="3"/>
  <c r="D778" i="3"/>
  <c r="A779" i="3"/>
  <c r="C779" i="3"/>
  <c r="D779" i="3"/>
  <c r="A780" i="3"/>
  <c r="C780" i="3"/>
  <c r="D780" i="3"/>
  <c r="A781" i="3"/>
  <c r="C781" i="3"/>
  <c r="D781" i="3"/>
  <c r="A782" i="3"/>
  <c r="C782" i="3"/>
  <c r="D782" i="3"/>
  <c r="A783" i="3"/>
  <c r="C783" i="3"/>
  <c r="D783" i="3"/>
  <c r="A784" i="3"/>
  <c r="C784" i="3"/>
  <c r="D784" i="3"/>
  <c r="A785" i="3"/>
  <c r="C785" i="3"/>
  <c r="D785" i="3"/>
  <c r="A786" i="3"/>
  <c r="C786" i="3"/>
  <c r="D786" i="3"/>
  <c r="A787" i="3"/>
  <c r="C787" i="3"/>
  <c r="D787" i="3"/>
  <c r="A788" i="3"/>
  <c r="C788" i="3"/>
  <c r="D788" i="3"/>
  <c r="A789" i="3"/>
  <c r="C789" i="3"/>
  <c r="D789" i="3"/>
  <c r="A790" i="3"/>
  <c r="C790" i="3"/>
  <c r="D790" i="3"/>
  <c r="A791" i="3"/>
  <c r="C791" i="3"/>
  <c r="D791" i="3"/>
  <c r="A792" i="3"/>
  <c r="C792" i="3"/>
  <c r="D792" i="3"/>
  <c r="A793" i="3"/>
  <c r="C793" i="3"/>
  <c r="D793" i="3"/>
  <c r="A794" i="3"/>
  <c r="C794" i="3"/>
  <c r="D794" i="3"/>
  <c r="A795" i="3"/>
  <c r="C795" i="3"/>
  <c r="D795" i="3"/>
  <c r="A796" i="3"/>
  <c r="C796" i="3"/>
  <c r="D796" i="3"/>
  <c r="A797" i="3"/>
  <c r="C797" i="3"/>
  <c r="D797" i="3"/>
  <c r="A798" i="3"/>
  <c r="C798" i="3"/>
  <c r="D798" i="3"/>
  <c r="A799" i="3"/>
  <c r="C799" i="3"/>
  <c r="D799" i="3"/>
  <c r="A800" i="3"/>
  <c r="C800" i="3"/>
  <c r="D800" i="3"/>
  <c r="A801" i="3"/>
  <c r="C801" i="3"/>
  <c r="D801" i="3"/>
  <c r="A802" i="3"/>
  <c r="C802" i="3"/>
  <c r="D802" i="3"/>
  <c r="A803" i="3"/>
  <c r="C803" i="3"/>
  <c r="D803" i="3"/>
  <c r="A804" i="3"/>
  <c r="C804" i="3"/>
  <c r="D804" i="3"/>
  <c r="A805" i="3"/>
  <c r="C805" i="3"/>
  <c r="D805" i="3"/>
  <c r="A806" i="3"/>
  <c r="C806" i="3"/>
  <c r="D806" i="3"/>
  <c r="A807" i="3"/>
  <c r="C807" i="3"/>
  <c r="D807" i="3"/>
  <c r="A808" i="3"/>
  <c r="C808" i="3"/>
  <c r="D808" i="3"/>
  <c r="A809" i="3"/>
  <c r="C809" i="3"/>
  <c r="D809" i="3"/>
  <c r="A810" i="3"/>
  <c r="C810" i="3"/>
  <c r="D810" i="3"/>
  <c r="A811" i="3"/>
  <c r="C811" i="3"/>
  <c r="D811" i="3"/>
  <c r="A812" i="3"/>
  <c r="C812" i="3"/>
  <c r="D812" i="3"/>
  <c r="A813" i="3"/>
  <c r="C813" i="3"/>
  <c r="D813" i="3"/>
  <c r="A814" i="3"/>
  <c r="C814" i="3"/>
  <c r="D814" i="3"/>
  <c r="A815" i="3"/>
  <c r="C815" i="3"/>
  <c r="D815" i="3"/>
  <c r="A816" i="3"/>
  <c r="C816" i="3"/>
  <c r="D816" i="3"/>
  <c r="A817" i="3"/>
  <c r="C817" i="3"/>
  <c r="D817" i="3"/>
  <c r="A818" i="3"/>
  <c r="C818" i="3"/>
  <c r="D818" i="3"/>
  <c r="A819" i="3"/>
  <c r="C819" i="3"/>
  <c r="D819" i="3"/>
  <c r="A820" i="3"/>
  <c r="C820" i="3"/>
  <c r="D820" i="3"/>
  <c r="A821" i="3"/>
  <c r="C821" i="3"/>
  <c r="D821" i="3"/>
  <c r="A822" i="3"/>
  <c r="C822" i="3"/>
  <c r="D822" i="3"/>
  <c r="A823" i="3"/>
  <c r="C823" i="3"/>
  <c r="D823" i="3"/>
  <c r="A824" i="3"/>
  <c r="C824" i="3"/>
  <c r="D824" i="3"/>
  <c r="A825" i="3"/>
  <c r="C825" i="3"/>
  <c r="D825" i="3"/>
  <c r="A826" i="3"/>
  <c r="C826" i="3"/>
  <c r="D826" i="3"/>
  <c r="A827" i="3"/>
  <c r="C827" i="3"/>
  <c r="D827" i="3"/>
  <c r="A828" i="3"/>
  <c r="C828" i="3"/>
  <c r="D828" i="3"/>
  <c r="A829" i="3"/>
  <c r="C829" i="3"/>
  <c r="D829" i="3"/>
  <c r="A830" i="3"/>
  <c r="C830" i="3"/>
  <c r="D830" i="3"/>
  <c r="A831" i="3"/>
  <c r="C831" i="3"/>
  <c r="D831" i="3"/>
  <c r="A832" i="3"/>
  <c r="C832" i="3"/>
  <c r="D832" i="3"/>
  <c r="A833" i="3"/>
  <c r="C833" i="3"/>
  <c r="D833" i="3"/>
  <c r="A834" i="3"/>
  <c r="C834" i="3"/>
  <c r="D834" i="3"/>
  <c r="A835" i="3"/>
  <c r="C835" i="3"/>
  <c r="D835" i="3"/>
  <c r="A836" i="3"/>
  <c r="C836" i="3"/>
  <c r="D836" i="3"/>
  <c r="A837" i="3"/>
  <c r="C837" i="3"/>
  <c r="D837" i="3"/>
  <c r="A838" i="3"/>
  <c r="C838" i="3"/>
  <c r="D838" i="3"/>
  <c r="A839" i="3"/>
  <c r="C839" i="3"/>
  <c r="D839" i="3"/>
  <c r="A840" i="3"/>
  <c r="C840" i="3"/>
  <c r="D840" i="3"/>
  <c r="A841" i="3"/>
  <c r="C841" i="3"/>
  <c r="D841" i="3"/>
  <c r="A842" i="3"/>
  <c r="C842" i="3"/>
  <c r="D842" i="3"/>
  <c r="A843" i="3"/>
  <c r="C843" i="3"/>
  <c r="D843" i="3"/>
  <c r="A844" i="3"/>
  <c r="C844" i="3"/>
  <c r="D844" i="3"/>
  <c r="A845" i="3"/>
  <c r="C845" i="3"/>
  <c r="D845" i="3"/>
  <c r="A846" i="3"/>
  <c r="C846" i="3"/>
  <c r="D846" i="3"/>
  <c r="A847" i="3"/>
  <c r="C847" i="3"/>
  <c r="D847" i="3"/>
  <c r="A848" i="3"/>
  <c r="C848" i="3"/>
  <c r="D848" i="3"/>
  <c r="A849" i="3"/>
  <c r="C849" i="3"/>
  <c r="D849" i="3"/>
  <c r="A850" i="3"/>
  <c r="C850" i="3"/>
  <c r="D850" i="3"/>
  <c r="A851" i="3"/>
  <c r="C851" i="3"/>
  <c r="D851" i="3"/>
  <c r="A852" i="3"/>
  <c r="C852" i="3"/>
  <c r="D852" i="3"/>
  <c r="A853" i="3"/>
  <c r="C853" i="3"/>
  <c r="D853" i="3"/>
  <c r="A854" i="3"/>
  <c r="C854" i="3"/>
  <c r="D854" i="3"/>
  <c r="A855" i="3"/>
  <c r="C855" i="3"/>
  <c r="D855" i="3"/>
  <c r="A856" i="3"/>
  <c r="C856" i="3"/>
  <c r="D856" i="3"/>
  <c r="A857" i="3"/>
  <c r="C857" i="3"/>
  <c r="D857" i="3"/>
  <c r="A858" i="3"/>
  <c r="C858" i="3"/>
  <c r="D858" i="3"/>
  <c r="A859" i="3"/>
  <c r="C859" i="3"/>
  <c r="D859" i="3"/>
  <c r="A860" i="3"/>
  <c r="C860" i="3"/>
  <c r="D860" i="3"/>
  <c r="A861" i="3"/>
  <c r="C861" i="3"/>
  <c r="D861" i="3"/>
  <c r="A862" i="3"/>
  <c r="C862" i="3"/>
  <c r="D862" i="3"/>
  <c r="A863" i="3"/>
  <c r="C863" i="3"/>
  <c r="D863" i="3"/>
  <c r="A864" i="3"/>
  <c r="C864" i="3"/>
  <c r="D864" i="3"/>
  <c r="A865" i="3"/>
  <c r="C865" i="3"/>
  <c r="D865" i="3"/>
  <c r="A866" i="3"/>
  <c r="C866" i="3"/>
  <c r="D866" i="3"/>
  <c r="A867" i="3"/>
  <c r="C867" i="3"/>
  <c r="D867" i="3"/>
  <c r="A868" i="3"/>
  <c r="C868" i="3"/>
  <c r="D868" i="3"/>
  <c r="A869" i="3"/>
  <c r="C869" i="3"/>
  <c r="D869" i="3"/>
  <c r="A870" i="3"/>
  <c r="C870" i="3"/>
  <c r="D870" i="3"/>
  <c r="A871" i="3"/>
  <c r="C871" i="3"/>
  <c r="D871" i="3"/>
  <c r="A872" i="3"/>
  <c r="C872" i="3"/>
  <c r="D872" i="3"/>
  <c r="A873" i="3"/>
  <c r="C873" i="3"/>
  <c r="D873" i="3"/>
  <c r="A874" i="3"/>
  <c r="C874" i="3"/>
  <c r="D874" i="3"/>
  <c r="A875" i="3"/>
  <c r="C875" i="3"/>
  <c r="D875" i="3"/>
  <c r="A876" i="3"/>
  <c r="C876" i="3"/>
  <c r="D876" i="3"/>
  <c r="A877" i="3"/>
  <c r="C877" i="3"/>
  <c r="D877" i="3"/>
  <c r="A878" i="3"/>
  <c r="C878" i="3"/>
  <c r="D878" i="3"/>
  <c r="A879" i="3"/>
  <c r="C879" i="3"/>
  <c r="D879" i="3"/>
  <c r="A880" i="3"/>
  <c r="C880" i="3"/>
  <c r="D880" i="3"/>
  <c r="A881" i="3"/>
  <c r="C881" i="3"/>
  <c r="D881" i="3"/>
  <c r="A882" i="3"/>
  <c r="C882" i="3"/>
  <c r="D882" i="3"/>
  <c r="A883" i="3"/>
  <c r="C883" i="3"/>
  <c r="D883" i="3"/>
  <c r="A884" i="3"/>
  <c r="C884" i="3"/>
  <c r="D884" i="3"/>
  <c r="A885" i="3"/>
  <c r="C885" i="3"/>
  <c r="D885" i="3"/>
  <c r="A886" i="3"/>
  <c r="C886" i="3"/>
  <c r="D886" i="3"/>
  <c r="A887" i="3"/>
  <c r="C887" i="3"/>
  <c r="D887" i="3"/>
  <c r="A888" i="3"/>
  <c r="C888" i="3"/>
  <c r="D888" i="3"/>
  <c r="A889" i="3"/>
  <c r="C889" i="3"/>
  <c r="D889" i="3"/>
  <c r="A890" i="3"/>
  <c r="C890" i="3"/>
  <c r="D890" i="3"/>
  <c r="A891" i="3"/>
  <c r="C891" i="3"/>
  <c r="D891" i="3"/>
  <c r="A892" i="3"/>
  <c r="C892" i="3"/>
  <c r="D892" i="3"/>
  <c r="A893" i="3"/>
  <c r="C893" i="3"/>
  <c r="D893" i="3"/>
  <c r="A894" i="3"/>
  <c r="C894" i="3"/>
  <c r="D894" i="3"/>
  <c r="A895" i="3"/>
  <c r="C895" i="3"/>
  <c r="D895" i="3"/>
  <c r="A896" i="3"/>
  <c r="C896" i="3"/>
  <c r="D896" i="3"/>
  <c r="A897" i="3"/>
  <c r="C897" i="3"/>
  <c r="D897" i="3"/>
  <c r="A898" i="3"/>
  <c r="C898" i="3"/>
  <c r="D898" i="3"/>
  <c r="A899" i="3"/>
  <c r="C899" i="3"/>
  <c r="D899" i="3"/>
  <c r="A900" i="3"/>
  <c r="C900" i="3"/>
  <c r="D900" i="3"/>
  <c r="A901" i="3"/>
  <c r="C901" i="3"/>
  <c r="D901" i="3"/>
  <c r="A902" i="3"/>
  <c r="C902" i="3"/>
  <c r="D902" i="3"/>
  <c r="A903" i="3"/>
  <c r="C903" i="3"/>
  <c r="D903" i="3"/>
  <c r="A904" i="3"/>
  <c r="C904" i="3"/>
  <c r="D904" i="3"/>
  <c r="A905" i="3"/>
  <c r="C905" i="3"/>
  <c r="D905" i="3"/>
  <c r="A906" i="3"/>
  <c r="C906" i="3"/>
  <c r="D906" i="3"/>
  <c r="A907" i="3"/>
  <c r="C907" i="3"/>
  <c r="D907" i="3"/>
  <c r="A908" i="3"/>
  <c r="C908" i="3"/>
  <c r="D908" i="3"/>
  <c r="A909" i="3"/>
  <c r="C909" i="3"/>
  <c r="D909" i="3"/>
  <c r="A910" i="3"/>
  <c r="C910" i="3"/>
  <c r="D910" i="3"/>
  <c r="A911" i="3"/>
  <c r="C911" i="3"/>
  <c r="D911" i="3"/>
  <c r="A912" i="3"/>
  <c r="C912" i="3"/>
  <c r="D912" i="3"/>
  <c r="A913" i="3"/>
  <c r="C913" i="3"/>
  <c r="D913" i="3"/>
  <c r="A914" i="3"/>
  <c r="C914" i="3"/>
  <c r="D914" i="3"/>
  <c r="A915" i="3"/>
  <c r="C915" i="3"/>
  <c r="D915" i="3"/>
  <c r="A916" i="3"/>
  <c r="C916" i="3"/>
  <c r="D916" i="3"/>
  <c r="A917" i="3"/>
  <c r="C917" i="3"/>
  <c r="D917" i="3"/>
  <c r="A918" i="3"/>
  <c r="C918" i="3"/>
  <c r="D918" i="3"/>
  <c r="A919" i="3"/>
  <c r="C919" i="3"/>
  <c r="D919" i="3"/>
  <c r="A920" i="3"/>
  <c r="C920" i="3"/>
  <c r="D920" i="3"/>
  <c r="A921" i="3"/>
  <c r="C921" i="3"/>
  <c r="D921" i="3"/>
  <c r="A922" i="3"/>
  <c r="C922" i="3"/>
  <c r="D922" i="3"/>
  <c r="A923" i="3"/>
  <c r="C923" i="3"/>
  <c r="D923" i="3"/>
  <c r="A924" i="3"/>
  <c r="C924" i="3"/>
  <c r="D924" i="3"/>
  <c r="A925" i="3"/>
  <c r="C925" i="3"/>
  <c r="D925" i="3"/>
  <c r="A926" i="3"/>
  <c r="C926" i="3"/>
  <c r="D926" i="3"/>
  <c r="A927" i="3"/>
  <c r="C927" i="3"/>
  <c r="D927" i="3"/>
  <c r="A928" i="3"/>
  <c r="C928" i="3"/>
  <c r="D928" i="3"/>
  <c r="A929" i="3"/>
  <c r="C929" i="3"/>
  <c r="D929" i="3"/>
  <c r="A930" i="3"/>
  <c r="C930" i="3"/>
  <c r="D930" i="3"/>
  <c r="A931" i="3"/>
  <c r="C931" i="3"/>
  <c r="D931" i="3"/>
  <c r="A932" i="3"/>
  <c r="C932" i="3"/>
  <c r="D932" i="3"/>
  <c r="A933" i="3"/>
  <c r="C933" i="3"/>
  <c r="D933" i="3"/>
  <c r="A934" i="3"/>
  <c r="C934" i="3"/>
  <c r="D934" i="3"/>
  <c r="A935" i="3"/>
  <c r="C935" i="3"/>
  <c r="D935" i="3"/>
  <c r="A936" i="3"/>
  <c r="C936" i="3"/>
  <c r="D936" i="3"/>
  <c r="A937" i="3"/>
  <c r="C937" i="3"/>
  <c r="D937" i="3"/>
  <c r="A938" i="3"/>
  <c r="C938" i="3"/>
  <c r="D938" i="3"/>
  <c r="A939" i="3"/>
  <c r="C939" i="3"/>
  <c r="D939" i="3"/>
  <c r="A940" i="3"/>
  <c r="C940" i="3"/>
  <c r="D940" i="3"/>
  <c r="A941" i="3"/>
  <c r="C941" i="3"/>
  <c r="D941" i="3"/>
  <c r="A942" i="3"/>
  <c r="C942" i="3"/>
  <c r="D942" i="3"/>
  <c r="A943" i="3"/>
  <c r="C943" i="3"/>
  <c r="D943" i="3"/>
  <c r="A944" i="3"/>
  <c r="C944" i="3"/>
  <c r="D944" i="3"/>
  <c r="A945" i="3"/>
  <c r="C945" i="3"/>
  <c r="D945" i="3"/>
  <c r="A946" i="3"/>
  <c r="C946" i="3"/>
  <c r="D946" i="3"/>
  <c r="A947" i="3"/>
  <c r="C947" i="3"/>
  <c r="D947" i="3"/>
  <c r="A948" i="3"/>
  <c r="C948" i="3"/>
  <c r="D948" i="3"/>
  <c r="A949" i="3"/>
  <c r="C949" i="3"/>
  <c r="D949" i="3"/>
  <c r="A950" i="3"/>
  <c r="C950" i="3"/>
  <c r="D950" i="3"/>
  <c r="A951" i="3"/>
  <c r="C951" i="3"/>
  <c r="D951" i="3"/>
  <c r="A952" i="3"/>
  <c r="C952" i="3"/>
  <c r="D952" i="3"/>
  <c r="A953" i="3"/>
  <c r="C953" i="3"/>
  <c r="D953" i="3"/>
  <c r="A954" i="3"/>
  <c r="C954" i="3"/>
  <c r="D954" i="3"/>
  <c r="A955" i="3"/>
  <c r="C955" i="3"/>
  <c r="D955" i="3"/>
  <c r="A956" i="3"/>
  <c r="C956" i="3"/>
  <c r="D956" i="3"/>
  <c r="A957" i="3"/>
  <c r="C957" i="3"/>
  <c r="D957" i="3"/>
  <c r="A958" i="3"/>
  <c r="C958" i="3"/>
  <c r="D958" i="3"/>
  <c r="A959" i="3"/>
  <c r="C959" i="3"/>
  <c r="D959" i="3"/>
  <c r="A960" i="3"/>
  <c r="C960" i="3"/>
  <c r="D960" i="3"/>
  <c r="A961" i="3"/>
  <c r="C961" i="3"/>
  <c r="D961" i="3"/>
  <c r="A962" i="3"/>
  <c r="C962" i="3"/>
  <c r="D962" i="3"/>
  <c r="A963" i="3"/>
  <c r="C963" i="3"/>
  <c r="D963" i="3"/>
  <c r="A964" i="3"/>
  <c r="C964" i="3"/>
  <c r="D964" i="3"/>
  <c r="A965" i="3"/>
  <c r="C965" i="3"/>
  <c r="D965" i="3"/>
  <c r="A966" i="3"/>
  <c r="C966" i="3"/>
  <c r="D966" i="3"/>
  <c r="A967" i="3"/>
  <c r="C967" i="3"/>
  <c r="D967" i="3"/>
  <c r="A968" i="3"/>
  <c r="C968" i="3"/>
  <c r="D968" i="3"/>
  <c r="A969" i="3"/>
  <c r="C969" i="3"/>
  <c r="D969" i="3"/>
  <c r="A970" i="3"/>
  <c r="C970" i="3"/>
  <c r="D970" i="3"/>
  <c r="A971" i="3"/>
  <c r="C971" i="3"/>
  <c r="D971" i="3"/>
  <c r="A972" i="3"/>
  <c r="C972" i="3"/>
  <c r="D972" i="3"/>
  <c r="A973" i="3"/>
  <c r="C973" i="3"/>
  <c r="D973" i="3"/>
  <c r="A974" i="3"/>
  <c r="C974" i="3"/>
  <c r="D974" i="3"/>
  <c r="A975" i="3"/>
  <c r="C975" i="3"/>
  <c r="D975" i="3"/>
  <c r="A976" i="3"/>
  <c r="C976" i="3"/>
  <c r="D976" i="3"/>
  <c r="A977" i="3"/>
  <c r="C977" i="3"/>
  <c r="D977" i="3"/>
  <c r="A978" i="3"/>
  <c r="C978" i="3"/>
  <c r="D978" i="3"/>
  <c r="A979" i="3"/>
  <c r="C979" i="3"/>
  <c r="D979" i="3"/>
  <c r="A980" i="3"/>
  <c r="C980" i="3"/>
  <c r="D980" i="3"/>
  <c r="A981" i="3"/>
  <c r="C981" i="3"/>
  <c r="D981" i="3"/>
  <c r="A982" i="3"/>
  <c r="C982" i="3"/>
  <c r="D982" i="3"/>
  <c r="A983" i="3"/>
  <c r="C983" i="3"/>
  <c r="D983" i="3"/>
  <c r="A984" i="3"/>
  <c r="C984" i="3"/>
  <c r="D984" i="3"/>
  <c r="A985" i="3"/>
  <c r="C985" i="3"/>
  <c r="D985" i="3"/>
  <c r="A986" i="3"/>
  <c r="C986" i="3"/>
  <c r="D986" i="3"/>
  <c r="A987" i="3"/>
  <c r="C987" i="3"/>
  <c r="D987" i="3"/>
  <c r="A988" i="3"/>
  <c r="C988" i="3"/>
  <c r="D988" i="3"/>
  <c r="A989" i="3"/>
  <c r="C989" i="3"/>
  <c r="D989" i="3"/>
  <c r="A990" i="3"/>
  <c r="C990" i="3"/>
  <c r="D990" i="3"/>
  <c r="A991" i="3"/>
  <c r="C991" i="3"/>
  <c r="D991" i="3"/>
  <c r="A992" i="3"/>
  <c r="C992" i="3"/>
  <c r="D992" i="3"/>
  <c r="A993" i="3"/>
  <c r="C993" i="3"/>
  <c r="D993" i="3"/>
  <c r="A994" i="3"/>
  <c r="C994" i="3"/>
  <c r="D994" i="3"/>
  <c r="A995" i="3"/>
  <c r="C995" i="3"/>
  <c r="D995" i="3"/>
  <c r="A996" i="3"/>
  <c r="C996" i="3"/>
  <c r="D996" i="3"/>
  <c r="A997" i="3"/>
  <c r="C997" i="3"/>
  <c r="D997" i="3"/>
  <c r="A998" i="3"/>
  <c r="C998" i="3"/>
  <c r="D998" i="3"/>
  <c r="A999" i="3"/>
  <c r="C999" i="3"/>
  <c r="D999" i="3"/>
  <c r="B4" i="3"/>
  <c r="C4" i="3"/>
  <c r="D4" i="3"/>
  <c r="A4" i="3"/>
  <c r="I12" i="3" l="1"/>
  <c r="G11" i="5" s="1"/>
  <c r="I28" i="3"/>
  <c r="G27" i="5" s="1"/>
  <c r="D33" i="8"/>
  <c r="B33" i="8"/>
  <c r="I97" i="3"/>
  <c r="I89" i="3"/>
  <c r="I83" i="3"/>
  <c r="I72" i="3"/>
  <c r="I66" i="3"/>
  <c r="I53" i="3"/>
  <c r="I50" i="3"/>
  <c r="I31" i="3"/>
  <c r="I37" i="3"/>
  <c r="I35" i="3"/>
  <c r="I43" i="3"/>
  <c r="I11" i="3"/>
  <c r="G10" i="5" s="1"/>
  <c r="I44" i="3"/>
  <c r="BB11" i="1"/>
  <c r="BB16" i="1"/>
  <c r="BB15" i="1"/>
  <c r="BB7" i="1"/>
  <c r="BB23" i="1"/>
  <c r="BB20" i="1"/>
  <c r="BB9" i="1"/>
  <c r="BB13" i="1"/>
  <c r="BB17" i="1"/>
  <c r="BB21" i="1"/>
  <c r="BB25" i="1"/>
  <c r="E73" i="3"/>
  <c r="F73" i="3" s="1"/>
  <c r="BB12" i="1"/>
  <c r="E60" i="3"/>
  <c r="F60" i="3" s="1"/>
  <c r="E92" i="3"/>
  <c r="F92" i="3" s="1"/>
  <c r="BB6" i="1"/>
  <c r="BB10" i="1"/>
  <c r="BB14" i="1"/>
  <c r="BB18" i="1"/>
  <c r="BB22" i="1"/>
  <c r="BB26" i="1"/>
  <c r="E30" i="3"/>
  <c r="F30" i="3" s="1"/>
  <c r="E45" i="5"/>
  <c r="E70" i="3"/>
  <c r="F70" i="3" s="1"/>
  <c r="E101" i="5"/>
  <c r="BB19" i="1"/>
  <c r="BB27" i="1"/>
  <c r="E50" i="5"/>
  <c r="BB8" i="1"/>
  <c r="BB24" i="1"/>
  <c r="G3" i="5"/>
  <c r="F4" i="3"/>
  <c r="E3" i="5" s="1"/>
  <c r="F3" i="5"/>
  <c r="I5" i="7"/>
  <c r="A6" i="7" s="1"/>
  <c r="I5" i="3"/>
  <c r="G4" i="5" s="1"/>
  <c r="BB4" i="1"/>
  <c r="E5" i="3" s="1"/>
  <c r="F5" i="3" s="1"/>
  <c r="E4" i="5" s="1"/>
  <c r="BB5" i="1"/>
  <c r="C33" i="8" l="1"/>
  <c r="E33" i="8"/>
  <c r="E100" i="5"/>
  <c r="E101" i="3"/>
  <c r="F101" i="3" s="1"/>
  <c r="E99" i="5"/>
  <c r="E100" i="3"/>
  <c r="F100" i="3" s="1"/>
  <c r="E98" i="5"/>
  <c r="E99" i="3"/>
  <c r="F99" i="3" s="1"/>
  <c r="E97" i="5" s="1"/>
  <c r="E98" i="3"/>
  <c r="F98" i="3" s="1"/>
  <c r="E96" i="5" s="1"/>
  <c r="E97" i="3"/>
  <c r="F97" i="3" s="1"/>
  <c r="E95" i="5" s="1"/>
  <c r="E96" i="3"/>
  <c r="F96" i="3" s="1"/>
  <c r="E94" i="5" s="1"/>
  <c r="E93" i="5"/>
  <c r="E94" i="3"/>
  <c r="F94" i="3" s="1"/>
  <c r="E92" i="5" s="1"/>
  <c r="E93" i="3"/>
  <c r="F93" i="3" s="1"/>
  <c r="E90" i="5"/>
  <c r="E91" i="3"/>
  <c r="F91" i="3" s="1"/>
  <c r="E89" i="5" s="1"/>
  <c r="E90" i="3"/>
  <c r="F90" i="3" s="1"/>
  <c r="E88" i="5" s="1"/>
  <c r="E89" i="3"/>
  <c r="F89" i="3" s="1"/>
  <c r="E87" i="5" s="1"/>
  <c r="E88" i="3"/>
  <c r="F88" i="3" s="1"/>
  <c r="E86" i="5" s="1"/>
  <c r="E85" i="5"/>
  <c r="E86" i="3"/>
  <c r="F86" i="3" s="1"/>
  <c r="E84" i="5"/>
  <c r="E85" i="3"/>
  <c r="F85" i="3" s="1"/>
  <c r="E83" i="5" s="1"/>
  <c r="E84" i="3"/>
  <c r="F84" i="3" s="1"/>
  <c r="E82" i="5" s="1"/>
  <c r="E83" i="3"/>
  <c r="F83" i="3" s="1"/>
  <c r="E81" i="5"/>
  <c r="E82" i="3"/>
  <c r="F82" i="3" s="1"/>
  <c r="E80" i="5" s="1"/>
  <c r="E81" i="3"/>
  <c r="F81" i="3" s="1"/>
  <c r="E79" i="5" s="1"/>
  <c r="E80" i="3"/>
  <c r="F80" i="3" s="1"/>
  <c r="E78" i="5" s="1"/>
  <c r="E79" i="3"/>
  <c r="F79" i="3" s="1"/>
  <c r="E77" i="5" s="1"/>
  <c r="E78" i="3"/>
  <c r="F78" i="3" s="1"/>
  <c r="E76" i="5" s="1"/>
  <c r="E77" i="3"/>
  <c r="F77" i="3" s="1"/>
  <c r="E75" i="5"/>
  <c r="E76" i="3"/>
  <c r="F76" i="3" s="1"/>
  <c r="E74" i="5" s="1"/>
  <c r="E73" i="5"/>
  <c r="E74" i="3"/>
  <c r="F74" i="3" s="1"/>
  <c r="E72" i="5" s="1"/>
  <c r="E71" i="5"/>
  <c r="E72" i="3"/>
  <c r="F72" i="3" s="1"/>
  <c r="E70" i="5" s="1"/>
  <c r="E71" i="3"/>
  <c r="F71" i="3" s="1"/>
  <c r="E69" i="5" s="1"/>
  <c r="E68" i="5"/>
  <c r="E69" i="3"/>
  <c r="F69" i="3" s="1"/>
  <c r="E67" i="5" s="1"/>
  <c r="E68" i="3"/>
  <c r="F68" i="3" s="1"/>
  <c r="E66" i="5" s="1"/>
  <c r="E67" i="3"/>
  <c r="F67" i="3" s="1"/>
  <c r="E65" i="5" s="1"/>
  <c r="E66" i="3"/>
  <c r="F66" i="3" s="1"/>
  <c r="E64" i="5" s="1"/>
  <c r="E65" i="3"/>
  <c r="F65" i="3" s="1"/>
  <c r="E63" i="5" s="1"/>
  <c r="E64" i="3"/>
  <c r="F64" i="3" s="1"/>
  <c r="E62" i="5"/>
  <c r="E63" i="3"/>
  <c r="F63" i="3" s="1"/>
  <c r="E61" i="5" s="1"/>
  <c r="E62" i="3"/>
  <c r="F62" i="3" s="1"/>
  <c r="E60" i="5" s="1"/>
  <c r="E61" i="3"/>
  <c r="F61" i="3" s="1"/>
  <c r="E59" i="5" s="1"/>
  <c r="E58" i="5"/>
  <c r="E59" i="3"/>
  <c r="F59" i="3" s="1"/>
  <c r="E57" i="5" s="1"/>
  <c r="E56" i="5"/>
  <c r="E57" i="3"/>
  <c r="F57" i="3" s="1"/>
  <c r="E55" i="5" s="1"/>
  <c r="E56" i="3"/>
  <c r="F56" i="3" s="1"/>
  <c r="E54" i="5" s="1"/>
  <c r="E53" i="5"/>
  <c r="E54" i="3"/>
  <c r="F54" i="3" s="1"/>
  <c r="E52" i="5" s="1"/>
  <c r="E53" i="3"/>
  <c r="F53" i="3" s="1"/>
  <c r="E51" i="5" s="1"/>
  <c r="E49" i="5"/>
  <c r="E50" i="3"/>
  <c r="F50" i="3" s="1"/>
  <c r="E48" i="5" s="1"/>
  <c r="E6" i="3"/>
  <c r="F6" i="3" s="1"/>
  <c r="E5" i="5" s="1"/>
  <c r="E9" i="3"/>
  <c r="F9" i="3" s="1"/>
  <c r="E8" i="5" s="1"/>
  <c r="E19" i="3"/>
  <c r="F19" i="3" s="1"/>
  <c r="E18" i="5" s="1"/>
  <c r="E44" i="5"/>
  <c r="E45" i="3"/>
  <c r="F45" i="3" s="1"/>
  <c r="E43" i="5" s="1"/>
  <c r="E14" i="3"/>
  <c r="F14" i="3" s="1"/>
  <c r="E13" i="5" s="1"/>
  <c r="E38" i="3"/>
  <c r="F38" i="3" s="1"/>
  <c r="E23" i="3"/>
  <c r="F23" i="3" s="1"/>
  <c r="E22" i="5" s="1"/>
  <c r="E7" i="3"/>
  <c r="F7" i="3" s="1"/>
  <c r="E6" i="5" s="1"/>
  <c r="E44" i="3"/>
  <c r="F44" i="3" s="1"/>
  <c r="E42" i="5" s="1"/>
  <c r="E33" i="3"/>
  <c r="F33" i="3" s="1"/>
  <c r="E31" i="5" s="1"/>
  <c r="E18" i="3"/>
  <c r="F18" i="3" s="1"/>
  <c r="E17" i="5" s="1"/>
  <c r="E21" i="3"/>
  <c r="F21" i="3" s="1"/>
  <c r="E20" i="5" s="1"/>
  <c r="E40" i="3"/>
  <c r="F40" i="3" s="1"/>
  <c r="E38" i="5" s="1"/>
  <c r="E24" i="3"/>
  <c r="F24" i="3" s="1"/>
  <c r="E23" i="5" s="1"/>
  <c r="E17" i="3"/>
  <c r="F17" i="3" s="1"/>
  <c r="E16" i="5" s="1"/>
  <c r="E15" i="3"/>
  <c r="F15" i="3" s="1"/>
  <c r="E14" i="5" s="1"/>
  <c r="E32" i="3"/>
  <c r="F32" i="3" s="1"/>
  <c r="E13" i="3"/>
  <c r="F13" i="3" s="1"/>
  <c r="E12" i="5" s="1"/>
  <c r="E43" i="3"/>
  <c r="F43" i="3" s="1"/>
  <c r="E41" i="5" s="1"/>
  <c r="E41" i="3"/>
  <c r="F41" i="3" s="1"/>
  <c r="E39" i="5" s="1"/>
  <c r="E25" i="5"/>
  <c r="E26" i="3"/>
  <c r="F26" i="3" s="1"/>
  <c r="E10" i="3"/>
  <c r="F10" i="3" s="1"/>
  <c r="E9" i="5" s="1"/>
  <c r="E8" i="3"/>
  <c r="F8" i="3" s="1"/>
  <c r="E7" i="5" s="1"/>
  <c r="E36" i="3"/>
  <c r="F36" i="3" s="1"/>
  <c r="E34" i="5" s="1"/>
  <c r="E28" i="3"/>
  <c r="F28" i="3" s="1"/>
  <c r="E27" i="5" s="1"/>
  <c r="E35" i="3"/>
  <c r="F35" i="3" s="1"/>
  <c r="E33" i="5" s="1"/>
  <c r="E42" i="3"/>
  <c r="F42" i="3" s="1"/>
  <c r="E40" i="5" s="1"/>
  <c r="E27" i="3"/>
  <c r="F27" i="3" s="1"/>
  <c r="E26" i="5" s="1"/>
  <c r="E36" i="5"/>
  <c r="E37" i="3"/>
  <c r="F37" i="3" s="1"/>
  <c r="E35" i="5" s="1"/>
  <c r="E22" i="3"/>
  <c r="F22" i="3" s="1"/>
  <c r="E21" i="5" s="1"/>
  <c r="E34" i="3"/>
  <c r="F34" i="3" s="1"/>
  <c r="E32" i="5" s="1"/>
  <c r="E28" i="5"/>
  <c r="E29" i="3"/>
  <c r="F29" i="3" s="1"/>
  <c r="E39" i="3"/>
  <c r="F39" i="3" s="1"/>
  <c r="E37" i="5" s="1"/>
  <c r="E25" i="3"/>
  <c r="F25" i="3" s="1"/>
  <c r="E24" i="5" s="1"/>
  <c r="E20" i="3"/>
  <c r="F20" i="3" s="1"/>
  <c r="E19" i="5" s="1"/>
  <c r="E16" i="3"/>
  <c r="F16" i="3" s="1"/>
  <c r="E15" i="5" s="1"/>
  <c r="E30" i="5"/>
  <c r="E31" i="3"/>
  <c r="F31" i="3" s="1"/>
  <c r="E29" i="5" s="1"/>
  <c r="E12" i="3"/>
  <c r="F12" i="3" s="1"/>
  <c r="E11" i="5" s="1"/>
  <c r="E11" i="3"/>
  <c r="F11" i="3" s="1"/>
  <c r="E10" i="5" s="1"/>
  <c r="B17" i="8"/>
  <c r="B18" i="8"/>
  <c r="B16" i="8"/>
  <c r="B4" i="8"/>
  <c r="B5" i="8"/>
  <c r="B2" i="8"/>
  <c r="B3" i="8"/>
  <c r="A12" i="7"/>
  <c r="I8" i="7"/>
  <c r="A9" i="7" s="1"/>
  <c r="B12" i="8" l="1"/>
  <c r="B13" i="8"/>
  <c r="B11" i="8"/>
  <c r="B19" i="8"/>
  <c r="C16" i="8" s="1"/>
  <c r="B9" i="8"/>
  <c r="C3" i="8" s="1"/>
  <c r="B14" i="8" l="1"/>
  <c r="C12" i="8" s="1"/>
  <c r="C17" i="8"/>
  <c r="C18" i="8"/>
  <c r="C4" i="8"/>
  <c r="C5" i="8"/>
  <c r="C2" i="8"/>
  <c r="C11" i="8" l="1"/>
  <c r="C13" i="8"/>
</calcChain>
</file>

<file path=xl/sharedStrings.xml><?xml version="1.0" encoding="utf-8"?>
<sst xmlns="http://schemas.openxmlformats.org/spreadsheetml/2006/main" count="1027" uniqueCount="180">
  <si>
    <t>класс</t>
  </si>
  <si>
    <t>Задание 1</t>
  </si>
  <si>
    <t>красный</t>
  </si>
  <si>
    <t>желтый</t>
  </si>
  <si>
    <t>зеленый</t>
  </si>
  <si>
    <t>синий</t>
  </si>
  <si>
    <t>серый</t>
  </si>
  <si>
    <t>фиолетовый</t>
  </si>
  <si>
    <t>коричневый</t>
  </si>
  <si>
    <t>черный</t>
  </si>
  <si>
    <t>ФИО ребенка</t>
  </si>
  <si>
    <t>Задание 2</t>
  </si>
  <si>
    <t>Задание 3</t>
  </si>
  <si>
    <t>Счастье</t>
  </si>
  <si>
    <t>Горе</t>
  </si>
  <si>
    <t>Справедливость</t>
  </si>
  <si>
    <t>Обида</t>
  </si>
  <si>
    <t>Дружба</t>
  </si>
  <si>
    <t>Ссора</t>
  </si>
  <si>
    <t>Доброта</t>
  </si>
  <si>
    <t>Злоба</t>
  </si>
  <si>
    <t>Скука</t>
  </si>
  <si>
    <t>Восхищение</t>
  </si>
  <si>
    <t>Душа</t>
  </si>
  <si>
    <t>Дата</t>
  </si>
  <si>
    <t>0 - 0,5</t>
  </si>
  <si>
    <t>Хроническое переутомление, истощение, низкая работоспособность. Нагрузки непосильны для ребенка.</t>
  </si>
  <si>
    <t>0,51 - 0,91</t>
  </si>
  <si>
    <t>Компенсируемое состояние усталости. Самовосстановление оптимальной работоспособности происходит за счет периодического снижения активности. Необходима оптимизация рабочего ритма, режима труда и отдыха.</t>
  </si>
  <si>
    <t>0,92 - 1,9</t>
  </si>
  <si>
    <t>Оптимальная работоспособность. Ребенок отличается бодростью, здоровой активностью, готовностью к энергозатратам. Нагрузки соответствуют возможностям. Образ жизни позволяет ребенку восстанавливать затраченную энергию.</t>
  </si>
  <si>
    <t>&gt; 2,0</t>
  </si>
  <si>
    <t>Перевозбуждение. Чаще является результатом работы ребенка на пределе своих возможностей, что приводит к быстрому истощению. Требуется нормализация темпа деятельности, режима труда и отдыха, а иногда и снижение нагрузки.</t>
  </si>
  <si>
    <t>&gt; 20</t>
  </si>
  <si>
    <t>Преобладание отрицательных эмоций. У ребенка доминируют плохое настроение и неприятные переживания. Имеются проблемы, которые ребенок не может решить самостоятельно.</t>
  </si>
  <si>
    <t>10 - 18</t>
  </si>
  <si>
    <t xml:space="preserve">Эмоциональное состояние в норме. Ребенок может радоваться и печалиться, поводов для беспокойства нет. </t>
  </si>
  <si>
    <t>&lt;10</t>
  </si>
  <si>
    <t>Преобладание положительных эмоций. Ребенок весел, счастлив, настроен оптимистично.</t>
  </si>
  <si>
    <t>место синего</t>
  </si>
  <si>
    <t>место красного</t>
  </si>
  <si>
    <t>место желтого</t>
  </si>
  <si>
    <t>место коричневого</t>
  </si>
  <si>
    <t>место зеленого</t>
  </si>
  <si>
    <t>место фиолетового</t>
  </si>
  <si>
    <t>место серого</t>
  </si>
  <si>
    <t>место черного</t>
  </si>
  <si>
    <t>Вегетативный компонент</t>
  </si>
  <si>
    <t>Самооценка</t>
  </si>
  <si>
    <t>ОБРАБОТКА ДЛЯ ВК</t>
  </si>
  <si>
    <t>ОБРАБОТКА ДЛЯ СО разница</t>
  </si>
  <si>
    <t>Эмоциональный фон</t>
  </si>
  <si>
    <t>нормальный</t>
  </si>
  <si>
    <t>отрицательный</t>
  </si>
  <si>
    <t>положительный</t>
  </si>
  <si>
    <t>перевозбуждение</t>
  </si>
  <si>
    <t>истощение</t>
  </si>
  <si>
    <t>усталость</t>
  </si>
  <si>
    <t>оптимальная работоспособность</t>
  </si>
  <si>
    <t>ОБРАБОТКА ДЛЯ СО и самооценки</t>
  </si>
  <si>
    <t>Корреляция</t>
  </si>
  <si>
    <t>Отклонений нет</t>
  </si>
  <si>
    <t>Обратить внимание</t>
  </si>
  <si>
    <t>ФИО</t>
  </si>
  <si>
    <t>№</t>
  </si>
  <si>
    <t>Вегетативный коэффициент</t>
  </si>
  <si>
    <t>Настроение ребенка, когда</t>
  </si>
  <si>
    <t>ДОМИКИ ОРЕХОВОЙ</t>
  </si>
  <si>
    <t>МОТИВАЦИЯ</t>
  </si>
  <si>
    <t>25-30</t>
  </si>
  <si>
    <t>20-24</t>
  </si>
  <si>
    <t>15-19</t>
  </si>
  <si>
    <t xml:space="preserve"> 10-14</t>
  </si>
  <si>
    <t>ниже 10</t>
  </si>
  <si>
    <t>высокий уровень</t>
  </si>
  <si>
    <t>хороший уровень</t>
  </si>
  <si>
    <t>средний уровень</t>
  </si>
  <si>
    <t>низкий уровень</t>
  </si>
  <si>
    <t>негативное отношение к школе</t>
  </si>
  <si>
    <t>Негативное отношение к школе, школьная дезадаптация. Такие дети испытывают серьёзные трудности в школе: они не справляются с учебной деятельностью, испытывают проблемы в общении с одноклассниками, во взаимоотношениях с учителем. Школа нередко воспринимается ими как враждебная среда, пребывание в которой для них невыносимо. В других случаях ученики могут проявлять агрессивные реакции, отказываясь выполнять те или иные задания, следовать тем или иным нормам и правилам.</t>
  </si>
  <si>
    <t>Низкая школьная мотивация. Подобные школьники посещают школу неохотно, предпочитают пропускать занятия. На уроках часто занимаются посторонними делами, играми. Испытывают серьёзные затруднения в учебной деятельности. Находятся в состоянии неустойчивой адаптации в школе.</t>
  </si>
  <si>
    <t>Положительное отношение к школе, но школа привлекает больше внеучебными  сторонами. Такие учащиеся достаточно благополучно чувствуют себя в школе, однако чаще ходят в школу, чтобы общаться с друзьями, с учителем. Им нравится ощущать себя учениками, иметь красивый портфель, ручки, тетради. Познавательные мотивы у таких детей сформированы в меньшей степени и учебный процесс их мало привлекает.</t>
  </si>
  <si>
    <t>Хорошая школьная мотивация. Наиболее типичный уровень для младших школьников, успешно справляющихся с учебной деятельностью. При ответах на вопросы проявляют меньшую зависимость от жёстких требований и норм.</t>
  </si>
  <si>
    <t>Высокий уровень школьной мотивации, учебной активности. Такие дети отличаются наличием высоких познавательных мотивов, стремлением наиболее успешно выполнять все предъявляемые школой требования. Они очень чётко следуют всем указаниям учителя, добросовестны и ответственны, сильно переживают, если получают неудовлетворительные оценки ли замечания педагога.</t>
  </si>
  <si>
    <t>Общий уровень</t>
  </si>
  <si>
    <t>Склонность к прямой вербальной агрессии</t>
  </si>
  <si>
    <t>Склонность к косвенной физической агрессии</t>
  </si>
  <si>
    <t>Склонность к прямой физической агрессии</t>
  </si>
  <si>
    <t>АГРЕССИЯ</t>
  </si>
  <si>
    <t>высокий</t>
  </si>
  <si>
    <t>средний</t>
  </si>
  <si>
    <t>низкий</t>
  </si>
  <si>
    <t>0-2</t>
  </si>
  <si>
    <t xml:space="preserve"> 3-4</t>
  </si>
  <si>
    <t xml:space="preserve"> 5-6</t>
  </si>
  <si>
    <t>0-6</t>
  </si>
  <si>
    <t xml:space="preserve"> 7-8</t>
  </si>
  <si>
    <t xml:space="preserve"> 9-10</t>
  </si>
  <si>
    <t xml:space="preserve"> 7-12</t>
  </si>
  <si>
    <t>13-18</t>
  </si>
  <si>
    <t>19-24</t>
  </si>
  <si>
    <t>пониженный</t>
  </si>
  <si>
    <t>повышенный</t>
  </si>
  <si>
    <t>ИТОГОВОЕ ЗАКЛЮЧЕНИЕ:</t>
  </si>
  <si>
    <t>рекомендован(а)</t>
  </si>
  <si>
    <t>рекомендован(а) при условии успешного прохождения вступительных испытаний</t>
  </si>
  <si>
    <t>не рекомендован(а)</t>
  </si>
  <si>
    <t>Педагог-психолог</t>
  </si>
  <si>
    <t>Проективный тест Цветовых отношений</t>
  </si>
  <si>
    <t>Настроение в школе</t>
  </si>
  <si>
    <t>Настроение дома</t>
  </si>
  <si>
    <t>Русский язык и литература</t>
  </si>
  <si>
    <t>Английский язык</t>
  </si>
  <si>
    <t>Математика</t>
  </si>
  <si>
    <t>ИЗО/музыка</t>
  </si>
  <si>
    <t>История и обществознание</t>
  </si>
  <si>
    <t>Технология</t>
  </si>
  <si>
    <t>Физкультура</t>
  </si>
  <si>
    <t>Контрольные и проверочные работы</t>
  </si>
  <si>
    <t>Состояние, когда отвечаешь у доски</t>
  </si>
  <si>
    <t>Наставник</t>
  </si>
  <si>
    <t>Одноклассники</t>
  </si>
  <si>
    <t>Домашнее задание</t>
  </si>
  <si>
    <t>Ответы у доски</t>
  </si>
  <si>
    <t>Отношения с наставником</t>
  </si>
  <si>
    <t>Отношения одноклассниками</t>
  </si>
  <si>
    <t>ИЗО/Музыка</t>
  </si>
  <si>
    <t>Физическая культура</t>
  </si>
  <si>
    <t>Социометрический статус</t>
  </si>
  <si>
    <t>Примечание</t>
  </si>
  <si>
    <t>Внутренний мир</t>
  </si>
  <si>
    <t>пренебрегаемый</t>
  </si>
  <si>
    <t>отвергаемый</t>
  </si>
  <si>
    <t>предпочитаемый</t>
  </si>
  <si>
    <t>принятый</t>
  </si>
  <si>
    <t>звезда</t>
  </si>
  <si>
    <t>Общее ресурсное состояние обучающихся 6 классов</t>
  </si>
  <si>
    <t>Эмоциональный фон 
обучающихся 6 классов</t>
  </si>
  <si>
    <t>Самооценка обучающихся 6 классов</t>
  </si>
  <si>
    <t>Инфантильная</t>
  </si>
  <si>
    <t>Отрицательная</t>
  </si>
  <si>
    <t>Положительная</t>
  </si>
  <si>
    <t xml:space="preserve">Отношение обучающихся 6 классов </t>
  </si>
  <si>
    <t>изолированный</t>
  </si>
  <si>
    <t>Школа</t>
  </si>
  <si>
    <t>Чтение</t>
  </si>
  <si>
    <t>Русский яз</t>
  </si>
  <si>
    <t>Английский яз</t>
  </si>
  <si>
    <t>Исследование</t>
  </si>
  <si>
    <t>Педагог</t>
  </si>
  <si>
    <t>Дом</t>
  </si>
  <si>
    <t>Уроки</t>
  </si>
  <si>
    <t>Свое</t>
  </si>
  <si>
    <t>2 а</t>
  </si>
  <si>
    <t>2 в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</si>
  <si>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</si>
  <si>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</si>
  <si>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</si>
  <si>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</si>
  <si>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</si>
  <si>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</si>
  <si>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</si>
  <si>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</si>
  <si>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</si>
  <si>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</si>
  <si>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Л</t>
  </si>
  <si>
    <t>М</t>
  </si>
  <si>
    <t>П</t>
  </si>
  <si>
    <t>Н</t>
  </si>
  <si>
    <t>О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</si>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</sst>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2"/>
      <color rgb="FF000000"/>
      <name val="Calibri"/>
      <family val="2"/>
      <charset val="204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charset val="204"/>
      <scheme val="minor"/>
    </font>
    <font>
      <sz val="14"/>
      <color rgb="FF000000"/>
      <name val="Calibri"/>
      <family val="2"/>
    </font>
    <font>
      <sz val="11"/>
      <color rgb="FF000000"/>
      <name val="Times New Roman"/>
      <family val="1"/>
      <charset val="204"/>
    </font>
    <font>
      <b/>
      <i/>
      <sz val="14"/>
      <color rgb="FF000000"/>
      <name val="Calibri"/>
      <family val="2"/>
    </font>
    <font>
      <i/>
      <sz val="12"/>
      <color rgb="FF000000"/>
      <name val="Calibri"/>
      <family val="2"/>
      <charset val="204"/>
    </font>
    <font>
      <sz val="10"/>
      <color theme="1"/>
      <name val="Calibri"/>
      <family val="2"/>
    </font>
    <font>
      <sz val="12"/>
      <color rgb="FF003399"/>
      <name val="Eskal Font4You"/>
      <charset val="204"/>
    </font>
    <font>
      <sz val="12"/>
      <color rgb="FF000000"/>
      <name val="Calibri"/>
      <family val="2"/>
    </font>
    <font>
      <b/>
      <sz val="11"/>
      <color theme="1"/>
      <name val="Calibri"/>
      <family val="2"/>
      <charset val="204"/>
    </font>
    <font>
      <sz val="16"/>
      <color rgb="FF000000"/>
      <name val="Calibri"/>
      <family val="2"/>
      <charset val="204"/>
      <scheme val="minor"/>
    </font>
    <font>
      <b/>
      <i/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5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 shrinkToFi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vertical="center" wrapText="1" shrinkToFit="1"/>
    </xf>
    <xf numFmtId="0" fontId="2" fillId="3" borderId="1" xfId="0" applyFont="1" applyFill="1" applyBorder="1" applyAlignment="1">
      <alignment vertical="center" wrapText="1" shrinkToFit="1"/>
    </xf>
    <xf numFmtId="0" fontId="0" fillId="0" borderId="1" xfId="0" applyBorder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1" xfId="0" applyFont="1" applyBorder="1"/>
    <xf numFmtId="0" fontId="14" fillId="3" borderId="1" xfId="0" applyFont="1" applyFill="1" applyBorder="1"/>
    <xf numFmtId="0" fontId="10" fillId="4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2" fontId="10" fillId="4" borderId="1" xfId="0" applyNumberFormat="1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5" fillId="0" borderId="11" xfId="0" applyFont="1" applyBorder="1"/>
    <xf numFmtId="0" fontId="5" fillId="0" borderId="10" xfId="0" applyFont="1" applyBorder="1"/>
    <xf numFmtId="0" fontId="5" fillId="0" borderId="2" xfId="0" applyFont="1" applyBorder="1"/>
    <xf numFmtId="0" fontId="5" fillId="0" borderId="3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/>
    <xf numFmtId="9" fontId="0" fillId="0" borderId="0" xfId="2" applyFont="1" applyBorder="1"/>
    <xf numFmtId="9" fontId="0" fillId="0" borderId="0" xfId="0" applyNumberFormat="1"/>
    <xf numFmtId="0" fontId="0" fillId="8" borderId="1" xfId="0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vertical="center" wrapText="1" shrinkToFi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8" borderId="1" xfId="0" applyFill="1" applyBorder="1" applyAlignment="1">
      <alignment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6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1" fillId="8" borderId="0" xfId="0" applyFont="1" applyFill="1" applyAlignment="1">
      <alignment horizontal="center" vertical="center" wrapText="1" shrinkToFit="1"/>
    </xf>
    <xf numFmtId="0" fontId="0" fillId="8" borderId="0" xfId="0" applyFill="1" applyAlignment="1">
      <alignment horizontal="center" vertical="center" shrinkToFit="1"/>
    </xf>
    <xf numFmtId="0" fontId="0" fillId="8" borderId="0" xfId="0" applyFill="1" applyAlignment="1">
      <alignment horizontal="center"/>
    </xf>
    <xf numFmtId="0" fontId="1" fillId="3" borderId="7" xfId="0" applyFont="1" applyFill="1" applyBorder="1" applyAlignment="1">
      <alignment vertical="center" wrapText="1" shrinkToFi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14" fontId="21" fillId="0" borderId="1" xfId="0" applyNumberFormat="1" applyFont="1" applyBorder="1"/>
    <xf numFmtId="0" fontId="21" fillId="0" borderId="1" xfId="0" applyFont="1" applyBorder="1" applyAlignment="1">
      <alignment vertical="center" wrapText="1"/>
    </xf>
    <xf numFmtId="2" fontId="21" fillId="0" borderId="1" xfId="0" applyNumberFormat="1" applyFont="1" applyBorder="1"/>
    <xf numFmtId="2" fontId="21" fillId="0" borderId="1" xfId="0" applyNumberFormat="1" applyFont="1" applyBorder="1" applyAlignment="1">
      <alignment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/>
    <xf numFmtId="0" fontId="22" fillId="0" borderId="1" xfId="0" applyFont="1" applyBorder="1" applyAlignment="1">
      <alignment vertical="center" wrapText="1"/>
    </xf>
    <xf numFmtId="2" fontId="22" fillId="0" borderId="1" xfId="0" applyNumberFormat="1" applyFont="1" applyBorder="1"/>
    <xf numFmtId="2" fontId="22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0" xfId="0" applyFont="1"/>
    <xf numFmtId="0" fontId="0" fillId="8" borderId="1" xfId="0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7" fontId="21" fillId="0" borderId="0" xfId="0" applyNumberFormat="1" applyFont="1" applyAlignment="1">
      <alignment vertical="center"/>
    </xf>
    <xf numFmtId="0" fontId="20" fillId="0" borderId="0" xfId="0" applyFont="1" applyAlignment="1">
      <alignment vertical="center" wrapText="1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6" fillId="4" borderId="5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0" fillId="4" borderId="5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</cellXfs>
  <cellStyles count="3">
    <cellStyle name="Обычный" xfId="0" builtinId="0"/>
    <cellStyle name="Обычный 2 2" xfId="1" xr:uid="{00000000-0005-0000-0000-000002000000}"/>
    <cellStyle name="Процентный" xfId="2" builtinId="5"/>
  </cellStyles>
  <dxfs count="127">
    <dxf>
      <font>
        <b/>
        <i val="0"/>
      </font>
      <fill>
        <patternFill>
          <bgColor rgb="FFFF8181"/>
        </patternFill>
      </fill>
    </dxf>
    <dxf>
      <fill>
        <patternFill>
          <bgColor theme="9" tint="0.59996337778862885"/>
        </patternFill>
      </fill>
    </dxf>
    <dxf>
      <font>
        <color theme="0"/>
      </font>
    </dxf>
    <dxf>
      <font>
        <b/>
        <i val="0"/>
      </font>
      <fill>
        <patternFill>
          <bgColor rgb="FFFF818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5D54"/>
        </patternFill>
      </fill>
    </dxf>
    <dxf>
      <fill>
        <patternFill>
          <bgColor theme="7" tint="0.59996337778862885"/>
        </patternFill>
      </fill>
    </dxf>
    <dxf>
      <fill>
        <patternFill>
          <bgColor rgb="FFAA46F4"/>
        </patternFill>
      </fill>
    </dxf>
    <dxf>
      <fill>
        <patternFill>
          <bgColor theme="0" tint="-0.14996795556505021"/>
        </patternFill>
      </fill>
    </dxf>
    <dxf>
      <fill>
        <patternFill>
          <bgColor rgb="FF945200"/>
        </patternFill>
      </fill>
    </dxf>
    <dxf>
      <fill>
        <patternFill>
          <bgColor theme="1"/>
        </patternFill>
      </fill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colors>
    <mruColors>
      <color rgb="FF945200"/>
      <color rgb="FFAA46F4"/>
      <color rgb="FFDF96FF"/>
      <color rgb="FFFF5D54"/>
      <color rgb="FFFF8D6B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ресурного состояния обучающихся </a:t>
            </a:r>
            <a:br>
              <a:rPr lang="ru-RU" baseline="0"/>
            </a:br>
            <a:r>
              <a:rPr lang="ru-RU" baseline="0"/>
              <a:t>6 классов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276465441819795E-3"/>
          <c:y val="0.28306558747195709"/>
          <c:w val="0.70470144356955378"/>
          <c:h val="0.65833809879910266"/>
        </c:manualLayout>
      </c:layout>
      <c:pie3DChart>
        <c:varyColors val="1"/>
        <c:ser>
          <c:idx val="0"/>
          <c:order val="0"/>
          <c:cat>
            <c:strRef>
              <c:f>Диаграммы!$A$1:$A$5</c:f>
              <c:strCache>
                <c:ptCount val="5"/>
                <c:pt idx="0">
                  <c:v>Общее ресурсное состояние обучающихся 6 классов</c:v>
                </c:pt>
                <c:pt idx="1">
                  <c:v>истощение</c:v>
                </c:pt>
                <c:pt idx="2">
                  <c:v>усталость</c:v>
                </c:pt>
                <c:pt idx="3">
                  <c:v>оптимальная работоспособность</c:v>
                </c:pt>
                <c:pt idx="4">
                  <c:v>перевозбуждение</c:v>
                </c:pt>
              </c:strCache>
            </c:strRef>
          </c:cat>
          <c:val>
            <c:numRef>
              <c:f>Диаграммы!$B$1:$B$5</c:f>
            </c:numRef>
          </c:val>
          <c:extLst>
            <c:ext xmlns:c16="http://schemas.microsoft.com/office/drawing/2014/chart" uri="{C3380CC4-5D6E-409C-BE32-E72D297353CC}">
              <c16:uniqueId val="{00000000-560D-4E42-9FA8-C17EDC67FC4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C9-0140-8C5D-D27827DBE7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60D-4E42-9FA8-C17EDC67F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C9-0140-8C5D-D27827DBE7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C9-0140-8C5D-D27827DBE7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0C9-0140-8C5D-D27827DBE7AA}"/>
              </c:ext>
            </c:extLst>
          </c:dPt>
          <c:dLbls>
            <c:dLbl>
              <c:idx val="1"/>
              <c:layout>
                <c:manualLayout>
                  <c:x val="-1.1597769028871391E-3"/>
                  <c:y val="-2.7921963665156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0D-4E42-9FA8-C17EDC67FC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Диаграммы!$A$1:$A$5</c:f>
              <c:strCache>
                <c:ptCount val="5"/>
                <c:pt idx="0">
                  <c:v>Общее ресурсное состояние обучающихся 6 классов</c:v>
                </c:pt>
                <c:pt idx="1">
                  <c:v>истощение</c:v>
                </c:pt>
                <c:pt idx="2">
                  <c:v>усталость</c:v>
                </c:pt>
                <c:pt idx="3">
                  <c:v>оптимальная работоспособность</c:v>
                </c:pt>
                <c:pt idx="4">
                  <c:v>перевозбуждение</c:v>
                </c:pt>
              </c:strCache>
            </c:strRef>
          </c:cat>
          <c:val>
            <c:numRef>
              <c:f>Диаграммы!$C$1:$C$5</c:f>
              <c:numCache>
                <c:formatCode>0%</c:formatCode>
                <c:ptCount val="5"/>
                <c:pt idx="1">
                  <c:v>0</c:v>
                </c:pt>
                <c:pt idx="2">
                  <c:v>0.40909090909090912</c:v>
                </c:pt>
                <c:pt idx="3">
                  <c:v>0.59090909090909094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D-4E42-9FA8-C17EDC67F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Эмоциональный фон обучающихся 6 классов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cat>
            <c:strRef>
              <c:f>Диаграммы!$A$10:$A$13</c:f>
              <c:strCache>
                <c:ptCount val="4"/>
                <c:pt idx="0">
                  <c:v>Эмоциональный фон 
обучающихся 6 классов</c:v>
                </c:pt>
                <c:pt idx="1">
                  <c:v>отрицательный</c:v>
                </c:pt>
                <c:pt idx="2">
                  <c:v>нормальный</c:v>
                </c:pt>
                <c:pt idx="3">
                  <c:v>положительный</c:v>
                </c:pt>
              </c:strCache>
            </c:strRef>
          </c:cat>
          <c:val>
            <c:numRef>
              <c:f>Диаграммы!$B$10:$B$13</c:f>
            </c:numRef>
          </c:val>
          <c:extLst>
            <c:ext xmlns:c16="http://schemas.microsoft.com/office/drawing/2014/chart" uri="{C3380CC4-5D6E-409C-BE32-E72D297353CC}">
              <c16:uniqueId val="{00000000-8313-44A5-BFDF-FE3FD0C5DD2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DB-EA4B-8A46-EC872D45DB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DB-EA4B-8A46-EC872D45DB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DB-EA4B-8A46-EC872D45DB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DB-EA4B-8A46-EC872D45DB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Диаграммы!$A$10:$A$13</c:f>
              <c:strCache>
                <c:ptCount val="4"/>
                <c:pt idx="0">
                  <c:v>Эмоциональный фон 
обучающихся 6 классов</c:v>
                </c:pt>
                <c:pt idx="1">
                  <c:v>отрицательный</c:v>
                </c:pt>
                <c:pt idx="2">
                  <c:v>нормальный</c:v>
                </c:pt>
                <c:pt idx="3">
                  <c:v>положительный</c:v>
                </c:pt>
              </c:strCache>
            </c:strRef>
          </c:cat>
          <c:val>
            <c:numRef>
              <c:f>Диаграммы!$C$10:$C$13</c:f>
              <c:numCache>
                <c:formatCode>0%</c:formatCode>
                <c:ptCount val="4"/>
                <c:pt idx="1">
                  <c:v>0.32</c:v>
                </c:pt>
                <c:pt idx="2">
                  <c:v>0.56000000000000005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3-44A5-BFDF-FE3FD0C5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Самооценка обучающихся 6 классов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cat>
            <c:strRef>
              <c:f>Диаграммы!$A$15:$A$18</c:f>
              <c:strCache>
                <c:ptCount val="4"/>
                <c:pt idx="0">
                  <c:v>Самооценка обучающихся 6 классов</c:v>
                </c:pt>
                <c:pt idx="1">
                  <c:v>Положительная</c:v>
                </c:pt>
                <c:pt idx="2">
                  <c:v>Отрицательная</c:v>
                </c:pt>
                <c:pt idx="3">
                  <c:v>Инфантильная</c:v>
                </c:pt>
              </c:strCache>
            </c:strRef>
          </c:cat>
          <c:val>
            <c:numRef>
              <c:f>Диаграммы!$B$15:$B$18</c:f>
            </c:numRef>
          </c:val>
          <c:extLst>
            <c:ext xmlns:c16="http://schemas.microsoft.com/office/drawing/2014/chart" uri="{C3380CC4-5D6E-409C-BE32-E72D297353CC}">
              <c16:uniqueId val="{00000000-CEB7-4D64-A6AE-37E3C85BC11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AE-C141-9667-D3300BA091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AE-C141-9667-D3300BA091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AE-C141-9667-D3300BA091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AE-C141-9667-D3300BA091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Диаграммы!$A$15:$A$18</c:f>
              <c:strCache>
                <c:ptCount val="4"/>
                <c:pt idx="0">
                  <c:v>Самооценка обучающихся 6 классов</c:v>
                </c:pt>
                <c:pt idx="1">
                  <c:v>Положительная</c:v>
                </c:pt>
                <c:pt idx="2">
                  <c:v>Отрицательная</c:v>
                </c:pt>
                <c:pt idx="3">
                  <c:v>Инфантильная</c:v>
                </c:pt>
              </c:strCache>
            </c:strRef>
          </c:cat>
          <c:val>
            <c:numRef>
              <c:f>Диаграммы!$C$15:$C$18</c:f>
              <c:numCache>
                <c:formatCode>0%</c:formatCode>
                <c:ptCount val="4"/>
                <c:pt idx="1">
                  <c:v>0.77272727272727271</c:v>
                </c:pt>
                <c:pt idx="2">
                  <c:v>9.0909090909090912E-2</c:v>
                </c:pt>
                <c:pt idx="3">
                  <c:v>0.13636363636363635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7-4D64-A6AE-37E3C85B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Отношение у обучающихся</a:t>
            </a:r>
            <a:r>
              <a:rPr lang="ru-RU" baseline="0"/>
              <a:t> 6 классов к школьным предметам и отдельным мероприиям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Диаграммы!$A$22:$A$36</c:f>
              <c:strCache>
                <c:ptCount val="11"/>
                <c:pt idx="0">
                  <c:v>Русский язык и литература</c:v>
                </c:pt>
                <c:pt idx="1">
                  <c:v>Английский язык</c:v>
                </c:pt>
                <c:pt idx="2">
                  <c:v>Математика</c:v>
                </c:pt>
                <c:pt idx="3">
                  <c:v>ИЗО/музыка</c:v>
                </c:pt>
                <c:pt idx="4">
                  <c:v>История и обществознание</c:v>
                </c:pt>
                <c:pt idx="5">
                  <c:v>Технология</c:v>
                </c:pt>
                <c:pt idx="6">
                  <c:v>Физкультура</c:v>
                </c:pt>
                <c:pt idx="7">
                  <c:v>Контрольные и проверочные работы</c:v>
                </c:pt>
                <c:pt idx="8">
                  <c:v>Состояние, когда отвечаешь у доски</c:v>
                </c:pt>
                <c:pt idx="9">
                  <c:v>Наставник</c:v>
                </c:pt>
                <c:pt idx="10">
                  <c:v>Домашнее задание</c:v>
                </c:pt>
              </c:strCache>
            </c:strRef>
          </c:cat>
          <c:val>
            <c:numRef>
              <c:f>Диаграммы!$B$20:$B$36</c:f>
            </c:numRef>
          </c:val>
          <c:extLst>
            <c:ext xmlns:c16="http://schemas.microsoft.com/office/drawing/2014/chart" uri="{C3380CC4-5D6E-409C-BE32-E72D297353CC}">
              <c16:uniqueId val="{00000000-FC99-447D-83D5-55A74BB22308}"/>
            </c:ext>
          </c:extLst>
        </c:ser>
        <c:ser>
          <c:idx val="1"/>
          <c:order val="1"/>
          <c:tx>
            <c:strRef>
              <c:f>Диаграммы!$B$21</c:f>
              <c:strCache>
                <c:ptCount val="1"/>
                <c:pt idx="0">
                  <c:v>Отклонений нет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Диаграммы!$A$22:$A$36</c:f>
              <c:strCache>
                <c:ptCount val="11"/>
                <c:pt idx="0">
                  <c:v>Русский язык и литература</c:v>
                </c:pt>
                <c:pt idx="1">
                  <c:v>Английский язык</c:v>
                </c:pt>
                <c:pt idx="2">
                  <c:v>Математика</c:v>
                </c:pt>
                <c:pt idx="3">
                  <c:v>ИЗО/музыка</c:v>
                </c:pt>
                <c:pt idx="4">
                  <c:v>История и обществознание</c:v>
                </c:pt>
                <c:pt idx="5">
                  <c:v>Технология</c:v>
                </c:pt>
                <c:pt idx="6">
                  <c:v>Физкультура</c:v>
                </c:pt>
                <c:pt idx="7">
                  <c:v>Контрольные и проверочные работы</c:v>
                </c:pt>
                <c:pt idx="8">
                  <c:v>Состояние, когда отвечаешь у доски</c:v>
                </c:pt>
                <c:pt idx="9">
                  <c:v>Наставник</c:v>
                </c:pt>
                <c:pt idx="10">
                  <c:v>Домашнее задание</c:v>
                </c:pt>
              </c:strCache>
            </c:strRef>
          </c:cat>
          <c:val>
            <c:numRef>
              <c:f>Диаграммы!$C$22:$C$36</c:f>
              <c:numCache>
                <c:formatCode>0%</c:formatCode>
                <c:ptCount val="11"/>
                <c:pt idx="0">
                  <c:v>0.76</c:v>
                </c:pt>
                <c:pt idx="1">
                  <c:v>0.56000000000000005</c:v>
                </c:pt>
                <c:pt idx="2">
                  <c:v>0.36</c:v>
                </c:pt>
                <c:pt idx="3">
                  <c:v>0.88</c:v>
                </c:pt>
                <c:pt idx="4">
                  <c:v>0.92</c:v>
                </c:pt>
                <c:pt idx="5">
                  <c:v>0.96</c:v>
                </c:pt>
                <c:pt idx="6">
                  <c:v>0.92</c:v>
                </c:pt>
                <c:pt idx="7">
                  <c:v>0.36</c:v>
                </c:pt>
                <c:pt idx="8">
                  <c:v>0.84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9-447D-83D5-55A74BB2230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Диаграммы!$A$22:$A$36</c:f>
              <c:strCache>
                <c:ptCount val="11"/>
                <c:pt idx="0">
                  <c:v>Русский язык и литература</c:v>
                </c:pt>
                <c:pt idx="1">
                  <c:v>Английский язык</c:v>
                </c:pt>
                <c:pt idx="2">
                  <c:v>Математика</c:v>
                </c:pt>
                <c:pt idx="3">
                  <c:v>ИЗО/музыка</c:v>
                </c:pt>
                <c:pt idx="4">
                  <c:v>История и обществознание</c:v>
                </c:pt>
                <c:pt idx="5">
                  <c:v>Технология</c:v>
                </c:pt>
                <c:pt idx="6">
                  <c:v>Физкультура</c:v>
                </c:pt>
                <c:pt idx="7">
                  <c:v>Контрольные и проверочные работы</c:v>
                </c:pt>
                <c:pt idx="8">
                  <c:v>Состояние, когда отвечаешь у доски</c:v>
                </c:pt>
                <c:pt idx="9">
                  <c:v>Наставник</c:v>
                </c:pt>
                <c:pt idx="10">
                  <c:v>Домашнее задание</c:v>
                </c:pt>
              </c:strCache>
            </c:strRef>
          </c:cat>
          <c:val>
            <c:numRef>
              <c:f>Диаграммы!$D$20:$D$36</c:f>
            </c:numRef>
          </c:val>
          <c:extLst>
            <c:ext xmlns:c16="http://schemas.microsoft.com/office/drawing/2014/chart" uri="{C3380CC4-5D6E-409C-BE32-E72D297353CC}">
              <c16:uniqueId val="{00000002-FC99-447D-83D5-55A74BB22308}"/>
            </c:ext>
          </c:extLst>
        </c:ser>
        <c:ser>
          <c:idx val="3"/>
          <c:order val="3"/>
          <c:tx>
            <c:strRef>
              <c:f>Диаграммы!$D$21</c:f>
              <c:strCache>
                <c:ptCount val="1"/>
                <c:pt idx="0">
                  <c:v>Обратить внимание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Диаграммы!$A$22:$A$36</c:f>
              <c:strCache>
                <c:ptCount val="11"/>
                <c:pt idx="0">
                  <c:v>Русский язык и литература</c:v>
                </c:pt>
                <c:pt idx="1">
                  <c:v>Английский язык</c:v>
                </c:pt>
                <c:pt idx="2">
                  <c:v>Математика</c:v>
                </c:pt>
                <c:pt idx="3">
                  <c:v>ИЗО/музыка</c:v>
                </c:pt>
                <c:pt idx="4">
                  <c:v>История и обществознание</c:v>
                </c:pt>
                <c:pt idx="5">
                  <c:v>Технология</c:v>
                </c:pt>
                <c:pt idx="6">
                  <c:v>Физкультура</c:v>
                </c:pt>
                <c:pt idx="7">
                  <c:v>Контрольные и проверочные работы</c:v>
                </c:pt>
                <c:pt idx="8">
                  <c:v>Состояние, когда отвечаешь у доски</c:v>
                </c:pt>
                <c:pt idx="9">
                  <c:v>Наставник</c:v>
                </c:pt>
                <c:pt idx="10">
                  <c:v>Домашнее задание</c:v>
                </c:pt>
              </c:strCache>
            </c:strRef>
          </c:cat>
          <c:val>
            <c:numRef>
              <c:f>Диаграммы!$E$22:$E$36</c:f>
              <c:numCache>
                <c:formatCode>0%</c:formatCode>
                <c:ptCount val="11"/>
                <c:pt idx="0">
                  <c:v>0.24</c:v>
                </c:pt>
                <c:pt idx="1">
                  <c:v>0.44</c:v>
                </c:pt>
                <c:pt idx="2">
                  <c:v>0.64</c:v>
                </c:pt>
                <c:pt idx="3">
                  <c:v>0.12</c:v>
                </c:pt>
                <c:pt idx="4">
                  <c:v>0.08</c:v>
                </c:pt>
                <c:pt idx="5">
                  <c:v>0.04</c:v>
                </c:pt>
                <c:pt idx="6">
                  <c:v>0.08</c:v>
                </c:pt>
                <c:pt idx="7">
                  <c:v>0.64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99-447D-83D5-55A74BB2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368223"/>
        <c:axId val="1846727615"/>
        <c:axId val="0"/>
      </c:bar3DChart>
      <c:catAx>
        <c:axId val="18463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27615"/>
        <c:crosses val="autoZero"/>
        <c:auto val="1"/>
        <c:lblAlgn val="ctr"/>
        <c:lblOffset val="100"/>
        <c:noMultiLvlLbl val="0"/>
      </c:catAx>
      <c:valAx>
        <c:axId val="18467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3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Результаты социометрии</a:t>
            </a:r>
            <a:endParaRPr lang="ru-RU" sz="1600" baseline="0"/>
          </a:p>
          <a:p>
            <a:pPr>
              <a:defRPr/>
            </a:pPr>
            <a:r>
              <a:rPr lang="ru-RU" baseline="0"/>
              <a:t>обучающихся 6 классов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cat>
            <c:strRef>
              <c:f>Диаграммы!$A$38:$A$44</c:f>
              <c:strCache>
                <c:ptCount val="7"/>
                <c:pt idx="0">
                  <c:v>Социометрический статус</c:v>
                </c:pt>
                <c:pt idx="1">
                  <c:v>звезда</c:v>
                </c:pt>
                <c:pt idx="2">
                  <c:v>предпочитаемый</c:v>
                </c:pt>
                <c:pt idx="3">
                  <c:v>принятый</c:v>
                </c:pt>
                <c:pt idx="4">
                  <c:v>пренебрегаемый</c:v>
                </c:pt>
                <c:pt idx="5">
                  <c:v>отвергаемый</c:v>
                </c:pt>
                <c:pt idx="6">
                  <c:v>изолированный</c:v>
                </c:pt>
              </c:strCache>
            </c:strRef>
          </c:cat>
          <c:val>
            <c:numRef>
              <c:f>Диаграммы!$B$38:$B$44</c:f>
            </c:numRef>
          </c:val>
          <c:extLst>
            <c:ext xmlns:c16="http://schemas.microsoft.com/office/drawing/2014/chart" uri="{C3380CC4-5D6E-409C-BE32-E72D297353CC}">
              <c16:uniqueId val="{00000000-47C9-4630-ADE6-9050DD26F3FD}"/>
            </c:ext>
          </c:extLst>
        </c:ser>
        <c:ser>
          <c:idx val="1"/>
          <c:order val="1"/>
          <c:explosion val="7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6E-0E4E-A0F3-3D6F416EC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7C9-4630-ADE6-9050DD26F3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6E-0E4E-A0F3-3D6F416ECA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6E-0E4E-A0F3-3D6F416ECA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36E-0E4E-A0F3-3D6F416ECA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36E-0E4E-A0F3-3D6F416ECA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36E-0E4E-A0F3-3D6F416ECA23}"/>
              </c:ext>
            </c:extLst>
          </c:dPt>
          <c:dLbls>
            <c:dLbl>
              <c:idx val="1"/>
              <c:layout>
                <c:manualLayout>
                  <c:x val="-3.5820895522388062E-2"/>
                  <c:y val="8.52216389617963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865671641791047E-2"/>
                      <c:h val="7.29166666666666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7C9-4630-ADE6-9050DD26F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Диаграммы!$A$38:$A$44</c:f>
              <c:strCache>
                <c:ptCount val="7"/>
                <c:pt idx="0">
                  <c:v>Социометрический статус</c:v>
                </c:pt>
                <c:pt idx="1">
                  <c:v>звезда</c:v>
                </c:pt>
                <c:pt idx="2">
                  <c:v>предпочитаемый</c:v>
                </c:pt>
                <c:pt idx="3">
                  <c:v>принятый</c:v>
                </c:pt>
                <c:pt idx="4">
                  <c:v>пренебрегаемый</c:v>
                </c:pt>
                <c:pt idx="5">
                  <c:v>отвергаемый</c:v>
                </c:pt>
                <c:pt idx="6">
                  <c:v>изолированный</c:v>
                </c:pt>
              </c:strCache>
            </c:strRef>
          </c:cat>
          <c:val>
            <c:numRef>
              <c:f>Диаграммы!$C$38:$C$44</c:f>
              <c:numCache>
                <c:formatCode>0%</c:formatCode>
                <c:ptCount val="7"/>
                <c:pt idx="1">
                  <c:v>4.878048780487805E-2</c:v>
                </c:pt>
                <c:pt idx="2">
                  <c:v>0.14634146341463414</c:v>
                </c:pt>
                <c:pt idx="3">
                  <c:v>0.45121951219512196</c:v>
                </c:pt>
                <c:pt idx="4">
                  <c:v>0.25609756097560976</c:v>
                </c:pt>
                <c:pt idx="5">
                  <c:v>9.7560975609756101E-2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9-4630-ADE6-9050DD26F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841375</xdr:colOff>
      <xdr:row>0</xdr:row>
      <xdr:rowOff>44450</xdr:rowOff>
    </xdr:from>
    <xdr:to>
      <xdr:col>11</xdr:col>
      <xdr:colOff>409575</xdr:colOff>
      <xdr:row>11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F80802-BA77-4F51-B279-C44266235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22225</xdr:colOff>
      <xdr:row>4</xdr:row>
      <xdr:rowOff>25400</xdr:rowOff>
    </xdr:from>
    <xdr:to>
      <xdr:col>19</xdr:col>
      <xdr:colOff>327025</xdr:colOff>
      <xdr:row>19</xdr:row>
      <xdr:rowOff>6350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42FA5B8-283A-4D73-8E9B-8A83FDD81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161925</xdr:colOff>
      <xdr:row>12</xdr:row>
      <xdr:rowOff>107950</xdr:rowOff>
    </xdr:from>
    <xdr:to>
      <xdr:col>12</xdr:col>
      <xdr:colOff>466725</xdr:colOff>
      <xdr:row>27</xdr:row>
      <xdr:rowOff>88900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7C4B0C-3EC8-459C-94DC-25CB20CE0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28</xdr:row>
      <xdr:rowOff>38100</xdr:rowOff>
    </xdr:from>
    <xdr:to>
      <xdr:col>17</xdr:col>
      <xdr:colOff>406400</xdr:colOff>
      <xdr:row>57</xdr:row>
      <xdr:rowOff>6350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9CC15D3-8EF2-4F5C-9584-70AC52FDB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45</xdr:row>
      <xdr:rowOff>57150</xdr:rowOff>
    </xdr:from>
    <xdr:to>
      <xdr:col>4</xdr:col>
      <xdr:colOff>1301750</xdr:colOff>
      <xdr:row>60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D67C926-A2B0-49CD-B257-44A51A5A3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chegolevaanastasiya/Desktop/C:/Users/Eromanova/Documents/&#1044;&#1080;&#1072;&#1075;&#1085;&#1086;&#1089;&#1090;&#1080;&#1082;&#1080;/&#1044;&#1080;&#1072;&#1075;&#1085;&#1086;&#1089;&#1090;&#1080;&#1082;&#1072;_&#1062;&#1058;&#1054;_6C%20&#1082;&#1083;&#1072;&#1089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помогательные данные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"/>
  <sheetViews>
    <sheetView tabSelected="1" zoomScale="109" zoomScaleNormal="100" workbookViewId="0">
      <selection activeCell="A28" sqref="A28:XFD121"/>
    </sheetView>
  </sheetViews>
  <sheetFormatPr defaultColWidth="8.81640625" defaultRowHeight="14.5"/>
  <cols>
    <col min="1" max="1" width="4" customWidth="1"/>
    <col min="2" max="2" width="25.81640625" customWidth="1"/>
    <col min="4" max="4" width="11.1796875" bestFit="1" customWidth="1"/>
    <col min="13" max="21" width="8.81640625" customWidth="1"/>
    <col min="22" max="22" width="8.81640625" style="3" customWidth="1"/>
    <col min="23" max="23" width="8.81640625" style="59" customWidth="1"/>
    <col min="24" max="24" width="8.81640625" style="3" customWidth="1"/>
    <col min="25" max="34" width="8.81640625" customWidth="1"/>
    <col min="35" max="37" width="8.81640625" style="45" customWidth="1"/>
    <col min="38" max="38" width="5.1796875" customWidth="1"/>
    <col min="39" max="39" width="4.6328125" customWidth="1"/>
    <col min="40" max="51" width="5.1796875" customWidth="1"/>
    <col min="52" max="61" width="6.36328125" customWidth="1"/>
    <col min="62" max="66" width="8.81640625" customWidth="1"/>
  </cols>
  <sheetData>
    <row r="1" spans="1:65" ht="14.5" customHeight="1">
      <c r="B1" s="103"/>
      <c r="C1" s="103" t="s">
        <v>0</v>
      </c>
      <c r="D1" s="103" t="s">
        <v>24</v>
      </c>
      <c r="E1" s="102" t="s">
        <v>1</v>
      </c>
      <c r="F1" s="107"/>
      <c r="G1" s="107"/>
      <c r="H1" s="107"/>
      <c r="I1" s="107"/>
      <c r="J1" s="107"/>
      <c r="K1" s="107"/>
      <c r="L1" s="107"/>
      <c r="M1" s="104" t="s">
        <v>11</v>
      </c>
      <c r="N1" s="105"/>
      <c r="O1" s="105"/>
      <c r="P1" s="105"/>
      <c r="Q1" s="105"/>
      <c r="R1" s="105"/>
      <c r="S1" s="105"/>
      <c r="T1" s="105"/>
      <c r="U1" s="105"/>
      <c r="V1" s="106"/>
      <c r="W1" s="100" t="s">
        <v>12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2"/>
      <c r="AL1" s="98" t="s">
        <v>49</v>
      </c>
      <c r="AM1" s="99"/>
      <c r="AN1" s="99"/>
      <c r="AO1" s="99"/>
      <c r="AP1" s="99"/>
      <c r="AQ1" s="99"/>
      <c r="AR1" s="99"/>
      <c r="AS1" s="99"/>
      <c r="AT1" s="98" t="s">
        <v>59</v>
      </c>
      <c r="AU1" s="99"/>
      <c r="AV1" s="99"/>
      <c r="AW1" s="99"/>
      <c r="AX1" s="99"/>
      <c r="AY1" s="99"/>
      <c r="AZ1" s="99"/>
      <c r="BA1" s="99"/>
      <c r="BB1" s="98" t="s">
        <v>50</v>
      </c>
      <c r="BC1" s="99"/>
      <c r="BD1" s="99"/>
      <c r="BE1" s="99"/>
      <c r="BF1" s="99"/>
      <c r="BG1" s="99"/>
      <c r="BH1" s="99"/>
      <c r="BI1" s="99"/>
    </row>
    <row r="2" spans="1:65" ht="69" customHeight="1">
      <c r="B2" s="103"/>
      <c r="C2" s="103"/>
      <c r="D2" s="103"/>
      <c r="E2" s="2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 t="s">
        <v>13</v>
      </c>
      <c r="N2" s="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56" t="s">
        <v>21</v>
      </c>
      <c r="V2" s="11" t="s">
        <v>22</v>
      </c>
      <c r="W2" s="57" t="s">
        <v>23</v>
      </c>
      <c r="X2" s="12" t="s">
        <v>144</v>
      </c>
      <c r="Y2" s="60" t="s">
        <v>145</v>
      </c>
      <c r="Z2" s="12" t="s">
        <v>113</v>
      </c>
      <c r="AA2" s="12" t="s">
        <v>146</v>
      </c>
      <c r="AB2" s="12" t="s">
        <v>147</v>
      </c>
      <c r="AC2" s="12" t="s">
        <v>148</v>
      </c>
      <c r="AD2" s="12" t="s">
        <v>149</v>
      </c>
      <c r="AE2" s="12" t="s">
        <v>121</v>
      </c>
      <c r="AF2" s="12" t="s">
        <v>150</v>
      </c>
      <c r="AG2" s="12" t="s">
        <v>151</v>
      </c>
      <c r="AH2" s="13" t="s">
        <v>152</v>
      </c>
      <c r="AI2" s="44" t="s">
        <v>120</v>
      </c>
      <c r="AJ2" s="44" t="s">
        <v>121</v>
      </c>
      <c r="AK2" s="44" t="s">
        <v>122</v>
      </c>
      <c r="AL2" s="8" t="s">
        <v>39</v>
      </c>
      <c r="AM2" s="8" t="s">
        <v>40</v>
      </c>
      <c r="AN2" s="8" t="s">
        <v>41</v>
      </c>
      <c r="AO2" s="8" t="s">
        <v>42</v>
      </c>
      <c r="AP2" s="8" t="s">
        <v>43</v>
      </c>
      <c r="AQ2" s="8" t="s">
        <v>44</v>
      </c>
      <c r="AR2" s="8" t="s">
        <v>45</v>
      </c>
      <c r="AS2" s="8" t="s">
        <v>46</v>
      </c>
      <c r="AT2" s="8" t="s">
        <v>2</v>
      </c>
      <c r="AU2" s="8" t="s">
        <v>3</v>
      </c>
      <c r="AV2" s="8" t="s">
        <v>4</v>
      </c>
      <c r="AW2" s="8" t="s">
        <v>7</v>
      </c>
      <c r="AX2" s="8" t="s">
        <v>5</v>
      </c>
      <c r="AY2" s="8" t="s">
        <v>8</v>
      </c>
      <c r="AZ2" s="8" t="s">
        <v>6</v>
      </c>
      <c r="BA2" s="8" t="s">
        <v>9</v>
      </c>
      <c r="BB2" s="8" t="s">
        <v>2</v>
      </c>
      <c r="BC2" s="8" t="s">
        <v>3</v>
      </c>
      <c r="BD2" s="8" t="s">
        <v>4</v>
      </c>
      <c r="BE2" s="8" t="s">
        <v>7</v>
      </c>
      <c r="BF2" s="8" t="s">
        <v>5</v>
      </c>
      <c r="BG2" s="8" t="s">
        <v>8</v>
      </c>
      <c r="BH2" s="8" t="s">
        <v>6</v>
      </c>
      <c r="BI2" s="8" t="s">
        <v>9</v>
      </c>
    </row>
    <row r="3" spans="1:65" ht="14.5" customHeight="1">
      <c r="A3">
        <v>1</v>
      </c>
      <c r="B3" s="48" t="s">
        <v>155</v>
      </c>
      <c r="C3" s="50" t="s">
        <v>153</v>
      </c>
      <c r="D3" s="35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"/>
      <c r="W3" s="58"/>
      <c r="X3" s="5"/>
      <c r="Y3" s="55"/>
      <c r="Z3" s="53"/>
      <c r="AA3" s="53"/>
      <c r="AB3" s="53"/>
      <c r="AC3" s="53"/>
      <c r="AD3" s="53"/>
      <c r="AE3" s="53"/>
      <c r="AF3" s="53"/>
      <c r="AG3" s="53"/>
      <c r="AH3" s="53"/>
      <c r="AI3" s="43"/>
      <c r="AJ3" s="43"/>
      <c r="AK3" s="43"/>
      <c r="AL3" s="9" t="str">
        <f t="shared" ref="AL3:AL27" si="0">IF($BK$3=E3,1,IF($BK$3=F3,2,IF($BK$3=G3,3,IF($BK$3=H3,4,IF($BK$3=I3,5,IF($BK$3=J3,6,IF($BK$3=K3,7,IF($BK$3=L3,8,""))))))))</f>
        <v/>
      </c>
      <c r="AM3" s="9" t="str">
        <f t="shared" ref="AM3:AM27" si="1">IF($BK$4=E3,1,IF($BK$4=F3,2,IF($BK$4=G3,3,IF($BK$4=H3,4,IF($BK$4=I3,5,IF($BK$4=J3,6,IF($BK$4=K3,7,IF($BK$4=L3,8,""))))))))</f>
        <v/>
      </c>
      <c r="AN3" s="9" t="str">
        <f t="shared" ref="AN3:AN27" si="2">IF($BK$5=E3,1, IF($BK$5=F3,2, IF($BK$5=G3,3,IF($BK$5=H3,4, IF($BK$5=I3,5, IF($BK$5=J3,6, IF($BK$5=K3,7, IF($BK$5=L3,8,""))))))))</f>
        <v/>
      </c>
      <c r="AO3" s="9" t="str">
        <f t="shared" ref="AO3:AO27" si="3">IF($BK$9=E3,1, IF($BK$9=F3,2, IF($BK$9=G3,3,IF($BK$9=H3,4, IF($BK$9=I3,5, IF($BK$9=J3,6, IF($BK$9=K3,7,IF($BK$9=L3,8,""))))))))</f>
        <v/>
      </c>
      <c r="AP3" s="9" t="str">
        <f t="shared" ref="AP3:AP27" si="4">IF($BK$6=E3,1,IF($BK$6=F3,2,IF($BK$6=G3,3,IF($BK$6=H3,4,IF($BK$6=I3,5,IF($BK$6=J3,6,IF($BK$6=K3,7,IF($BK$6=L3,8,""))))))))</f>
        <v/>
      </c>
      <c r="AQ3" s="9" t="str">
        <f t="shared" ref="AQ3:AQ27" si="5">IF($BK$7=E3,1,IF($BK$7=F3,2,IF($BK$7=G3,3,IF($BK$7=H3,4,IF($BK$7=I3,5,IF($BK$7=J3,6,IF($BK$7=K3,7,IF($BK$7=L3,8,""))))))))</f>
        <v/>
      </c>
      <c r="AR3" s="9" t="str">
        <f t="shared" ref="AR3:AR27" si="6">IF($BK$8=E3,1, IF($BK$8=F3,2, IF($BK$8=G3,3,IF($BK$8=H3,4, IF($BK$8=I3,5, IF($BK$8=J3,6, IF($BK$8=K3,7,IF($BK$8=L3,8,""))))))))</f>
        <v/>
      </c>
      <c r="AS3" s="9" t="str">
        <f t="shared" ref="AS3:AS27" si="7">IF($BK$10=E3,1, IF($BK$10=F3,2, IF($BK$10=G3,3,IF($BK$10=H3,4, IF($BK$10=I3,5, IF($BK$10=J3,6, IF($BK$10=K3,7, IF($BK$10=L3,8,""))))))))</f>
        <v/>
      </c>
      <c r="AT3" s="9" t="str">
        <f>IF(AM3="","",AM3)</f>
        <v/>
      </c>
      <c r="AU3" s="9" t="str">
        <f>IF(AN3="","",AN3)</f>
        <v/>
      </c>
      <c r="AV3" s="9" t="str">
        <f>IF(AP3="","",AP3)</f>
        <v/>
      </c>
      <c r="AW3" s="9" t="str">
        <f>IF(AQ3="","",AQ3)</f>
        <v/>
      </c>
      <c r="AX3" s="9" t="str">
        <f>IF(AL3="","",AL3)</f>
        <v/>
      </c>
      <c r="AY3" s="9" t="str">
        <f>IF(AO3="","",AO3)</f>
        <v/>
      </c>
      <c r="AZ3" s="9" t="str">
        <f>IF(AR3="","",AR3)</f>
        <v/>
      </c>
      <c r="BA3" t="str">
        <f>IF(AS3="","",AS3)</f>
        <v/>
      </c>
      <c r="BB3" t="str">
        <f>IF(AT3="","",ABS(AT3-1))</f>
        <v/>
      </c>
      <c r="BC3" t="str">
        <f>IF(AU3="","",ABS(AU3-2))</f>
        <v/>
      </c>
      <c r="BD3" t="str">
        <f>IF(AV3="","",ABS(AV3-3))</f>
        <v/>
      </c>
      <c r="BE3" t="str">
        <f>IF(AW3="","",ABS(AW3-4))</f>
        <v/>
      </c>
      <c r="BF3" t="str">
        <f>IF(AX3="","",ABS(AX3-5))</f>
        <v/>
      </c>
      <c r="BG3" t="str">
        <f>IF(AY3="","",ABS(AY3-6))</f>
        <v/>
      </c>
      <c r="BH3" t="str">
        <f>IF(AZ3="","",ABS(AZ3-7))</f>
        <v/>
      </c>
      <c r="BI3" t="str">
        <f t="shared" ref="BI3:BI27" si="8">IF(L3="","",ABS(BA3-8))</f>
        <v/>
      </c>
      <c r="BJ3" s="6">
        <v>1</v>
      </c>
      <c r="BK3" t="s">
        <v>5</v>
      </c>
      <c r="BL3" s="7">
        <v>1</v>
      </c>
      <c r="BM3">
        <v>5</v>
      </c>
    </row>
    <row r="4" spans="1:65" ht="14.5" customHeight="1">
      <c r="A4">
        <v>2</v>
      </c>
      <c r="B4" s="49" t="s">
        <v>156</v>
      </c>
      <c r="C4" s="50" t="s">
        <v>153</v>
      </c>
      <c r="D4" s="35"/>
      <c r="E4" s="5" t="s">
        <v>7</v>
      </c>
      <c r="F4" s="5" t="s">
        <v>5</v>
      </c>
      <c r="G4" s="53" t="s">
        <v>2</v>
      </c>
      <c r="H4" s="53" t="s">
        <v>9</v>
      </c>
      <c r="I4" s="53" t="s">
        <v>4</v>
      </c>
      <c r="J4" s="53" t="s">
        <v>3</v>
      </c>
      <c r="K4" s="53" t="s">
        <v>6</v>
      </c>
      <c r="L4" s="5" t="s">
        <v>8</v>
      </c>
      <c r="M4" s="53" t="s">
        <v>3</v>
      </c>
      <c r="N4" s="38" t="s">
        <v>5</v>
      </c>
      <c r="O4" s="53" t="s">
        <v>4</v>
      </c>
      <c r="P4" s="53" t="s">
        <v>9</v>
      </c>
      <c r="Q4" s="53" t="s">
        <v>7</v>
      </c>
      <c r="R4" s="53" t="s">
        <v>6</v>
      </c>
      <c r="S4" s="53" t="s">
        <v>3</v>
      </c>
      <c r="T4" s="53" t="s">
        <v>8</v>
      </c>
      <c r="U4" s="53" t="s">
        <v>6</v>
      </c>
      <c r="V4" s="5" t="s">
        <v>2</v>
      </c>
      <c r="X4" s="5" t="s">
        <v>6</v>
      </c>
      <c r="Y4" s="55" t="s">
        <v>2</v>
      </c>
      <c r="Z4" s="53" t="s">
        <v>5</v>
      </c>
      <c r="AA4" s="53" t="s">
        <v>9</v>
      </c>
      <c r="AB4" s="53" t="s">
        <v>8</v>
      </c>
      <c r="AC4" s="53" t="s">
        <v>7</v>
      </c>
      <c r="AD4" s="53" t="s">
        <v>2</v>
      </c>
      <c r="AE4" s="53" t="s">
        <v>4</v>
      </c>
      <c r="AF4" s="53" t="s">
        <v>2</v>
      </c>
      <c r="AG4" s="53" t="s">
        <v>9</v>
      </c>
      <c r="AH4" s="53" t="s">
        <v>9</v>
      </c>
      <c r="AI4" s="43"/>
      <c r="AJ4" s="43"/>
      <c r="AK4" s="43"/>
      <c r="AL4" s="9">
        <f t="shared" si="0"/>
        <v>2</v>
      </c>
      <c r="AM4" s="9">
        <f t="shared" si="1"/>
        <v>3</v>
      </c>
      <c r="AN4" s="9">
        <f t="shared" si="2"/>
        <v>6</v>
      </c>
      <c r="AO4" s="9">
        <f t="shared" si="3"/>
        <v>8</v>
      </c>
      <c r="AP4" s="9">
        <f t="shared" si="4"/>
        <v>5</v>
      </c>
      <c r="AQ4" s="9">
        <f t="shared" si="5"/>
        <v>1</v>
      </c>
      <c r="AR4" s="9">
        <f t="shared" si="6"/>
        <v>7</v>
      </c>
      <c r="AS4" s="9">
        <f t="shared" si="7"/>
        <v>4</v>
      </c>
      <c r="AT4" s="9">
        <f t="shared" ref="AT4:AT27" si="9">IF(AM4="","",AM4)</f>
        <v>3</v>
      </c>
      <c r="AU4" s="9">
        <f t="shared" ref="AU4:AU27" si="10">IF(AN4="","",AN4)</f>
        <v>6</v>
      </c>
      <c r="AV4" s="9">
        <f t="shared" ref="AV4:AV27" si="11">IF(AP4="","",AP4)</f>
        <v>5</v>
      </c>
      <c r="AW4" s="9">
        <f t="shared" ref="AW4:AW27" si="12">IF(AQ4="","",AQ4)</f>
        <v>1</v>
      </c>
      <c r="AX4" s="9">
        <f t="shared" ref="AX4:AX27" si="13">IF(AL4="","",AL4)</f>
        <v>2</v>
      </c>
      <c r="AY4" s="9">
        <f t="shared" ref="AY4:AY27" si="14">IF(AO4="","",AO4)</f>
        <v>8</v>
      </c>
      <c r="AZ4" s="9">
        <f t="shared" ref="AZ4:AZ27" si="15">IF(AR4="","",AR4)</f>
        <v>7</v>
      </c>
      <c r="BA4">
        <f t="shared" ref="BA4:BA27" si="16">IF(AS4="","",AS4)</f>
        <v>4</v>
      </c>
      <c r="BB4">
        <f t="shared" ref="BB4:BB27" si="17">IF(AT4="","",ABS(AT4-1))</f>
        <v>2</v>
      </c>
      <c r="BC4">
        <f t="shared" ref="BC4:BC27" si="18">IF(AU4="","",ABS(AU4-2))</f>
        <v>4</v>
      </c>
      <c r="BD4">
        <f t="shared" ref="BD4:BD27" si="19">IF(AV4="","",ABS(AV4-3))</f>
        <v>2</v>
      </c>
      <c r="BE4">
        <f t="shared" ref="BE4:BE27" si="20">IF(AW4="","",ABS(AW4-4))</f>
        <v>3</v>
      </c>
      <c r="BF4">
        <f t="shared" ref="BF4:BF27" si="21">IF(AX4="","",ABS(AX4-5))</f>
        <v>3</v>
      </c>
      <c r="BG4">
        <f t="shared" ref="BG4:BG27" si="22">IF(AY4="","",ABS(AY4-6))</f>
        <v>2</v>
      </c>
      <c r="BH4">
        <f t="shared" ref="BH4:BH5" si="23">IF(AZ4="","",ABS(AZ4-7))</f>
        <v>0</v>
      </c>
      <c r="BI4">
        <f t="shared" si="8"/>
        <v>4</v>
      </c>
      <c r="BJ4" s="6">
        <v>3</v>
      </c>
      <c r="BK4" t="s">
        <v>2</v>
      </c>
      <c r="BL4" s="7">
        <v>2</v>
      </c>
      <c r="BM4">
        <v>1</v>
      </c>
    </row>
    <row r="5" spans="1:65" ht="14.5" customHeight="1">
      <c r="A5">
        <v>3</v>
      </c>
      <c r="B5" s="49" t="s">
        <v>157</v>
      </c>
      <c r="C5" s="50" t="s">
        <v>153</v>
      </c>
      <c r="D5" s="35"/>
      <c r="E5" s="5" t="s">
        <v>7</v>
      </c>
      <c r="F5" s="5" t="s">
        <v>5</v>
      </c>
      <c r="G5" s="53" t="s">
        <v>4</v>
      </c>
      <c r="H5" s="53" t="s">
        <v>9</v>
      </c>
      <c r="I5" s="53" t="s">
        <v>6</v>
      </c>
      <c r="J5" s="53" t="s">
        <v>3</v>
      </c>
      <c r="K5" s="53" t="s">
        <v>2</v>
      </c>
      <c r="L5" s="5" t="s">
        <v>8</v>
      </c>
      <c r="M5" s="53" t="s">
        <v>3</v>
      </c>
      <c r="N5" s="53" t="s">
        <v>5</v>
      </c>
      <c r="O5" s="53" t="s">
        <v>4</v>
      </c>
      <c r="P5" s="53" t="s">
        <v>9</v>
      </c>
      <c r="Q5" s="53" t="s">
        <v>7</v>
      </c>
      <c r="R5" s="53" t="s">
        <v>6</v>
      </c>
      <c r="S5" s="53" t="s">
        <v>3</v>
      </c>
      <c r="T5" s="53" t="s">
        <v>8</v>
      </c>
      <c r="U5" s="53" t="s">
        <v>6</v>
      </c>
      <c r="V5" s="5" t="s">
        <v>2</v>
      </c>
      <c r="X5" s="5" t="s">
        <v>6</v>
      </c>
      <c r="Y5" s="55" t="s">
        <v>3</v>
      </c>
      <c r="Z5" s="53" t="s">
        <v>5</v>
      </c>
      <c r="AA5" s="53" t="s">
        <v>9</v>
      </c>
      <c r="AB5" s="53" t="s">
        <v>9</v>
      </c>
      <c r="AC5" s="53" t="s">
        <v>7</v>
      </c>
      <c r="AD5" s="53" t="s">
        <v>2</v>
      </c>
      <c r="AE5" s="53" t="s">
        <v>7</v>
      </c>
      <c r="AF5" s="53" t="s">
        <v>3</v>
      </c>
      <c r="AG5" s="53" t="s">
        <v>9</v>
      </c>
      <c r="AH5" s="53" t="s">
        <v>4</v>
      </c>
      <c r="AI5" s="43"/>
      <c r="AJ5" s="43"/>
      <c r="AK5" s="43"/>
      <c r="AL5" s="9">
        <f t="shared" si="0"/>
        <v>2</v>
      </c>
      <c r="AM5" s="9">
        <f t="shared" si="1"/>
        <v>7</v>
      </c>
      <c r="AN5" s="9">
        <f t="shared" si="2"/>
        <v>6</v>
      </c>
      <c r="AO5" s="9">
        <f t="shared" si="3"/>
        <v>8</v>
      </c>
      <c r="AP5" s="9">
        <f t="shared" si="4"/>
        <v>3</v>
      </c>
      <c r="AQ5" s="9">
        <f t="shared" si="5"/>
        <v>1</v>
      </c>
      <c r="AR5" s="9">
        <f t="shared" si="6"/>
        <v>5</v>
      </c>
      <c r="AS5" s="9">
        <f t="shared" si="7"/>
        <v>4</v>
      </c>
      <c r="AT5" s="9">
        <f t="shared" si="9"/>
        <v>7</v>
      </c>
      <c r="AU5" s="9">
        <f t="shared" si="10"/>
        <v>6</v>
      </c>
      <c r="AV5" s="9">
        <f t="shared" si="11"/>
        <v>3</v>
      </c>
      <c r="AW5" s="9">
        <f t="shared" si="12"/>
        <v>1</v>
      </c>
      <c r="AX5" s="9">
        <f t="shared" si="13"/>
        <v>2</v>
      </c>
      <c r="AY5" s="9">
        <f t="shared" si="14"/>
        <v>8</v>
      </c>
      <c r="AZ5" s="9">
        <f t="shared" si="15"/>
        <v>5</v>
      </c>
      <c r="BA5">
        <f t="shared" si="16"/>
        <v>4</v>
      </c>
      <c r="BB5">
        <f t="shared" si="17"/>
        <v>6</v>
      </c>
      <c r="BC5">
        <f t="shared" si="18"/>
        <v>4</v>
      </c>
      <c r="BD5">
        <f t="shared" si="19"/>
        <v>0</v>
      </c>
      <c r="BE5">
        <f t="shared" si="20"/>
        <v>3</v>
      </c>
      <c r="BF5">
        <f t="shared" si="21"/>
        <v>3</v>
      </c>
      <c r="BG5">
        <f t="shared" si="22"/>
        <v>2</v>
      </c>
      <c r="BH5">
        <f t="shared" si="23"/>
        <v>2</v>
      </c>
      <c r="BI5">
        <f t="shared" si="8"/>
        <v>4</v>
      </c>
      <c r="BJ5" s="6">
        <v>4</v>
      </c>
      <c r="BK5" t="s">
        <v>3</v>
      </c>
      <c r="BL5" s="7">
        <v>3</v>
      </c>
      <c r="BM5">
        <v>2</v>
      </c>
    </row>
    <row r="6" spans="1:65" ht="14.5" customHeight="1">
      <c r="A6">
        <v>4</v>
      </c>
      <c r="B6" s="49" t="s">
        <v>158</v>
      </c>
      <c r="C6" s="50" t="s">
        <v>153</v>
      </c>
      <c r="D6" s="35"/>
      <c r="E6" s="5" t="s">
        <v>2</v>
      </c>
      <c r="F6" s="5" t="s">
        <v>9</v>
      </c>
      <c r="G6" s="53" t="s">
        <v>3</v>
      </c>
      <c r="H6" s="53" t="s">
        <v>5</v>
      </c>
      <c r="I6" s="53" t="s">
        <v>4</v>
      </c>
      <c r="J6" s="53" t="s">
        <v>6</v>
      </c>
      <c r="K6" s="53" t="s">
        <v>8</v>
      </c>
      <c r="L6" s="5" t="s">
        <v>7</v>
      </c>
      <c r="M6" s="53" t="s">
        <v>3</v>
      </c>
      <c r="N6" s="53" t="s">
        <v>5</v>
      </c>
      <c r="O6" s="53" t="s">
        <v>6</v>
      </c>
      <c r="P6" s="53" t="s">
        <v>9</v>
      </c>
      <c r="Q6" s="53" t="s">
        <v>3</v>
      </c>
      <c r="R6" s="53" t="s">
        <v>8</v>
      </c>
      <c r="S6" s="53" t="s">
        <v>3</v>
      </c>
      <c r="T6" s="53" t="s">
        <v>2</v>
      </c>
      <c r="U6" s="53" t="s">
        <v>7</v>
      </c>
      <c r="V6" s="5" t="s">
        <v>3</v>
      </c>
      <c r="X6" s="5" t="s">
        <v>9</v>
      </c>
      <c r="Y6" s="55" t="s">
        <v>9</v>
      </c>
      <c r="Z6" s="53" t="s">
        <v>9</v>
      </c>
      <c r="AA6" s="53" t="s">
        <v>9</v>
      </c>
      <c r="AB6" s="53" t="s">
        <v>9</v>
      </c>
      <c r="AC6" s="53" t="s">
        <v>9</v>
      </c>
      <c r="AD6" s="53" t="s">
        <v>9</v>
      </c>
      <c r="AE6" s="53" t="s">
        <v>3</v>
      </c>
      <c r="AF6" s="53" t="s">
        <v>3</v>
      </c>
      <c r="AG6" s="53" t="s">
        <v>9</v>
      </c>
      <c r="AH6" s="53" t="s">
        <v>3</v>
      </c>
      <c r="AI6" s="43"/>
      <c r="AJ6" s="43"/>
      <c r="AK6" s="43"/>
      <c r="AL6" s="9">
        <f t="shared" si="0"/>
        <v>4</v>
      </c>
      <c r="AM6" s="9">
        <f t="shared" si="1"/>
        <v>1</v>
      </c>
      <c r="AN6" s="9">
        <f t="shared" si="2"/>
        <v>3</v>
      </c>
      <c r="AO6" s="9">
        <f t="shared" si="3"/>
        <v>7</v>
      </c>
      <c r="AP6" s="9">
        <f t="shared" si="4"/>
        <v>5</v>
      </c>
      <c r="AQ6" s="9">
        <f t="shared" si="5"/>
        <v>8</v>
      </c>
      <c r="AR6" s="9">
        <f t="shared" si="6"/>
        <v>6</v>
      </c>
      <c r="AS6" s="9">
        <f t="shared" si="7"/>
        <v>2</v>
      </c>
      <c r="AT6" s="9">
        <f t="shared" si="9"/>
        <v>1</v>
      </c>
      <c r="AU6" s="9">
        <f t="shared" si="10"/>
        <v>3</v>
      </c>
      <c r="AV6" s="9">
        <f t="shared" si="11"/>
        <v>5</v>
      </c>
      <c r="AW6" s="9">
        <f t="shared" si="12"/>
        <v>8</v>
      </c>
      <c r="AX6" s="9">
        <f t="shared" si="13"/>
        <v>4</v>
      </c>
      <c r="AY6" s="9">
        <f t="shared" si="14"/>
        <v>7</v>
      </c>
      <c r="AZ6" s="9">
        <f t="shared" si="15"/>
        <v>6</v>
      </c>
      <c r="BA6">
        <f t="shared" si="16"/>
        <v>2</v>
      </c>
      <c r="BB6">
        <f t="shared" si="17"/>
        <v>0</v>
      </c>
      <c r="BC6">
        <f t="shared" si="18"/>
        <v>1</v>
      </c>
      <c r="BD6">
        <f t="shared" si="19"/>
        <v>2</v>
      </c>
      <c r="BE6">
        <f t="shared" si="20"/>
        <v>4</v>
      </c>
      <c r="BF6">
        <f t="shared" si="21"/>
        <v>1</v>
      </c>
      <c r="BG6">
        <f t="shared" si="22"/>
        <v>1</v>
      </c>
      <c r="BH6">
        <f t="shared" ref="BH6:BH27" si="24">IF(AZ6="","",ABS(AZ6-7))</f>
        <v>1</v>
      </c>
      <c r="BI6">
        <f t="shared" si="8"/>
        <v>6</v>
      </c>
      <c r="BJ6" s="6">
        <v>2</v>
      </c>
      <c r="BK6" t="s">
        <v>4</v>
      </c>
      <c r="BL6" s="7">
        <v>4</v>
      </c>
      <c r="BM6">
        <v>3</v>
      </c>
    </row>
    <row r="7" spans="1:65" ht="14.5" customHeight="1">
      <c r="A7">
        <v>5</v>
      </c>
      <c r="B7" s="49" t="s">
        <v>159</v>
      </c>
      <c r="C7" s="50" t="s">
        <v>153</v>
      </c>
      <c r="D7" s="35"/>
      <c r="E7" s="5" t="s">
        <v>2</v>
      </c>
      <c r="F7" s="5" t="s">
        <v>9</v>
      </c>
      <c r="G7" s="53" t="s">
        <v>4</v>
      </c>
      <c r="H7" s="53" t="s">
        <v>3</v>
      </c>
      <c r="I7" s="53" t="s">
        <v>6</v>
      </c>
      <c r="J7" s="53" t="s">
        <v>8</v>
      </c>
      <c r="K7" s="53" t="s">
        <v>7</v>
      </c>
      <c r="L7" s="5" t="s">
        <v>5</v>
      </c>
      <c r="M7" s="53" t="s">
        <v>2</v>
      </c>
      <c r="N7" s="53" t="s">
        <v>5</v>
      </c>
      <c r="O7" s="53" t="s">
        <v>6</v>
      </c>
      <c r="P7" s="53" t="s">
        <v>9</v>
      </c>
      <c r="Q7" s="53" t="s">
        <v>2</v>
      </c>
      <c r="R7" s="53" t="s">
        <v>9</v>
      </c>
      <c r="S7" s="53" t="s">
        <v>2</v>
      </c>
      <c r="T7" s="53" t="s">
        <v>6</v>
      </c>
      <c r="U7" s="53" t="s">
        <v>7</v>
      </c>
      <c r="V7" s="5" t="s">
        <v>3</v>
      </c>
      <c r="X7" s="5" t="s">
        <v>7</v>
      </c>
      <c r="Y7" s="55" t="s">
        <v>3</v>
      </c>
      <c r="Z7" s="53" t="s">
        <v>5</v>
      </c>
      <c r="AA7" s="53" t="s">
        <v>2</v>
      </c>
      <c r="AB7" s="53" t="s">
        <v>4</v>
      </c>
      <c r="AC7" s="53" t="s">
        <v>6</v>
      </c>
      <c r="AD7" s="53" t="s">
        <v>3</v>
      </c>
      <c r="AE7" s="53" t="s">
        <v>3</v>
      </c>
      <c r="AF7" s="53" t="s">
        <v>3</v>
      </c>
      <c r="AG7" s="53" t="s">
        <v>7</v>
      </c>
      <c r="AH7" s="53"/>
      <c r="AI7" s="43"/>
      <c r="AJ7" s="43"/>
      <c r="AK7" s="43"/>
      <c r="AL7" s="9">
        <f t="shared" si="0"/>
        <v>8</v>
      </c>
      <c r="AM7" s="9">
        <f t="shared" si="1"/>
        <v>1</v>
      </c>
      <c r="AN7" s="9">
        <f t="shared" si="2"/>
        <v>4</v>
      </c>
      <c r="AO7" s="9">
        <f t="shared" si="3"/>
        <v>6</v>
      </c>
      <c r="AP7" s="9">
        <f t="shared" si="4"/>
        <v>3</v>
      </c>
      <c r="AQ7" s="9">
        <f t="shared" si="5"/>
        <v>7</v>
      </c>
      <c r="AR7" s="9">
        <f t="shared" si="6"/>
        <v>5</v>
      </c>
      <c r="AS7" s="9">
        <f t="shared" si="7"/>
        <v>2</v>
      </c>
      <c r="AT7" s="9">
        <f t="shared" si="9"/>
        <v>1</v>
      </c>
      <c r="AU7" s="9">
        <f t="shared" si="10"/>
        <v>4</v>
      </c>
      <c r="AV7" s="9">
        <f t="shared" si="11"/>
        <v>3</v>
      </c>
      <c r="AW7" s="9">
        <f t="shared" si="12"/>
        <v>7</v>
      </c>
      <c r="AX7" s="9">
        <f t="shared" si="13"/>
        <v>8</v>
      </c>
      <c r="AY7" s="9">
        <f t="shared" si="14"/>
        <v>6</v>
      </c>
      <c r="AZ7" s="9">
        <f t="shared" si="15"/>
        <v>5</v>
      </c>
      <c r="BA7">
        <f t="shared" si="16"/>
        <v>2</v>
      </c>
      <c r="BB7">
        <f t="shared" si="17"/>
        <v>0</v>
      </c>
      <c r="BC7">
        <f t="shared" si="18"/>
        <v>2</v>
      </c>
      <c r="BD7">
        <f t="shared" si="19"/>
        <v>0</v>
      </c>
      <c r="BE7">
        <f t="shared" si="20"/>
        <v>3</v>
      </c>
      <c r="BF7">
        <f t="shared" si="21"/>
        <v>3</v>
      </c>
      <c r="BG7">
        <f t="shared" si="22"/>
        <v>0</v>
      </c>
      <c r="BH7">
        <f t="shared" si="24"/>
        <v>2</v>
      </c>
      <c r="BI7">
        <f t="shared" si="8"/>
        <v>6</v>
      </c>
      <c r="BJ7" s="6">
        <v>5</v>
      </c>
      <c r="BK7" t="s">
        <v>7</v>
      </c>
      <c r="BL7" s="7">
        <v>5</v>
      </c>
      <c r="BM7">
        <v>4</v>
      </c>
    </row>
    <row r="8" spans="1:65" ht="14.5" customHeight="1">
      <c r="A8">
        <v>6</v>
      </c>
      <c r="B8" s="48" t="s">
        <v>160</v>
      </c>
      <c r="C8" s="50" t="s">
        <v>153</v>
      </c>
      <c r="D8" s="35"/>
      <c r="E8" s="5"/>
      <c r="F8" s="5"/>
      <c r="G8" s="53"/>
      <c r="H8" s="53"/>
      <c r="I8" s="53"/>
      <c r="J8" s="53"/>
      <c r="K8" s="53"/>
      <c r="L8" s="5"/>
      <c r="M8" s="53"/>
      <c r="N8" s="53"/>
      <c r="O8" s="53"/>
      <c r="P8" s="53"/>
      <c r="Q8" s="53"/>
      <c r="R8" s="53"/>
      <c r="S8" s="53"/>
      <c r="T8" s="53"/>
      <c r="U8" s="53"/>
      <c r="V8" s="5"/>
      <c r="X8" s="5"/>
      <c r="Y8" s="55"/>
      <c r="Z8" s="53"/>
      <c r="AA8" s="53"/>
      <c r="AB8" s="53"/>
      <c r="AC8" s="53"/>
      <c r="AD8" s="53"/>
      <c r="AE8" s="53"/>
      <c r="AF8" s="53"/>
      <c r="AG8" s="53"/>
      <c r="AH8" s="53"/>
      <c r="AI8" s="43"/>
      <c r="AJ8" s="43"/>
      <c r="AK8" s="43"/>
      <c r="AL8" s="9" t="str">
        <f t="shared" si="0"/>
        <v/>
      </c>
      <c r="AM8" s="9" t="str">
        <f t="shared" si="1"/>
        <v/>
      </c>
      <c r="AN8" s="9" t="str">
        <f t="shared" si="2"/>
        <v/>
      </c>
      <c r="AO8" s="9" t="str">
        <f t="shared" si="3"/>
        <v/>
      </c>
      <c r="AP8" s="9" t="str">
        <f t="shared" si="4"/>
        <v/>
      </c>
      <c r="AQ8" s="9" t="str">
        <f t="shared" si="5"/>
        <v/>
      </c>
      <c r="AR8" s="9" t="str">
        <f t="shared" si="6"/>
        <v/>
      </c>
      <c r="AS8" s="9" t="str">
        <f t="shared" si="7"/>
        <v/>
      </c>
      <c r="AT8" s="9" t="str">
        <f t="shared" si="9"/>
        <v/>
      </c>
      <c r="AU8" s="9" t="str">
        <f t="shared" si="10"/>
        <v/>
      </c>
      <c r="AV8" s="9" t="str">
        <f t="shared" si="11"/>
        <v/>
      </c>
      <c r="AW8" s="9" t="str">
        <f t="shared" si="12"/>
        <v/>
      </c>
      <c r="AX8" s="9" t="str">
        <f t="shared" si="13"/>
        <v/>
      </c>
      <c r="AY8" s="9" t="str">
        <f t="shared" si="14"/>
        <v/>
      </c>
      <c r="AZ8" s="9" t="str">
        <f t="shared" si="15"/>
        <v/>
      </c>
      <c r="BA8" t="str">
        <f t="shared" si="16"/>
        <v/>
      </c>
      <c r="BB8" t="str">
        <f t="shared" si="17"/>
        <v/>
      </c>
      <c r="BC8" t="str">
        <f t="shared" si="18"/>
        <v/>
      </c>
      <c r="BD8" t="str">
        <f t="shared" si="19"/>
        <v/>
      </c>
      <c r="BE8" t="str">
        <f t="shared" si="20"/>
        <v/>
      </c>
      <c r="BF8" t="str">
        <f t="shared" si="21"/>
        <v/>
      </c>
      <c r="BG8" t="str">
        <f t="shared" si="22"/>
        <v/>
      </c>
      <c r="BH8" t="str">
        <f t="shared" si="24"/>
        <v/>
      </c>
      <c r="BI8" t="str">
        <f t="shared" si="8"/>
        <v/>
      </c>
      <c r="BJ8" s="6">
        <v>0</v>
      </c>
      <c r="BK8" t="s">
        <v>6</v>
      </c>
      <c r="BL8" s="7">
        <v>6</v>
      </c>
      <c r="BM8">
        <v>7</v>
      </c>
    </row>
    <row r="9" spans="1:65" ht="14.5" customHeight="1">
      <c r="A9">
        <v>7</v>
      </c>
      <c r="B9" s="49" t="s">
        <v>161</v>
      </c>
      <c r="C9" s="50" t="s">
        <v>153</v>
      </c>
      <c r="D9" s="35"/>
      <c r="E9" s="5" t="s">
        <v>7</v>
      </c>
      <c r="F9" s="5" t="s">
        <v>5</v>
      </c>
      <c r="G9" s="53" t="s">
        <v>3</v>
      </c>
      <c r="H9" s="53" t="s">
        <v>2</v>
      </c>
      <c r="I9" s="53" t="s">
        <v>9</v>
      </c>
      <c r="J9" s="53" t="s">
        <v>4</v>
      </c>
      <c r="K9" s="53" t="s">
        <v>6</v>
      </c>
      <c r="L9" s="5" t="s">
        <v>8</v>
      </c>
      <c r="M9" s="53" t="s">
        <v>7</v>
      </c>
      <c r="N9" s="53" t="s">
        <v>5</v>
      </c>
      <c r="O9" s="53" t="s">
        <v>4</v>
      </c>
      <c r="P9" s="53" t="s">
        <v>8</v>
      </c>
      <c r="Q9" s="53" t="s">
        <v>3</v>
      </c>
      <c r="R9" s="53" t="s">
        <v>9</v>
      </c>
      <c r="S9" s="53" t="s">
        <v>5</v>
      </c>
      <c r="T9" s="53" t="s">
        <v>2</v>
      </c>
      <c r="U9" s="53" t="s">
        <v>8</v>
      </c>
      <c r="V9" s="5" t="s">
        <v>7</v>
      </c>
      <c r="X9" s="5" t="s">
        <v>7</v>
      </c>
      <c r="Y9" s="55" t="s">
        <v>4</v>
      </c>
      <c r="Z9" s="53" t="s">
        <v>5</v>
      </c>
      <c r="AA9" s="53" t="s">
        <v>5</v>
      </c>
      <c r="AB9" s="53" t="s">
        <v>5</v>
      </c>
      <c r="AC9" s="53" t="s">
        <v>3</v>
      </c>
      <c r="AD9" s="53" t="s">
        <v>3</v>
      </c>
      <c r="AE9" s="53" t="s">
        <v>3</v>
      </c>
      <c r="AF9" s="53" t="s">
        <v>7</v>
      </c>
      <c r="AG9" s="53" t="s">
        <v>8</v>
      </c>
      <c r="AH9" s="53" t="s">
        <v>3</v>
      </c>
      <c r="AI9" s="43"/>
      <c r="AJ9" s="43"/>
      <c r="AK9" s="43"/>
      <c r="AL9" s="9">
        <f t="shared" si="0"/>
        <v>2</v>
      </c>
      <c r="AM9" s="9">
        <f t="shared" si="1"/>
        <v>4</v>
      </c>
      <c r="AN9" s="9">
        <f t="shared" si="2"/>
        <v>3</v>
      </c>
      <c r="AO9" s="9">
        <f t="shared" si="3"/>
        <v>8</v>
      </c>
      <c r="AP9" s="9">
        <f t="shared" si="4"/>
        <v>6</v>
      </c>
      <c r="AQ9" s="9">
        <f t="shared" si="5"/>
        <v>1</v>
      </c>
      <c r="AR9" s="9">
        <f t="shared" si="6"/>
        <v>7</v>
      </c>
      <c r="AS9" s="9">
        <f t="shared" si="7"/>
        <v>5</v>
      </c>
      <c r="AT9" s="9">
        <f t="shared" si="9"/>
        <v>4</v>
      </c>
      <c r="AU9" s="9">
        <f t="shared" si="10"/>
        <v>3</v>
      </c>
      <c r="AV9" s="9">
        <f t="shared" si="11"/>
        <v>6</v>
      </c>
      <c r="AW9" s="9">
        <f t="shared" si="12"/>
        <v>1</v>
      </c>
      <c r="AX9" s="9">
        <f t="shared" si="13"/>
        <v>2</v>
      </c>
      <c r="AY9" s="9">
        <f t="shared" si="14"/>
        <v>8</v>
      </c>
      <c r="AZ9" s="9">
        <f t="shared" si="15"/>
        <v>7</v>
      </c>
      <c r="BA9">
        <f t="shared" si="16"/>
        <v>5</v>
      </c>
      <c r="BB9">
        <f t="shared" si="17"/>
        <v>3</v>
      </c>
      <c r="BC9">
        <f t="shared" si="18"/>
        <v>1</v>
      </c>
      <c r="BD9">
        <f t="shared" si="19"/>
        <v>3</v>
      </c>
      <c r="BE9">
        <f t="shared" si="20"/>
        <v>3</v>
      </c>
      <c r="BF9">
        <f t="shared" si="21"/>
        <v>3</v>
      </c>
      <c r="BG9">
        <f t="shared" si="22"/>
        <v>2</v>
      </c>
      <c r="BH9">
        <f t="shared" si="24"/>
        <v>0</v>
      </c>
      <c r="BI9">
        <f t="shared" si="8"/>
        <v>3</v>
      </c>
      <c r="BJ9" s="6">
        <v>6</v>
      </c>
      <c r="BK9" t="s">
        <v>8</v>
      </c>
      <c r="BL9" s="7">
        <v>7</v>
      </c>
      <c r="BM9">
        <v>6</v>
      </c>
    </row>
    <row r="10" spans="1:65" ht="14.5" customHeight="1">
      <c r="A10">
        <v>8</v>
      </c>
      <c r="B10" s="49" t="s">
        <v>162</v>
      </c>
      <c r="C10" s="50" t="s">
        <v>153</v>
      </c>
      <c r="D10" s="35"/>
      <c r="E10" s="5" t="s">
        <v>5</v>
      </c>
      <c r="F10" s="5" t="s">
        <v>8</v>
      </c>
      <c r="G10" s="53" t="s">
        <v>3</v>
      </c>
      <c r="H10" s="53" t="s">
        <v>7</v>
      </c>
      <c r="I10" s="53" t="s">
        <v>9</v>
      </c>
      <c r="J10" s="53" t="s">
        <v>2</v>
      </c>
      <c r="K10" s="53" t="s">
        <v>6</v>
      </c>
      <c r="L10" s="5" t="s">
        <v>4</v>
      </c>
      <c r="M10" s="53" t="s">
        <v>5</v>
      </c>
      <c r="N10" s="53" t="s">
        <v>8</v>
      </c>
      <c r="O10" s="53" t="s">
        <v>6</v>
      </c>
      <c r="P10" s="53" t="s">
        <v>3</v>
      </c>
      <c r="Q10" s="53" t="s">
        <v>5</v>
      </c>
      <c r="R10" s="53" t="s">
        <v>4</v>
      </c>
      <c r="S10" s="53" t="s">
        <v>2</v>
      </c>
      <c r="T10" s="53" t="s">
        <v>8</v>
      </c>
      <c r="U10" s="53" t="s">
        <v>7</v>
      </c>
      <c r="V10" s="5" t="s">
        <v>2</v>
      </c>
      <c r="X10" s="5" t="s">
        <v>5</v>
      </c>
      <c r="Y10" s="55" t="s">
        <v>3</v>
      </c>
      <c r="Z10" s="53" t="s">
        <v>2</v>
      </c>
      <c r="AA10" s="53" t="s">
        <v>5</v>
      </c>
      <c r="AB10" s="53" t="s">
        <v>9</v>
      </c>
      <c r="AC10" s="53" t="s">
        <v>5</v>
      </c>
      <c r="AD10" s="53" t="s">
        <v>5</v>
      </c>
      <c r="AE10" s="53" t="s">
        <v>3</v>
      </c>
      <c r="AF10" s="53" t="s">
        <v>2</v>
      </c>
      <c r="AG10" s="53" t="s">
        <v>5</v>
      </c>
      <c r="AH10" s="53" t="s">
        <v>5</v>
      </c>
      <c r="AI10" s="43"/>
      <c r="AJ10" s="43"/>
      <c r="AK10" s="43"/>
      <c r="AL10" s="9">
        <f t="shared" si="0"/>
        <v>1</v>
      </c>
      <c r="AM10" s="9">
        <f t="shared" si="1"/>
        <v>6</v>
      </c>
      <c r="AN10" s="9">
        <f t="shared" si="2"/>
        <v>3</v>
      </c>
      <c r="AO10" s="9">
        <f t="shared" si="3"/>
        <v>2</v>
      </c>
      <c r="AP10" s="9">
        <f t="shared" si="4"/>
        <v>8</v>
      </c>
      <c r="AQ10" s="9">
        <f t="shared" si="5"/>
        <v>4</v>
      </c>
      <c r="AR10" s="9">
        <f t="shared" si="6"/>
        <v>7</v>
      </c>
      <c r="AS10" s="9">
        <f t="shared" si="7"/>
        <v>5</v>
      </c>
      <c r="AT10" s="9">
        <f t="shared" si="9"/>
        <v>6</v>
      </c>
      <c r="AU10" s="9">
        <f t="shared" si="10"/>
        <v>3</v>
      </c>
      <c r="AV10" s="9">
        <f t="shared" si="11"/>
        <v>8</v>
      </c>
      <c r="AW10" s="9">
        <f t="shared" si="12"/>
        <v>4</v>
      </c>
      <c r="AX10" s="9">
        <f t="shared" si="13"/>
        <v>1</v>
      </c>
      <c r="AY10" s="9">
        <f t="shared" si="14"/>
        <v>2</v>
      </c>
      <c r="AZ10" s="9">
        <f t="shared" si="15"/>
        <v>7</v>
      </c>
      <c r="BA10">
        <f t="shared" si="16"/>
        <v>5</v>
      </c>
      <c r="BB10">
        <f t="shared" si="17"/>
        <v>5</v>
      </c>
      <c r="BC10">
        <f t="shared" si="18"/>
        <v>1</v>
      </c>
      <c r="BD10">
        <f t="shared" si="19"/>
        <v>5</v>
      </c>
      <c r="BE10">
        <f t="shared" si="20"/>
        <v>0</v>
      </c>
      <c r="BF10">
        <f t="shared" si="21"/>
        <v>4</v>
      </c>
      <c r="BG10">
        <f t="shared" si="22"/>
        <v>4</v>
      </c>
      <c r="BH10">
        <f t="shared" si="24"/>
        <v>0</v>
      </c>
      <c r="BI10">
        <f t="shared" si="8"/>
        <v>3</v>
      </c>
      <c r="BJ10" s="6">
        <v>7</v>
      </c>
      <c r="BK10" t="s">
        <v>9</v>
      </c>
      <c r="BL10" s="7">
        <v>8</v>
      </c>
      <c r="BM10">
        <v>8</v>
      </c>
    </row>
    <row r="11" spans="1:65" ht="20" customHeight="1">
      <c r="A11">
        <v>9</v>
      </c>
      <c r="B11" s="49" t="s">
        <v>163</v>
      </c>
      <c r="C11" s="50" t="s">
        <v>153</v>
      </c>
      <c r="D11" s="35"/>
      <c r="E11" s="5" t="s">
        <v>5</v>
      </c>
      <c r="F11" s="5" t="s">
        <v>4</v>
      </c>
      <c r="G11" s="53" t="s">
        <v>2</v>
      </c>
      <c r="H11" s="53" t="s">
        <v>3</v>
      </c>
      <c r="I11" s="53" t="s">
        <v>8</v>
      </c>
      <c r="J11" s="53" t="s">
        <v>6</v>
      </c>
      <c r="K11" s="53" t="s">
        <v>9</v>
      </c>
      <c r="L11" s="5" t="s">
        <v>7</v>
      </c>
      <c r="M11" s="53" t="s">
        <v>3</v>
      </c>
      <c r="N11" s="53" t="s">
        <v>5</v>
      </c>
      <c r="O11" s="53" t="s">
        <v>4</v>
      </c>
      <c r="P11" s="53" t="s">
        <v>9</v>
      </c>
      <c r="Q11" s="53" t="s">
        <v>3</v>
      </c>
      <c r="R11" s="53" t="s">
        <v>2</v>
      </c>
      <c r="S11" s="53" t="s">
        <v>4</v>
      </c>
      <c r="T11" s="53" t="s">
        <v>2</v>
      </c>
      <c r="U11" s="53" t="s">
        <v>9</v>
      </c>
      <c r="V11" s="5" t="s">
        <v>3</v>
      </c>
      <c r="X11" s="5" t="s">
        <v>4</v>
      </c>
      <c r="Y11" s="55" t="s">
        <v>3</v>
      </c>
      <c r="Z11" s="53" t="s">
        <v>4</v>
      </c>
      <c r="AA11" s="53" t="s">
        <v>4</v>
      </c>
      <c r="AB11" s="53" t="s">
        <v>4</v>
      </c>
      <c r="AC11" s="53" t="s">
        <v>3</v>
      </c>
      <c r="AD11" s="53" t="s">
        <v>3</v>
      </c>
      <c r="AE11" s="53" t="s">
        <v>4</v>
      </c>
      <c r="AF11" s="53" t="s">
        <v>3</v>
      </c>
      <c r="AG11" s="53" t="s">
        <v>4</v>
      </c>
      <c r="AH11" s="54"/>
      <c r="AI11" s="43"/>
      <c r="AJ11" s="43"/>
      <c r="AK11" s="43"/>
      <c r="AL11" s="9">
        <f t="shared" si="0"/>
        <v>1</v>
      </c>
      <c r="AM11" s="9">
        <f t="shared" si="1"/>
        <v>3</v>
      </c>
      <c r="AN11" s="9">
        <f t="shared" si="2"/>
        <v>4</v>
      </c>
      <c r="AO11" s="9">
        <f t="shared" si="3"/>
        <v>5</v>
      </c>
      <c r="AP11" s="9">
        <f t="shared" si="4"/>
        <v>2</v>
      </c>
      <c r="AQ11" s="9">
        <f t="shared" si="5"/>
        <v>8</v>
      </c>
      <c r="AR11" s="9">
        <f t="shared" si="6"/>
        <v>6</v>
      </c>
      <c r="AS11" s="9">
        <f t="shared" si="7"/>
        <v>7</v>
      </c>
      <c r="AT11" s="9">
        <f t="shared" si="9"/>
        <v>3</v>
      </c>
      <c r="AU11" s="9">
        <f t="shared" si="10"/>
        <v>4</v>
      </c>
      <c r="AV11" s="9">
        <f t="shared" si="11"/>
        <v>2</v>
      </c>
      <c r="AW11" s="9">
        <f t="shared" si="12"/>
        <v>8</v>
      </c>
      <c r="AX11" s="9">
        <f t="shared" si="13"/>
        <v>1</v>
      </c>
      <c r="AY11" s="9">
        <f t="shared" si="14"/>
        <v>5</v>
      </c>
      <c r="AZ11" s="9">
        <f t="shared" si="15"/>
        <v>6</v>
      </c>
      <c r="BA11">
        <f t="shared" si="16"/>
        <v>7</v>
      </c>
      <c r="BB11">
        <f t="shared" si="17"/>
        <v>2</v>
      </c>
      <c r="BC11">
        <f t="shared" si="18"/>
        <v>2</v>
      </c>
      <c r="BD11">
        <f t="shared" si="19"/>
        <v>1</v>
      </c>
      <c r="BE11">
        <f t="shared" si="20"/>
        <v>4</v>
      </c>
      <c r="BF11">
        <f t="shared" si="21"/>
        <v>4</v>
      </c>
      <c r="BG11">
        <f t="shared" si="22"/>
        <v>1</v>
      </c>
      <c r="BH11">
        <f t="shared" si="24"/>
        <v>1</v>
      </c>
      <c r="BI11">
        <f t="shared" si="8"/>
        <v>1</v>
      </c>
    </row>
    <row r="12" spans="1:65" ht="14.5" customHeight="1">
      <c r="A12">
        <v>10</v>
      </c>
      <c r="B12" s="49" t="s">
        <v>164</v>
      </c>
      <c r="C12" s="50" t="s">
        <v>153</v>
      </c>
      <c r="D12" s="35"/>
      <c r="E12" s="5" t="s">
        <v>5</v>
      </c>
      <c r="F12" s="5" t="s">
        <v>3</v>
      </c>
      <c r="G12" s="53" t="s">
        <v>7</v>
      </c>
      <c r="H12" s="53" t="s">
        <v>9</v>
      </c>
      <c r="I12" s="53" t="s">
        <v>4</v>
      </c>
      <c r="J12" s="53" t="s">
        <v>2</v>
      </c>
      <c r="K12" s="53" t="s">
        <v>8</v>
      </c>
      <c r="L12" s="5" t="s">
        <v>6</v>
      </c>
      <c r="M12" s="53" t="s">
        <v>3</v>
      </c>
      <c r="N12" s="53" t="s">
        <v>8</v>
      </c>
      <c r="O12" s="53" t="s">
        <v>2</v>
      </c>
      <c r="P12" s="53" t="s">
        <v>6</v>
      </c>
      <c r="Q12" s="53" t="s">
        <v>5</v>
      </c>
      <c r="R12" s="53" t="s">
        <v>6</v>
      </c>
      <c r="S12" s="53" t="s">
        <v>7</v>
      </c>
      <c r="T12" s="53" t="s">
        <v>6</v>
      </c>
      <c r="U12" s="53" t="s">
        <v>4</v>
      </c>
      <c r="V12" s="5" t="s">
        <v>9</v>
      </c>
      <c r="X12" s="5" t="s">
        <v>6</v>
      </c>
      <c r="Y12" s="55" t="s">
        <v>4</v>
      </c>
      <c r="Z12" s="53" t="s">
        <v>7</v>
      </c>
      <c r="AA12" s="53" t="s">
        <v>9</v>
      </c>
      <c r="AB12" s="53" t="s">
        <v>2</v>
      </c>
      <c r="AC12" s="53" t="s">
        <v>5</v>
      </c>
      <c r="AD12" s="53" t="s">
        <v>3</v>
      </c>
      <c r="AE12" s="53" t="s">
        <v>5</v>
      </c>
      <c r="AF12" s="53" t="s">
        <v>3</v>
      </c>
      <c r="AG12" s="53" t="s">
        <v>9</v>
      </c>
      <c r="AH12" s="53" t="s">
        <v>9</v>
      </c>
      <c r="AI12" s="43"/>
      <c r="AJ12" s="43"/>
      <c r="AK12" s="43"/>
      <c r="AL12" s="9">
        <f t="shared" si="0"/>
        <v>1</v>
      </c>
      <c r="AM12" s="9">
        <f t="shared" si="1"/>
        <v>6</v>
      </c>
      <c r="AN12" s="9">
        <f t="shared" si="2"/>
        <v>2</v>
      </c>
      <c r="AO12" s="9">
        <f t="shared" si="3"/>
        <v>7</v>
      </c>
      <c r="AP12" s="9">
        <f t="shared" si="4"/>
        <v>5</v>
      </c>
      <c r="AQ12" s="9">
        <f t="shared" si="5"/>
        <v>3</v>
      </c>
      <c r="AR12" s="9">
        <f t="shared" si="6"/>
        <v>8</v>
      </c>
      <c r="AS12" s="9">
        <f t="shared" si="7"/>
        <v>4</v>
      </c>
      <c r="AT12" s="9">
        <f t="shared" si="9"/>
        <v>6</v>
      </c>
      <c r="AU12" s="9">
        <f t="shared" si="10"/>
        <v>2</v>
      </c>
      <c r="AV12" s="9">
        <f t="shared" si="11"/>
        <v>5</v>
      </c>
      <c r="AW12" s="9">
        <f t="shared" si="12"/>
        <v>3</v>
      </c>
      <c r="AX12" s="9">
        <f t="shared" si="13"/>
        <v>1</v>
      </c>
      <c r="AY12" s="9">
        <f t="shared" si="14"/>
        <v>7</v>
      </c>
      <c r="AZ12" s="9">
        <f t="shared" si="15"/>
        <v>8</v>
      </c>
      <c r="BA12">
        <f t="shared" si="16"/>
        <v>4</v>
      </c>
      <c r="BB12">
        <f t="shared" si="17"/>
        <v>5</v>
      </c>
      <c r="BC12">
        <f t="shared" si="18"/>
        <v>0</v>
      </c>
      <c r="BD12">
        <f t="shared" si="19"/>
        <v>2</v>
      </c>
      <c r="BE12">
        <f t="shared" si="20"/>
        <v>1</v>
      </c>
      <c r="BF12">
        <f t="shared" si="21"/>
        <v>4</v>
      </c>
      <c r="BG12">
        <f t="shared" si="22"/>
        <v>1</v>
      </c>
      <c r="BH12">
        <f t="shared" si="24"/>
        <v>1</v>
      </c>
      <c r="BI12">
        <f t="shared" si="8"/>
        <v>4</v>
      </c>
    </row>
    <row r="13" spans="1:65" ht="14.5" customHeight="1">
      <c r="A13">
        <v>11</v>
      </c>
      <c r="B13" s="49" t="s">
        <v>165</v>
      </c>
      <c r="C13" s="50" t="s">
        <v>153</v>
      </c>
      <c r="D13" s="35"/>
      <c r="E13" s="5" t="s">
        <v>4</v>
      </c>
      <c r="F13" s="5" t="s">
        <v>7</v>
      </c>
      <c r="G13" s="53" t="s">
        <v>5</v>
      </c>
      <c r="H13" s="53" t="s">
        <v>6</v>
      </c>
      <c r="I13" s="53" t="s">
        <v>9</v>
      </c>
      <c r="J13" s="53" t="s">
        <v>2</v>
      </c>
      <c r="K13" s="53" t="s">
        <v>8</v>
      </c>
      <c r="L13" s="5" t="s">
        <v>3</v>
      </c>
      <c r="M13" s="53" t="s">
        <v>5</v>
      </c>
      <c r="N13" s="53" t="s">
        <v>8</v>
      </c>
      <c r="O13" s="53" t="s">
        <v>7</v>
      </c>
      <c r="P13" s="53" t="s">
        <v>9</v>
      </c>
      <c r="Q13" s="53" t="s">
        <v>5</v>
      </c>
      <c r="R13" s="53" t="s">
        <v>4</v>
      </c>
      <c r="S13" s="53" t="s">
        <v>3</v>
      </c>
      <c r="T13" s="53" t="s">
        <v>2</v>
      </c>
      <c r="U13" s="53" t="s">
        <v>6</v>
      </c>
      <c r="V13" s="5" t="s">
        <v>3</v>
      </c>
      <c r="X13" s="5" t="s">
        <v>8</v>
      </c>
      <c r="Y13" s="55" t="s">
        <v>3</v>
      </c>
      <c r="Z13" s="53" t="s">
        <v>5</v>
      </c>
      <c r="AA13" s="53" t="s">
        <v>2</v>
      </c>
      <c r="AB13" s="53" t="s">
        <v>6</v>
      </c>
      <c r="AC13" s="53" t="s">
        <v>7</v>
      </c>
      <c r="AD13" s="53" t="s">
        <v>5</v>
      </c>
      <c r="AE13" s="53" t="s">
        <v>8</v>
      </c>
      <c r="AF13" s="53" t="s">
        <v>5</v>
      </c>
      <c r="AG13" s="53" t="s">
        <v>2</v>
      </c>
      <c r="AH13" s="53" t="s">
        <v>5</v>
      </c>
      <c r="AI13" s="43"/>
      <c r="AJ13" s="43"/>
      <c r="AK13" s="43"/>
      <c r="AL13" s="9">
        <f t="shared" si="0"/>
        <v>3</v>
      </c>
      <c r="AM13" s="9">
        <f t="shared" si="1"/>
        <v>6</v>
      </c>
      <c r="AN13" s="9">
        <f t="shared" si="2"/>
        <v>8</v>
      </c>
      <c r="AO13" s="9">
        <f t="shared" si="3"/>
        <v>7</v>
      </c>
      <c r="AP13" s="9">
        <f t="shared" si="4"/>
        <v>1</v>
      </c>
      <c r="AQ13" s="9">
        <f t="shared" si="5"/>
        <v>2</v>
      </c>
      <c r="AR13" s="9">
        <f t="shared" si="6"/>
        <v>4</v>
      </c>
      <c r="AS13" s="9">
        <f t="shared" si="7"/>
        <v>5</v>
      </c>
      <c r="AT13" s="9">
        <f t="shared" si="9"/>
        <v>6</v>
      </c>
      <c r="AU13" s="9">
        <f t="shared" si="10"/>
        <v>8</v>
      </c>
      <c r="AV13" s="9">
        <f t="shared" si="11"/>
        <v>1</v>
      </c>
      <c r="AW13" s="9">
        <f t="shared" si="12"/>
        <v>2</v>
      </c>
      <c r="AX13" s="9">
        <f t="shared" si="13"/>
        <v>3</v>
      </c>
      <c r="AY13" s="9">
        <f t="shared" si="14"/>
        <v>7</v>
      </c>
      <c r="AZ13" s="9">
        <f t="shared" si="15"/>
        <v>4</v>
      </c>
      <c r="BA13">
        <f t="shared" si="16"/>
        <v>5</v>
      </c>
      <c r="BB13">
        <f t="shared" si="17"/>
        <v>5</v>
      </c>
      <c r="BC13">
        <f t="shared" si="18"/>
        <v>6</v>
      </c>
      <c r="BD13">
        <f t="shared" si="19"/>
        <v>2</v>
      </c>
      <c r="BE13">
        <f t="shared" si="20"/>
        <v>2</v>
      </c>
      <c r="BF13">
        <f t="shared" si="21"/>
        <v>2</v>
      </c>
      <c r="BG13">
        <f t="shared" si="22"/>
        <v>1</v>
      </c>
      <c r="BH13">
        <f t="shared" si="24"/>
        <v>3</v>
      </c>
      <c r="BI13">
        <f t="shared" si="8"/>
        <v>3</v>
      </c>
    </row>
    <row r="14" spans="1:65" ht="14.5" customHeight="1">
      <c r="A14">
        <v>12</v>
      </c>
      <c r="B14" s="49" t="s">
        <v>166</v>
      </c>
      <c r="C14" s="50" t="s">
        <v>153</v>
      </c>
      <c r="D14" s="35"/>
      <c r="E14" s="5" t="s">
        <v>9</v>
      </c>
      <c r="F14" s="5" t="s">
        <v>2</v>
      </c>
      <c r="G14" s="53" t="s">
        <v>7</v>
      </c>
      <c r="H14" s="53" t="s">
        <v>6</v>
      </c>
      <c r="I14" s="53" t="s">
        <v>3</v>
      </c>
      <c r="J14" s="53" t="s">
        <v>4</v>
      </c>
      <c r="K14" s="53" t="s">
        <v>5</v>
      </c>
      <c r="L14" s="5" t="s">
        <v>8</v>
      </c>
      <c r="M14" s="53" t="s">
        <v>3</v>
      </c>
      <c r="N14" s="53" t="s">
        <v>5</v>
      </c>
      <c r="O14" s="53" t="s">
        <v>9</v>
      </c>
      <c r="P14" s="53" t="s">
        <v>6</v>
      </c>
      <c r="Q14" s="53" t="s">
        <v>4</v>
      </c>
      <c r="R14" s="53" t="s">
        <v>7</v>
      </c>
      <c r="S14" s="53" t="s">
        <v>3</v>
      </c>
      <c r="T14" s="53" t="s">
        <v>2</v>
      </c>
      <c r="U14" s="53" t="s">
        <v>6</v>
      </c>
      <c r="V14" s="5" t="s">
        <v>3</v>
      </c>
      <c r="X14" s="5" t="s">
        <v>9</v>
      </c>
      <c r="Y14" s="55" t="s">
        <v>2</v>
      </c>
      <c r="Z14" s="53" t="s">
        <v>5</v>
      </c>
      <c r="AA14" s="53" t="s">
        <v>7</v>
      </c>
      <c r="AB14" s="53" t="s">
        <v>8</v>
      </c>
      <c r="AC14" s="53" t="s">
        <v>3</v>
      </c>
      <c r="AD14" s="53" t="s">
        <v>3</v>
      </c>
      <c r="AE14" s="53" t="s">
        <v>3</v>
      </c>
      <c r="AF14" s="53" t="s">
        <v>9</v>
      </c>
      <c r="AG14" s="53" t="s">
        <v>9</v>
      </c>
      <c r="AH14" s="53" t="s">
        <v>9</v>
      </c>
      <c r="AI14" s="43"/>
      <c r="AJ14" s="43"/>
      <c r="AK14" s="43"/>
      <c r="AL14" s="9">
        <f t="shared" si="0"/>
        <v>7</v>
      </c>
      <c r="AM14" s="9">
        <f t="shared" si="1"/>
        <v>2</v>
      </c>
      <c r="AN14" s="9">
        <f t="shared" si="2"/>
        <v>5</v>
      </c>
      <c r="AO14" s="9">
        <f t="shared" si="3"/>
        <v>8</v>
      </c>
      <c r="AP14" s="9">
        <f t="shared" si="4"/>
        <v>6</v>
      </c>
      <c r="AQ14" s="9">
        <f t="shared" si="5"/>
        <v>3</v>
      </c>
      <c r="AR14" s="9">
        <f t="shared" si="6"/>
        <v>4</v>
      </c>
      <c r="AS14" s="9">
        <f t="shared" si="7"/>
        <v>1</v>
      </c>
      <c r="AT14" s="9">
        <f t="shared" si="9"/>
        <v>2</v>
      </c>
      <c r="AU14" s="9">
        <f t="shared" si="10"/>
        <v>5</v>
      </c>
      <c r="AV14" s="9">
        <f t="shared" si="11"/>
        <v>6</v>
      </c>
      <c r="AW14" s="9">
        <f t="shared" si="12"/>
        <v>3</v>
      </c>
      <c r="AX14" s="9">
        <f t="shared" si="13"/>
        <v>7</v>
      </c>
      <c r="AY14" s="9">
        <f t="shared" si="14"/>
        <v>8</v>
      </c>
      <c r="AZ14" s="9">
        <f t="shared" si="15"/>
        <v>4</v>
      </c>
      <c r="BA14">
        <f t="shared" si="16"/>
        <v>1</v>
      </c>
      <c r="BB14">
        <f t="shared" si="17"/>
        <v>1</v>
      </c>
      <c r="BC14">
        <f t="shared" si="18"/>
        <v>3</v>
      </c>
      <c r="BD14">
        <f t="shared" si="19"/>
        <v>3</v>
      </c>
      <c r="BE14">
        <f t="shared" si="20"/>
        <v>1</v>
      </c>
      <c r="BF14">
        <f t="shared" si="21"/>
        <v>2</v>
      </c>
      <c r="BG14">
        <f t="shared" si="22"/>
        <v>2</v>
      </c>
      <c r="BH14">
        <f t="shared" si="24"/>
        <v>3</v>
      </c>
      <c r="BI14">
        <f t="shared" si="8"/>
        <v>7</v>
      </c>
    </row>
    <row r="15" spans="1:65" ht="14.5" customHeight="1">
      <c r="A15">
        <v>13</v>
      </c>
      <c r="B15" s="49" t="s">
        <v>168</v>
      </c>
      <c r="C15" s="50" t="s">
        <v>153</v>
      </c>
      <c r="D15" s="35"/>
      <c r="E15" s="5" t="s">
        <v>5</v>
      </c>
      <c r="F15" s="5" t="s">
        <v>7</v>
      </c>
      <c r="G15" s="53" t="s">
        <v>3</v>
      </c>
      <c r="H15" s="53" t="s">
        <v>4</v>
      </c>
      <c r="I15" s="53" t="s">
        <v>9</v>
      </c>
      <c r="J15" s="53" t="s">
        <v>2</v>
      </c>
      <c r="K15" s="53" t="s">
        <v>6</v>
      </c>
      <c r="L15" s="5" t="s">
        <v>8</v>
      </c>
      <c r="M15" s="53" t="s">
        <v>3</v>
      </c>
      <c r="N15" s="53" t="s">
        <v>9</v>
      </c>
      <c r="O15" s="53" t="s">
        <v>5</v>
      </c>
      <c r="P15" s="53" t="s">
        <v>4</v>
      </c>
      <c r="Q15" s="53" t="s">
        <v>3</v>
      </c>
      <c r="R15" s="53" t="s">
        <v>7</v>
      </c>
      <c r="S15" s="53" t="s">
        <v>2</v>
      </c>
      <c r="T15" s="53" t="s">
        <v>2</v>
      </c>
      <c r="U15" s="53" t="s">
        <v>9</v>
      </c>
      <c r="V15" s="5" t="s">
        <v>5</v>
      </c>
      <c r="X15" s="5" t="s">
        <v>9</v>
      </c>
      <c r="Y15" s="55" t="s">
        <v>2</v>
      </c>
      <c r="Z15" s="53" t="s">
        <v>5</v>
      </c>
      <c r="AA15" s="53" t="s">
        <v>3</v>
      </c>
      <c r="AB15" s="53" t="s">
        <v>9</v>
      </c>
      <c r="AC15" s="53" t="s">
        <v>2</v>
      </c>
      <c r="AD15" s="53" t="s">
        <v>7</v>
      </c>
      <c r="AE15" s="53" t="s">
        <v>5</v>
      </c>
      <c r="AF15" s="53" t="s">
        <v>5</v>
      </c>
      <c r="AG15" s="53" t="s">
        <v>9</v>
      </c>
      <c r="AH15" s="53" t="s">
        <v>7</v>
      </c>
      <c r="AI15" s="43"/>
      <c r="AJ15" s="43"/>
      <c r="AK15" s="43"/>
      <c r="AL15" s="9">
        <f t="shared" si="0"/>
        <v>1</v>
      </c>
      <c r="AM15" s="9">
        <f t="shared" si="1"/>
        <v>6</v>
      </c>
      <c r="AN15" s="9">
        <f t="shared" si="2"/>
        <v>3</v>
      </c>
      <c r="AO15" s="9">
        <f t="shared" si="3"/>
        <v>8</v>
      </c>
      <c r="AP15" s="9">
        <f t="shared" si="4"/>
        <v>4</v>
      </c>
      <c r="AQ15" s="9">
        <f t="shared" si="5"/>
        <v>2</v>
      </c>
      <c r="AR15" s="9">
        <f t="shared" si="6"/>
        <v>7</v>
      </c>
      <c r="AS15" s="9">
        <f t="shared" si="7"/>
        <v>5</v>
      </c>
      <c r="AT15" s="9">
        <f t="shared" si="9"/>
        <v>6</v>
      </c>
      <c r="AU15" s="9">
        <f t="shared" si="10"/>
        <v>3</v>
      </c>
      <c r="AV15" s="9">
        <f t="shared" si="11"/>
        <v>4</v>
      </c>
      <c r="AW15" s="9">
        <f t="shared" si="12"/>
        <v>2</v>
      </c>
      <c r="AX15" s="9">
        <f t="shared" si="13"/>
        <v>1</v>
      </c>
      <c r="AY15" s="9">
        <f t="shared" si="14"/>
        <v>8</v>
      </c>
      <c r="AZ15" s="9">
        <f t="shared" si="15"/>
        <v>7</v>
      </c>
      <c r="BA15">
        <f t="shared" si="16"/>
        <v>5</v>
      </c>
      <c r="BB15">
        <f t="shared" si="17"/>
        <v>5</v>
      </c>
      <c r="BC15">
        <f t="shared" si="18"/>
        <v>1</v>
      </c>
      <c r="BD15">
        <f t="shared" si="19"/>
        <v>1</v>
      </c>
      <c r="BE15">
        <f t="shared" si="20"/>
        <v>2</v>
      </c>
      <c r="BF15">
        <f t="shared" si="21"/>
        <v>4</v>
      </c>
      <c r="BG15">
        <f t="shared" si="22"/>
        <v>2</v>
      </c>
      <c r="BH15">
        <f t="shared" si="24"/>
        <v>0</v>
      </c>
      <c r="BI15">
        <f t="shared" si="8"/>
        <v>3</v>
      </c>
    </row>
    <row r="16" spans="1:65" ht="14.5" customHeight="1">
      <c r="A16">
        <v>14</v>
      </c>
      <c r="B16" s="49" t="s">
        <v>169</v>
      </c>
      <c r="C16" s="50" t="s">
        <v>153</v>
      </c>
      <c r="D16" s="35"/>
      <c r="E16" s="5" t="s">
        <v>5</v>
      </c>
      <c r="F16" s="5" t="s">
        <v>4</v>
      </c>
      <c r="G16" s="53" t="s">
        <v>7</v>
      </c>
      <c r="H16" s="53" t="s">
        <v>2</v>
      </c>
      <c r="I16" s="53" t="s">
        <v>3</v>
      </c>
      <c r="J16" s="53" t="s">
        <v>9</v>
      </c>
      <c r="K16" s="53" t="s">
        <v>6</v>
      </c>
      <c r="L16" s="5" t="s">
        <v>8</v>
      </c>
      <c r="M16" s="53" t="s">
        <v>5</v>
      </c>
      <c r="N16" s="53" t="s">
        <v>6</v>
      </c>
      <c r="O16" s="53" t="s">
        <v>7</v>
      </c>
      <c r="P16" s="53" t="s">
        <v>9</v>
      </c>
      <c r="Q16" s="53" t="s">
        <v>4</v>
      </c>
      <c r="R16" s="53" t="s">
        <v>2</v>
      </c>
      <c r="S16" s="53" t="s">
        <v>5</v>
      </c>
      <c r="T16" s="53" t="s">
        <v>8</v>
      </c>
      <c r="U16" s="53" t="s">
        <v>3</v>
      </c>
      <c r="V16" s="5" t="s">
        <v>5</v>
      </c>
      <c r="X16" s="5" t="s">
        <v>6</v>
      </c>
      <c r="Y16" s="55" t="s">
        <v>7</v>
      </c>
      <c r="Z16" s="53" t="s">
        <v>4</v>
      </c>
      <c r="AA16" s="53" t="s">
        <v>5</v>
      </c>
      <c r="AB16" s="53" t="s">
        <v>8</v>
      </c>
      <c r="AC16" s="53" t="s">
        <v>5</v>
      </c>
      <c r="AD16" s="53" t="s">
        <v>2</v>
      </c>
      <c r="AE16" s="53" t="s">
        <v>5</v>
      </c>
      <c r="AF16" s="53" t="s">
        <v>5</v>
      </c>
      <c r="AG16" s="53" t="s">
        <v>8</v>
      </c>
      <c r="AH16" s="53" t="s">
        <v>5</v>
      </c>
      <c r="AI16" s="43"/>
      <c r="AJ16" s="43"/>
      <c r="AK16" s="43"/>
      <c r="AL16" s="9">
        <f t="shared" si="0"/>
        <v>1</v>
      </c>
      <c r="AM16" s="9">
        <f t="shared" si="1"/>
        <v>4</v>
      </c>
      <c r="AN16" s="9">
        <f t="shared" si="2"/>
        <v>5</v>
      </c>
      <c r="AO16" s="9">
        <f t="shared" si="3"/>
        <v>8</v>
      </c>
      <c r="AP16" s="9">
        <f t="shared" si="4"/>
        <v>2</v>
      </c>
      <c r="AQ16" s="9">
        <f t="shared" si="5"/>
        <v>3</v>
      </c>
      <c r="AR16" s="9">
        <f t="shared" si="6"/>
        <v>7</v>
      </c>
      <c r="AS16" s="9">
        <f t="shared" si="7"/>
        <v>6</v>
      </c>
      <c r="AT16" s="9">
        <f t="shared" si="9"/>
        <v>4</v>
      </c>
      <c r="AU16" s="9">
        <f t="shared" si="10"/>
        <v>5</v>
      </c>
      <c r="AV16" s="9">
        <f t="shared" si="11"/>
        <v>2</v>
      </c>
      <c r="AW16" s="9">
        <f t="shared" si="12"/>
        <v>3</v>
      </c>
      <c r="AX16" s="9">
        <f t="shared" si="13"/>
        <v>1</v>
      </c>
      <c r="AY16" s="9">
        <f t="shared" si="14"/>
        <v>8</v>
      </c>
      <c r="AZ16" s="9">
        <f t="shared" si="15"/>
        <v>7</v>
      </c>
      <c r="BA16">
        <f t="shared" si="16"/>
        <v>6</v>
      </c>
      <c r="BB16">
        <f t="shared" si="17"/>
        <v>3</v>
      </c>
      <c r="BC16">
        <f t="shared" si="18"/>
        <v>3</v>
      </c>
      <c r="BD16">
        <f t="shared" si="19"/>
        <v>1</v>
      </c>
      <c r="BE16">
        <f t="shared" si="20"/>
        <v>1</v>
      </c>
      <c r="BF16">
        <f t="shared" si="21"/>
        <v>4</v>
      </c>
      <c r="BG16">
        <f t="shared" si="22"/>
        <v>2</v>
      </c>
      <c r="BH16">
        <f t="shared" si="24"/>
        <v>0</v>
      </c>
      <c r="BI16">
        <f t="shared" si="8"/>
        <v>2</v>
      </c>
    </row>
    <row r="17" spans="1:61" ht="14.5" customHeight="1">
      <c r="A17">
        <v>15</v>
      </c>
      <c r="B17" s="49" t="s">
        <v>167</v>
      </c>
      <c r="C17" s="50" t="s">
        <v>153</v>
      </c>
      <c r="D17" s="35"/>
      <c r="E17" s="5" t="s">
        <v>5</v>
      </c>
      <c r="F17" s="5" t="s">
        <v>3</v>
      </c>
      <c r="G17" s="53" t="s">
        <v>2</v>
      </c>
      <c r="H17" s="53" t="s">
        <v>7</v>
      </c>
      <c r="I17" s="53" t="s">
        <v>6</v>
      </c>
      <c r="J17" s="53" t="s">
        <v>4</v>
      </c>
      <c r="K17" s="53" t="s">
        <v>9</v>
      </c>
      <c r="L17" s="53" t="s">
        <v>8</v>
      </c>
      <c r="M17" s="53" t="s">
        <v>3</v>
      </c>
      <c r="N17" s="53" t="s">
        <v>8</v>
      </c>
      <c r="O17" s="53" t="s">
        <v>7</v>
      </c>
      <c r="P17" s="53" t="s">
        <v>9</v>
      </c>
      <c r="Q17" s="53" t="s">
        <v>5</v>
      </c>
      <c r="R17" s="53" t="s">
        <v>9</v>
      </c>
      <c r="S17" s="53" t="s">
        <v>2</v>
      </c>
      <c r="T17" s="53" t="s">
        <v>4</v>
      </c>
      <c r="U17" s="53" t="s">
        <v>7</v>
      </c>
      <c r="V17" s="5" t="s">
        <v>3</v>
      </c>
      <c r="X17" s="5" t="s">
        <v>9</v>
      </c>
      <c r="Y17" s="55" t="s">
        <v>4</v>
      </c>
      <c r="Z17" s="53" t="s">
        <v>5</v>
      </c>
      <c r="AA17" s="53" t="s">
        <v>8</v>
      </c>
      <c r="AB17" s="53" t="s">
        <v>9</v>
      </c>
      <c r="AC17" s="53" t="s">
        <v>2</v>
      </c>
      <c r="AD17" s="53" t="s">
        <v>3</v>
      </c>
      <c r="AE17" s="53" t="s">
        <v>5</v>
      </c>
      <c r="AF17" s="53" t="s">
        <v>5</v>
      </c>
      <c r="AG17" s="53" t="s">
        <v>9</v>
      </c>
      <c r="AH17" s="53" t="s">
        <v>3</v>
      </c>
      <c r="AI17" s="43"/>
      <c r="AJ17" s="43"/>
      <c r="AK17" s="43"/>
      <c r="AL17" s="9">
        <f t="shared" si="0"/>
        <v>1</v>
      </c>
      <c r="AM17" s="9">
        <f t="shared" si="1"/>
        <v>3</v>
      </c>
      <c r="AN17" s="9">
        <f t="shared" si="2"/>
        <v>2</v>
      </c>
      <c r="AO17" s="9">
        <f t="shared" si="3"/>
        <v>8</v>
      </c>
      <c r="AP17" s="9">
        <f t="shared" si="4"/>
        <v>6</v>
      </c>
      <c r="AQ17" s="9">
        <f t="shared" si="5"/>
        <v>4</v>
      </c>
      <c r="AR17" s="9">
        <f t="shared" si="6"/>
        <v>5</v>
      </c>
      <c r="AS17" s="9">
        <f t="shared" si="7"/>
        <v>7</v>
      </c>
      <c r="AT17" s="9">
        <f t="shared" si="9"/>
        <v>3</v>
      </c>
      <c r="AU17" s="9">
        <f t="shared" si="10"/>
        <v>2</v>
      </c>
      <c r="AV17" s="9">
        <f t="shared" si="11"/>
        <v>6</v>
      </c>
      <c r="AW17" s="9">
        <f t="shared" si="12"/>
        <v>4</v>
      </c>
      <c r="AX17" s="9">
        <f t="shared" si="13"/>
        <v>1</v>
      </c>
      <c r="AY17" s="9">
        <f t="shared" si="14"/>
        <v>8</v>
      </c>
      <c r="AZ17" s="9">
        <f t="shared" si="15"/>
        <v>5</v>
      </c>
      <c r="BA17">
        <f t="shared" si="16"/>
        <v>7</v>
      </c>
      <c r="BB17">
        <f t="shared" si="17"/>
        <v>2</v>
      </c>
      <c r="BC17">
        <f t="shared" si="18"/>
        <v>0</v>
      </c>
      <c r="BD17">
        <f t="shared" si="19"/>
        <v>3</v>
      </c>
      <c r="BE17">
        <f t="shared" si="20"/>
        <v>0</v>
      </c>
      <c r="BF17">
        <f t="shared" si="21"/>
        <v>4</v>
      </c>
      <c r="BG17">
        <f t="shared" si="22"/>
        <v>2</v>
      </c>
      <c r="BH17">
        <f t="shared" si="24"/>
        <v>2</v>
      </c>
      <c r="BI17">
        <f t="shared" si="8"/>
        <v>1</v>
      </c>
    </row>
    <row r="18" spans="1:61" ht="14.5" customHeight="1">
      <c r="A18">
        <v>16</v>
      </c>
      <c r="B18" s="49" t="s">
        <v>170</v>
      </c>
      <c r="C18" s="50" t="s">
        <v>153</v>
      </c>
      <c r="D18" s="35"/>
      <c r="E18" s="5" t="s">
        <v>2</v>
      </c>
      <c r="F18" s="5" t="s">
        <v>4</v>
      </c>
      <c r="G18" s="53" t="s">
        <v>5</v>
      </c>
      <c r="H18" s="53" t="s">
        <v>7</v>
      </c>
      <c r="I18" s="53" t="s">
        <v>8</v>
      </c>
      <c r="J18" s="53" t="s">
        <v>9</v>
      </c>
      <c r="K18" s="53" t="s">
        <v>6</v>
      </c>
      <c r="L18" s="5" t="s">
        <v>3</v>
      </c>
      <c r="M18" s="53" t="s">
        <v>7</v>
      </c>
      <c r="N18" s="53" t="s">
        <v>5</v>
      </c>
      <c r="O18" s="53" t="s">
        <v>9</v>
      </c>
      <c r="P18" s="53" t="s">
        <v>3</v>
      </c>
      <c r="Q18" s="53" t="s">
        <v>4</v>
      </c>
      <c r="R18" s="53" t="s">
        <v>6</v>
      </c>
      <c r="S18" s="53" t="s">
        <v>2</v>
      </c>
      <c r="T18" s="53" t="s">
        <v>9</v>
      </c>
      <c r="U18" s="53" t="s">
        <v>7</v>
      </c>
      <c r="V18" s="5" t="s">
        <v>9</v>
      </c>
      <c r="X18" s="5" t="s">
        <v>9</v>
      </c>
      <c r="Y18" s="55" t="s">
        <v>9</v>
      </c>
      <c r="Z18" s="53" t="s">
        <v>7</v>
      </c>
      <c r="AA18" s="53" t="s">
        <v>9</v>
      </c>
      <c r="AB18" s="53" t="s">
        <v>9</v>
      </c>
      <c r="AC18" s="53" t="s">
        <v>9</v>
      </c>
      <c r="AD18" s="53" t="s">
        <v>8</v>
      </c>
      <c r="AE18" s="53" t="s">
        <v>7</v>
      </c>
      <c r="AF18" s="53" t="s">
        <v>9</v>
      </c>
      <c r="AG18" s="53" t="s">
        <v>9</v>
      </c>
      <c r="AH18" s="53" t="s">
        <v>2</v>
      </c>
      <c r="AI18" s="43"/>
      <c r="AJ18" s="43"/>
      <c r="AK18" s="43"/>
      <c r="AL18" s="9">
        <f t="shared" si="0"/>
        <v>3</v>
      </c>
      <c r="AM18" s="9">
        <f t="shared" si="1"/>
        <v>1</v>
      </c>
      <c r="AN18" s="9">
        <f t="shared" si="2"/>
        <v>8</v>
      </c>
      <c r="AO18" s="9">
        <f t="shared" si="3"/>
        <v>5</v>
      </c>
      <c r="AP18" s="9">
        <f t="shared" si="4"/>
        <v>2</v>
      </c>
      <c r="AQ18" s="9">
        <f t="shared" si="5"/>
        <v>4</v>
      </c>
      <c r="AR18" s="9">
        <f t="shared" si="6"/>
        <v>7</v>
      </c>
      <c r="AS18" s="9">
        <f t="shared" si="7"/>
        <v>6</v>
      </c>
      <c r="AT18" s="9">
        <f t="shared" si="9"/>
        <v>1</v>
      </c>
      <c r="AU18" s="9">
        <f t="shared" si="10"/>
        <v>8</v>
      </c>
      <c r="AV18" s="9">
        <f t="shared" si="11"/>
        <v>2</v>
      </c>
      <c r="AW18" s="9">
        <f t="shared" si="12"/>
        <v>4</v>
      </c>
      <c r="AX18" s="9">
        <f t="shared" si="13"/>
        <v>3</v>
      </c>
      <c r="AY18" s="9">
        <f t="shared" si="14"/>
        <v>5</v>
      </c>
      <c r="AZ18" s="9">
        <f t="shared" si="15"/>
        <v>7</v>
      </c>
      <c r="BA18">
        <f t="shared" si="16"/>
        <v>6</v>
      </c>
      <c r="BB18">
        <f t="shared" si="17"/>
        <v>0</v>
      </c>
      <c r="BC18">
        <f t="shared" si="18"/>
        <v>6</v>
      </c>
      <c r="BD18">
        <f t="shared" si="19"/>
        <v>1</v>
      </c>
      <c r="BE18">
        <f t="shared" si="20"/>
        <v>0</v>
      </c>
      <c r="BF18">
        <f t="shared" si="21"/>
        <v>2</v>
      </c>
      <c r="BG18">
        <f t="shared" si="22"/>
        <v>1</v>
      </c>
      <c r="BH18">
        <f t="shared" si="24"/>
        <v>0</v>
      </c>
      <c r="BI18">
        <f t="shared" si="8"/>
        <v>2</v>
      </c>
    </row>
    <row r="19" spans="1:61" ht="14.5" customHeight="1">
      <c r="A19">
        <v>17</v>
      </c>
      <c r="B19" s="49" t="s">
        <v>171</v>
      </c>
      <c r="C19" s="50" t="s">
        <v>153</v>
      </c>
      <c r="D19" s="35"/>
      <c r="E19" s="5" t="s">
        <v>2</v>
      </c>
      <c r="F19" s="5" t="s">
        <v>4</v>
      </c>
      <c r="G19" s="53" t="s">
        <v>5</v>
      </c>
      <c r="H19" s="53" t="s">
        <v>9</v>
      </c>
      <c r="I19" s="53" t="s">
        <v>6</v>
      </c>
      <c r="J19" s="53" t="s">
        <v>3</v>
      </c>
      <c r="K19" s="53" t="s">
        <v>7</v>
      </c>
      <c r="L19" s="5" t="s">
        <v>8</v>
      </c>
      <c r="M19" s="53" t="s">
        <v>5</v>
      </c>
      <c r="N19" s="53" t="s">
        <v>9</v>
      </c>
      <c r="O19" s="53" t="s">
        <v>6</v>
      </c>
      <c r="P19" s="53" t="s">
        <v>7</v>
      </c>
      <c r="Q19" s="53" t="s">
        <v>4</v>
      </c>
      <c r="R19" s="53" t="s">
        <v>8</v>
      </c>
      <c r="S19" s="53" t="s">
        <v>7</v>
      </c>
      <c r="T19" s="53" t="s">
        <v>9</v>
      </c>
      <c r="U19" s="53" t="s">
        <v>6</v>
      </c>
      <c r="V19" s="5" t="s">
        <v>2</v>
      </c>
      <c r="X19" s="5" t="s">
        <v>7</v>
      </c>
      <c r="Y19" s="55" t="s">
        <v>6</v>
      </c>
      <c r="Z19" s="53" t="s">
        <v>8</v>
      </c>
      <c r="AA19" s="53" t="s">
        <v>9</v>
      </c>
      <c r="AB19" s="53" t="s">
        <v>8</v>
      </c>
      <c r="AC19" s="53" t="s">
        <v>3</v>
      </c>
      <c r="AD19" s="53" t="s">
        <v>5</v>
      </c>
      <c r="AE19" s="53" t="s">
        <v>4</v>
      </c>
      <c r="AF19" s="53" t="s">
        <v>4</v>
      </c>
      <c r="AG19" s="53" t="s">
        <v>8</v>
      </c>
      <c r="AH19" s="53" t="s">
        <v>2</v>
      </c>
      <c r="AI19" s="43"/>
      <c r="AJ19" s="43"/>
      <c r="AK19" s="43"/>
      <c r="AL19" s="9">
        <f t="shared" si="0"/>
        <v>3</v>
      </c>
      <c r="AM19" s="9">
        <f t="shared" si="1"/>
        <v>1</v>
      </c>
      <c r="AN19" s="9">
        <f t="shared" si="2"/>
        <v>6</v>
      </c>
      <c r="AO19" s="9">
        <f t="shared" si="3"/>
        <v>8</v>
      </c>
      <c r="AP19" s="9">
        <f t="shared" si="4"/>
        <v>2</v>
      </c>
      <c r="AQ19" s="9">
        <f t="shared" si="5"/>
        <v>7</v>
      </c>
      <c r="AR19" s="9">
        <f t="shared" si="6"/>
        <v>5</v>
      </c>
      <c r="AS19" s="9">
        <f t="shared" si="7"/>
        <v>4</v>
      </c>
      <c r="AT19" s="9">
        <f t="shared" si="9"/>
        <v>1</v>
      </c>
      <c r="AU19" s="9">
        <f t="shared" si="10"/>
        <v>6</v>
      </c>
      <c r="AV19" s="9">
        <f t="shared" si="11"/>
        <v>2</v>
      </c>
      <c r="AW19" s="9">
        <f t="shared" si="12"/>
        <v>7</v>
      </c>
      <c r="AX19" s="9">
        <f t="shared" si="13"/>
        <v>3</v>
      </c>
      <c r="AY19" s="9">
        <f t="shared" si="14"/>
        <v>8</v>
      </c>
      <c r="AZ19" s="9">
        <f t="shared" si="15"/>
        <v>5</v>
      </c>
      <c r="BA19">
        <f t="shared" si="16"/>
        <v>4</v>
      </c>
      <c r="BB19">
        <f t="shared" si="17"/>
        <v>0</v>
      </c>
      <c r="BC19">
        <f t="shared" si="18"/>
        <v>4</v>
      </c>
      <c r="BD19">
        <f t="shared" si="19"/>
        <v>1</v>
      </c>
      <c r="BE19">
        <f t="shared" si="20"/>
        <v>3</v>
      </c>
      <c r="BF19">
        <f t="shared" si="21"/>
        <v>2</v>
      </c>
      <c r="BG19">
        <f t="shared" si="22"/>
        <v>2</v>
      </c>
      <c r="BH19">
        <f t="shared" si="24"/>
        <v>2</v>
      </c>
      <c r="BI19">
        <f t="shared" si="8"/>
        <v>4</v>
      </c>
    </row>
    <row r="20" spans="1:61" ht="14.5" customHeight="1">
      <c r="A20">
        <v>18</v>
      </c>
      <c r="B20" s="49" t="s">
        <v>172</v>
      </c>
      <c r="C20" s="50" t="s">
        <v>153</v>
      </c>
      <c r="D20" s="35"/>
      <c r="E20" s="5" t="s">
        <v>2</v>
      </c>
      <c r="F20" s="5" t="s">
        <v>9</v>
      </c>
      <c r="G20" s="53" t="s">
        <v>3</v>
      </c>
      <c r="H20" s="53" t="s">
        <v>5</v>
      </c>
      <c r="I20" s="53" t="s">
        <v>4</v>
      </c>
      <c r="J20" s="53" t="s">
        <v>6</v>
      </c>
      <c r="K20" s="53" t="s">
        <v>7</v>
      </c>
      <c r="L20" s="5" t="s">
        <v>8</v>
      </c>
      <c r="M20" s="53" t="s">
        <v>3</v>
      </c>
      <c r="N20" s="53" t="s">
        <v>8</v>
      </c>
      <c r="O20" s="53" t="s">
        <v>5</v>
      </c>
      <c r="P20" s="53" t="s">
        <v>7</v>
      </c>
      <c r="Q20" s="53" t="s">
        <v>2</v>
      </c>
      <c r="R20" s="53" t="s">
        <v>6</v>
      </c>
      <c r="S20" s="53" t="s">
        <v>4</v>
      </c>
      <c r="T20" s="53" t="s">
        <v>9</v>
      </c>
      <c r="U20" s="53" t="s">
        <v>7</v>
      </c>
      <c r="V20" s="5" t="s">
        <v>3</v>
      </c>
      <c r="X20" s="5" t="s">
        <v>7</v>
      </c>
      <c r="Y20" s="55" t="s">
        <v>4</v>
      </c>
      <c r="Z20" s="53" t="s">
        <v>3</v>
      </c>
      <c r="AA20" s="53" t="s">
        <v>8</v>
      </c>
      <c r="AB20" s="53" t="s">
        <v>9</v>
      </c>
      <c r="AC20" s="53" t="s">
        <v>2</v>
      </c>
      <c r="AD20" s="53" t="s">
        <v>3</v>
      </c>
      <c r="AE20" s="53" t="s">
        <v>3</v>
      </c>
      <c r="AF20" s="53" t="s">
        <v>2</v>
      </c>
      <c r="AG20" s="53" t="s">
        <v>9</v>
      </c>
      <c r="AH20" s="53" t="s">
        <v>3</v>
      </c>
      <c r="AI20" s="43"/>
      <c r="AJ20" s="43"/>
      <c r="AK20" s="43"/>
      <c r="AL20" s="9">
        <f t="shared" si="0"/>
        <v>4</v>
      </c>
      <c r="AM20" s="9">
        <f t="shared" si="1"/>
        <v>1</v>
      </c>
      <c r="AN20" s="9">
        <f t="shared" si="2"/>
        <v>3</v>
      </c>
      <c r="AO20" s="9">
        <f t="shared" si="3"/>
        <v>8</v>
      </c>
      <c r="AP20" s="9">
        <f t="shared" si="4"/>
        <v>5</v>
      </c>
      <c r="AQ20" s="9">
        <f t="shared" si="5"/>
        <v>7</v>
      </c>
      <c r="AR20" s="9">
        <f t="shared" si="6"/>
        <v>6</v>
      </c>
      <c r="AS20" s="9">
        <f t="shared" si="7"/>
        <v>2</v>
      </c>
      <c r="AT20" s="9">
        <f t="shared" si="9"/>
        <v>1</v>
      </c>
      <c r="AU20" s="9">
        <f t="shared" si="10"/>
        <v>3</v>
      </c>
      <c r="AV20" s="9">
        <f t="shared" si="11"/>
        <v>5</v>
      </c>
      <c r="AW20" s="9">
        <f t="shared" si="12"/>
        <v>7</v>
      </c>
      <c r="AX20" s="9">
        <f t="shared" si="13"/>
        <v>4</v>
      </c>
      <c r="AY20" s="9">
        <f t="shared" si="14"/>
        <v>8</v>
      </c>
      <c r="AZ20" s="9">
        <f t="shared" si="15"/>
        <v>6</v>
      </c>
      <c r="BA20">
        <f t="shared" si="16"/>
        <v>2</v>
      </c>
      <c r="BB20">
        <f t="shared" si="17"/>
        <v>0</v>
      </c>
      <c r="BC20">
        <f t="shared" si="18"/>
        <v>1</v>
      </c>
      <c r="BD20">
        <f t="shared" si="19"/>
        <v>2</v>
      </c>
      <c r="BE20">
        <f t="shared" si="20"/>
        <v>3</v>
      </c>
      <c r="BF20">
        <f t="shared" si="21"/>
        <v>1</v>
      </c>
      <c r="BG20">
        <f t="shared" si="22"/>
        <v>2</v>
      </c>
      <c r="BH20">
        <f t="shared" si="24"/>
        <v>1</v>
      </c>
      <c r="BI20">
        <f t="shared" si="8"/>
        <v>6</v>
      </c>
    </row>
    <row r="21" spans="1:61" ht="14.5" customHeight="1">
      <c r="A21">
        <v>19</v>
      </c>
      <c r="B21" s="49" t="s">
        <v>173</v>
      </c>
      <c r="C21" s="50" t="s">
        <v>153</v>
      </c>
      <c r="D21" s="35"/>
      <c r="E21" s="5" t="s">
        <v>5</v>
      </c>
      <c r="F21" s="5" t="s">
        <v>4</v>
      </c>
      <c r="G21" s="53" t="s">
        <v>3</v>
      </c>
      <c r="H21" s="53" t="s">
        <v>7</v>
      </c>
      <c r="I21" s="53" t="s">
        <v>6</v>
      </c>
      <c r="J21" s="53" t="s">
        <v>9</v>
      </c>
      <c r="K21" s="53" t="s">
        <v>2</v>
      </c>
      <c r="L21" s="5" t="s">
        <v>8</v>
      </c>
      <c r="M21" s="53" t="s">
        <v>5</v>
      </c>
      <c r="N21" s="53" t="s">
        <v>8</v>
      </c>
      <c r="O21" s="53" t="s">
        <v>7</v>
      </c>
      <c r="P21" s="53" t="s">
        <v>8</v>
      </c>
      <c r="Q21" s="53" t="s">
        <v>5</v>
      </c>
      <c r="R21" s="53" t="s">
        <v>2</v>
      </c>
      <c r="S21" s="53" t="s">
        <v>3</v>
      </c>
      <c r="T21" s="53" t="s">
        <v>8</v>
      </c>
      <c r="U21" s="53" t="s">
        <v>9</v>
      </c>
      <c r="V21" s="5" t="s">
        <v>4</v>
      </c>
      <c r="X21" s="5" t="s">
        <v>5</v>
      </c>
      <c r="Y21" s="55" t="s">
        <v>9</v>
      </c>
      <c r="Z21" s="53" t="s">
        <v>5</v>
      </c>
      <c r="AA21" s="53" t="s">
        <v>7</v>
      </c>
      <c r="AB21" s="53" t="s">
        <v>9</v>
      </c>
      <c r="AC21" s="53" t="s">
        <v>5</v>
      </c>
      <c r="AD21" s="53" t="s">
        <v>5</v>
      </c>
      <c r="AE21" s="53" t="s">
        <v>5</v>
      </c>
      <c r="AF21" s="53" t="s">
        <v>5</v>
      </c>
      <c r="AG21" s="53" t="s">
        <v>9</v>
      </c>
      <c r="AH21" s="53" t="s">
        <v>5</v>
      </c>
      <c r="AI21" s="43"/>
      <c r="AJ21" s="43"/>
      <c r="AK21" s="43"/>
      <c r="AL21" s="9">
        <f t="shared" si="0"/>
        <v>1</v>
      </c>
      <c r="AM21" s="9">
        <f t="shared" si="1"/>
        <v>7</v>
      </c>
      <c r="AN21" s="9">
        <f t="shared" si="2"/>
        <v>3</v>
      </c>
      <c r="AO21" s="9">
        <f t="shared" si="3"/>
        <v>8</v>
      </c>
      <c r="AP21" s="9">
        <f t="shared" si="4"/>
        <v>2</v>
      </c>
      <c r="AQ21" s="9">
        <f t="shared" si="5"/>
        <v>4</v>
      </c>
      <c r="AR21" s="9">
        <f t="shared" si="6"/>
        <v>5</v>
      </c>
      <c r="AS21" s="9">
        <f t="shared" si="7"/>
        <v>6</v>
      </c>
      <c r="AT21" s="9">
        <f t="shared" si="9"/>
        <v>7</v>
      </c>
      <c r="AU21" s="9">
        <f t="shared" si="10"/>
        <v>3</v>
      </c>
      <c r="AV21" s="9">
        <f t="shared" si="11"/>
        <v>2</v>
      </c>
      <c r="AW21" s="9">
        <f t="shared" si="12"/>
        <v>4</v>
      </c>
      <c r="AX21" s="9">
        <f t="shared" si="13"/>
        <v>1</v>
      </c>
      <c r="AY21" s="9">
        <f t="shared" si="14"/>
        <v>8</v>
      </c>
      <c r="AZ21" s="9">
        <f t="shared" si="15"/>
        <v>5</v>
      </c>
      <c r="BA21">
        <f t="shared" si="16"/>
        <v>6</v>
      </c>
      <c r="BB21">
        <f t="shared" si="17"/>
        <v>6</v>
      </c>
      <c r="BC21">
        <f t="shared" si="18"/>
        <v>1</v>
      </c>
      <c r="BD21">
        <f t="shared" si="19"/>
        <v>1</v>
      </c>
      <c r="BE21">
        <f t="shared" si="20"/>
        <v>0</v>
      </c>
      <c r="BF21">
        <f t="shared" si="21"/>
        <v>4</v>
      </c>
      <c r="BG21">
        <f t="shared" si="22"/>
        <v>2</v>
      </c>
      <c r="BH21">
        <f t="shared" si="24"/>
        <v>2</v>
      </c>
      <c r="BI21">
        <f t="shared" si="8"/>
        <v>2</v>
      </c>
    </row>
    <row r="22" spans="1:61" ht="14.5" customHeight="1">
      <c r="A22">
        <v>20</v>
      </c>
      <c r="B22" s="49" t="s">
        <v>174</v>
      </c>
      <c r="C22" s="51" t="s">
        <v>154</v>
      </c>
      <c r="D22" s="35"/>
      <c r="E22" s="5" t="s">
        <v>5</v>
      </c>
      <c r="F22" s="5" t="s">
        <v>7</v>
      </c>
      <c r="G22" s="53" t="s">
        <v>9</v>
      </c>
      <c r="H22" s="53" t="s">
        <v>3</v>
      </c>
      <c r="I22" s="53" t="s">
        <v>4</v>
      </c>
      <c r="J22" s="53" t="s">
        <v>6</v>
      </c>
      <c r="K22" s="53" t="s">
        <v>2</v>
      </c>
      <c r="L22" s="5" t="s">
        <v>8</v>
      </c>
      <c r="M22" s="53" t="s">
        <v>3</v>
      </c>
      <c r="N22" s="53" t="s">
        <v>6</v>
      </c>
      <c r="O22" s="53" t="s">
        <v>7</v>
      </c>
      <c r="P22" s="53" t="s">
        <v>2</v>
      </c>
      <c r="Q22" s="53" t="s">
        <v>5</v>
      </c>
      <c r="R22" s="53" t="s">
        <v>9</v>
      </c>
      <c r="S22" s="53" t="s">
        <v>4</v>
      </c>
      <c r="T22" s="53" t="s">
        <v>9</v>
      </c>
      <c r="U22" s="53" t="s">
        <v>6</v>
      </c>
      <c r="V22" s="5" t="s">
        <v>3</v>
      </c>
      <c r="X22" s="5" t="s">
        <v>6</v>
      </c>
      <c r="Y22" s="55" t="s">
        <v>8</v>
      </c>
      <c r="Z22" s="53" t="s">
        <v>9</v>
      </c>
      <c r="AA22" s="53" t="s">
        <v>2</v>
      </c>
      <c r="AB22" s="53" t="s">
        <v>9</v>
      </c>
      <c r="AC22" s="53" t="s">
        <v>7</v>
      </c>
      <c r="AD22" s="53" t="s">
        <v>5</v>
      </c>
      <c r="AE22" s="53" t="s">
        <v>4</v>
      </c>
      <c r="AF22" s="53" t="s">
        <v>4</v>
      </c>
      <c r="AG22" s="53" t="s">
        <v>9</v>
      </c>
      <c r="AH22" s="53" t="s">
        <v>4</v>
      </c>
      <c r="AI22" s="43"/>
      <c r="AJ22" s="43"/>
      <c r="AK22" s="43"/>
      <c r="AL22" s="9">
        <f t="shared" si="0"/>
        <v>1</v>
      </c>
      <c r="AM22" s="9">
        <f t="shared" si="1"/>
        <v>7</v>
      </c>
      <c r="AN22" s="9">
        <f t="shared" si="2"/>
        <v>4</v>
      </c>
      <c r="AO22" s="9">
        <f t="shared" si="3"/>
        <v>8</v>
      </c>
      <c r="AP22" s="9">
        <f t="shared" si="4"/>
        <v>5</v>
      </c>
      <c r="AQ22" s="9">
        <f t="shared" si="5"/>
        <v>2</v>
      </c>
      <c r="AR22" s="9">
        <f t="shared" si="6"/>
        <v>6</v>
      </c>
      <c r="AS22" s="9">
        <f t="shared" si="7"/>
        <v>3</v>
      </c>
      <c r="AT22" s="9">
        <f t="shared" si="9"/>
        <v>7</v>
      </c>
      <c r="AU22" s="9">
        <f t="shared" si="10"/>
        <v>4</v>
      </c>
      <c r="AV22" s="9">
        <f t="shared" si="11"/>
        <v>5</v>
      </c>
      <c r="AW22" s="9">
        <f t="shared" si="12"/>
        <v>2</v>
      </c>
      <c r="AX22" s="9">
        <f t="shared" si="13"/>
        <v>1</v>
      </c>
      <c r="AY22" s="9">
        <f t="shared" si="14"/>
        <v>8</v>
      </c>
      <c r="AZ22" s="9">
        <f t="shared" si="15"/>
        <v>6</v>
      </c>
      <c r="BA22">
        <f t="shared" si="16"/>
        <v>3</v>
      </c>
      <c r="BB22">
        <f t="shared" si="17"/>
        <v>6</v>
      </c>
      <c r="BC22">
        <f t="shared" si="18"/>
        <v>2</v>
      </c>
      <c r="BD22">
        <f t="shared" si="19"/>
        <v>2</v>
      </c>
      <c r="BE22">
        <f t="shared" si="20"/>
        <v>2</v>
      </c>
      <c r="BF22">
        <f t="shared" si="21"/>
        <v>4</v>
      </c>
      <c r="BG22">
        <f t="shared" si="22"/>
        <v>2</v>
      </c>
      <c r="BH22">
        <f t="shared" si="24"/>
        <v>1</v>
      </c>
      <c r="BI22">
        <f t="shared" si="8"/>
        <v>5</v>
      </c>
    </row>
    <row r="23" spans="1:61" ht="14.5" customHeight="1">
      <c r="A23">
        <v>21</v>
      </c>
      <c r="B23" s="49" t="s">
        <v>175</v>
      </c>
      <c r="C23" s="51" t="s">
        <v>154</v>
      </c>
      <c r="D23" s="35"/>
      <c r="E23" s="5" t="s">
        <v>9</v>
      </c>
      <c r="F23" s="5" t="s">
        <v>6</v>
      </c>
      <c r="G23" s="53" t="s">
        <v>4</v>
      </c>
      <c r="H23" s="53" t="s">
        <v>8</v>
      </c>
      <c r="I23" s="53" t="s">
        <v>2</v>
      </c>
      <c r="J23" s="53" t="s">
        <v>3</v>
      </c>
      <c r="K23" s="53" t="s">
        <v>5</v>
      </c>
      <c r="L23" s="5" t="s">
        <v>7</v>
      </c>
      <c r="M23" s="53" t="s">
        <v>3</v>
      </c>
      <c r="N23" s="53" t="s">
        <v>7</v>
      </c>
      <c r="O23" s="53" t="s">
        <v>4</v>
      </c>
      <c r="P23" s="53" t="s">
        <v>9</v>
      </c>
      <c r="Q23" s="53" t="s">
        <v>5</v>
      </c>
      <c r="R23" s="53" t="s">
        <v>8</v>
      </c>
      <c r="S23" s="53" t="s">
        <v>2</v>
      </c>
      <c r="T23" s="53" t="s">
        <v>6</v>
      </c>
      <c r="U23" s="53" t="s">
        <v>7</v>
      </c>
      <c r="V23" s="5" t="s">
        <v>3</v>
      </c>
      <c r="X23" s="5" t="s">
        <v>3</v>
      </c>
      <c r="Y23" s="55" t="s">
        <v>7</v>
      </c>
      <c r="Z23" s="53" t="s">
        <v>9</v>
      </c>
      <c r="AA23" s="53" t="s">
        <v>6</v>
      </c>
      <c r="AB23" s="53" t="s">
        <v>9</v>
      </c>
      <c r="AC23" s="53" t="s">
        <v>7</v>
      </c>
      <c r="AD23" s="53" t="s">
        <v>3</v>
      </c>
      <c r="AE23" s="53" t="s">
        <v>3</v>
      </c>
      <c r="AF23" s="53" t="s">
        <v>3</v>
      </c>
      <c r="AG23" s="53" t="s">
        <v>7</v>
      </c>
      <c r="AH23" s="53" t="s">
        <v>3</v>
      </c>
      <c r="AI23" s="43"/>
      <c r="AJ23" s="43"/>
      <c r="AK23" s="43"/>
      <c r="AL23" s="9">
        <f t="shared" si="0"/>
        <v>7</v>
      </c>
      <c r="AM23" s="9">
        <f t="shared" si="1"/>
        <v>5</v>
      </c>
      <c r="AN23" s="9">
        <f t="shared" si="2"/>
        <v>6</v>
      </c>
      <c r="AO23" s="9">
        <f t="shared" si="3"/>
        <v>4</v>
      </c>
      <c r="AP23" s="9">
        <f t="shared" si="4"/>
        <v>3</v>
      </c>
      <c r="AQ23" s="9">
        <f t="shared" si="5"/>
        <v>8</v>
      </c>
      <c r="AR23" s="9">
        <f t="shared" si="6"/>
        <v>2</v>
      </c>
      <c r="AS23" s="9">
        <f t="shared" si="7"/>
        <v>1</v>
      </c>
      <c r="AT23" s="9">
        <f t="shared" si="9"/>
        <v>5</v>
      </c>
      <c r="AU23" s="9">
        <f t="shared" si="10"/>
        <v>6</v>
      </c>
      <c r="AV23" s="9">
        <f t="shared" si="11"/>
        <v>3</v>
      </c>
      <c r="AW23" s="9">
        <f t="shared" si="12"/>
        <v>8</v>
      </c>
      <c r="AX23" s="9">
        <f t="shared" si="13"/>
        <v>7</v>
      </c>
      <c r="AY23" s="9">
        <f t="shared" si="14"/>
        <v>4</v>
      </c>
      <c r="AZ23" s="9">
        <f t="shared" si="15"/>
        <v>2</v>
      </c>
      <c r="BA23">
        <f t="shared" si="16"/>
        <v>1</v>
      </c>
      <c r="BB23">
        <f t="shared" si="17"/>
        <v>4</v>
      </c>
      <c r="BC23">
        <f t="shared" si="18"/>
        <v>4</v>
      </c>
      <c r="BD23">
        <f t="shared" si="19"/>
        <v>0</v>
      </c>
      <c r="BE23">
        <f t="shared" si="20"/>
        <v>4</v>
      </c>
      <c r="BF23">
        <f t="shared" si="21"/>
        <v>2</v>
      </c>
      <c r="BG23">
        <f t="shared" si="22"/>
        <v>2</v>
      </c>
      <c r="BH23">
        <f t="shared" si="24"/>
        <v>5</v>
      </c>
      <c r="BI23">
        <f t="shared" si="8"/>
        <v>7</v>
      </c>
    </row>
    <row r="24" spans="1:61" ht="14.5" customHeight="1">
      <c r="A24">
        <v>22</v>
      </c>
      <c r="B24" s="49" t="s">
        <v>176</v>
      </c>
      <c r="C24" s="51" t="s">
        <v>154</v>
      </c>
      <c r="D24" s="35"/>
      <c r="E24" s="5" t="s">
        <v>5</v>
      </c>
      <c r="F24" s="5" t="s">
        <v>2</v>
      </c>
      <c r="G24" s="53" t="s">
        <v>6</v>
      </c>
      <c r="H24" s="53" t="s">
        <v>3</v>
      </c>
      <c r="I24" s="53" t="s">
        <v>4</v>
      </c>
      <c r="J24" s="53" t="s">
        <v>9</v>
      </c>
      <c r="K24" s="53" t="s">
        <v>7</v>
      </c>
      <c r="L24" s="5" t="s">
        <v>8</v>
      </c>
      <c r="M24" s="53" t="s">
        <v>2</v>
      </c>
      <c r="N24" s="53" t="s">
        <v>8</v>
      </c>
      <c r="O24" s="53" t="s">
        <v>6</v>
      </c>
      <c r="P24" s="53" t="s">
        <v>9</v>
      </c>
      <c r="Q24" s="53" t="s">
        <v>5</v>
      </c>
      <c r="R24" s="53" t="s">
        <v>7</v>
      </c>
      <c r="S24" s="53" t="s">
        <v>5</v>
      </c>
      <c r="T24" s="53" t="s">
        <v>3</v>
      </c>
      <c r="U24" s="53" t="s">
        <v>4</v>
      </c>
      <c r="V24" s="5" t="s">
        <v>2</v>
      </c>
      <c r="X24" s="5" t="s">
        <v>3</v>
      </c>
      <c r="Y24" s="55" t="s">
        <v>6</v>
      </c>
      <c r="Z24" s="53" t="s">
        <v>4</v>
      </c>
      <c r="AA24" s="53" t="s">
        <v>9</v>
      </c>
      <c r="AB24" s="53" t="s">
        <v>7</v>
      </c>
      <c r="AC24" s="53" t="s">
        <v>2</v>
      </c>
      <c r="AD24" s="53" t="s">
        <v>5</v>
      </c>
      <c r="AE24" s="53" t="s">
        <v>3</v>
      </c>
      <c r="AF24" s="53" t="s">
        <v>5</v>
      </c>
      <c r="AG24" s="53" t="s">
        <v>2</v>
      </c>
      <c r="AH24" s="53" t="s">
        <v>2</v>
      </c>
      <c r="AI24" s="43"/>
      <c r="AJ24" s="43"/>
      <c r="AK24" s="43"/>
      <c r="AL24" s="9">
        <f t="shared" si="0"/>
        <v>1</v>
      </c>
      <c r="AM24" s="9">
        <f t="shared" si="1"/>
        <v>2</v>
      </c>
      <c r="AN24" s="9">
        <f t="shared" si="2"/>
        <v>4</v>
      </c>
      <c r="AO24" s="9">
        <f t="shared" si="3"/>
        <v>8</v>
      </c>
      <c r="AP24" s="9">
        <f t="shared" si="4"/>
        <v>5</v>
      </c>
      <c r="AQ24" s="9">
        <f t="shared" si="5"/>
        <v>7</v>
      </c>
      <c r="AR24" s="9">
        <f t="shared" si="6"/>
        <v>3</v>
      </c>
      <c r="AS24" s="9">
        <f t="shared" si="7"/>
        <v>6</v>
      </c>
      <c r="AT24" s="9">
        <f t="shared" si="9"/>
        <v>2</v>
      </c>
      <c r="AU24" s="9">
        <f t="shared" si="10"/>
        <v>4</v>
      </c>
      <c r="AV24" s="9">
        <f t="shared" si="11"/>
        <v>5</v>
      </c>
      <c r="AW24" s="9">
        <f t="shared" si="12"/>
        <v>7</v>
      </c>
      <c r="AX24" s="9">
        <f t="shared" si="13"/>
        <v>1</v>
      </c>
      <c r="AY24" s="9">
        <f t="shared" si="14"/>
        <v>8</v>
      </c>
      <c r="AZ24" s="9">
        <f t="shared" si="15"/>
        <v>3</v>
      </c>
      <c r="BA24">
        <f t="shared" si="16"/>
        <v>6</v>
      </c>
      <c r="BB24">
        <f t="shared" si="17"/>
        <v>1</v>
      </c>
      <c r="BC24">
        <f t="shared" si="18"/>
        <v>2</v>
      </c>
      <c r="BD24">
        <f t="shared" si="19"/>
        <v>2</v>
      </c>
      <c r="BE24">
        <f t="shared" si="20"/>
        <v>3</v>
      </c>
      <c r="BF24">
        <f t="shared" si="21"/>
        <v>4</v>
      </c>
      <c r="BG24">
        <f t="shared" si="22"/>
        <v>2</v>
      </c>
      <c r="BH24">
        <f t="shared" si="24"/>
        <v>4</v>
      </c>
      <c r="BI24">
        <f t="shared" si="8"/>
        <v>2</v>
      </c>
    </row>
    <row r="25" spans="1:61" ht="14.5" customHeight="1">
      <c r="A25">
        <v>23</v>
      </c>
      <c r="B25" s="49" t="s">
        <v>177</v>
      </c>
      <c r="C25" s="51" t="s">
        <v>154</v>
      </c>
      <c r="D25" s="35"/>
      <c r="E25" s="5" t="s">
        <v>5</v>
      </c>
      <c r="F25" s="5" t="s">
        <v>3</v>
      </c>
      <c r="G25" s="53" t="s">
        <v>4</v>
      </c>
      <c r="H25" s="53" t="s">
        <v>7</v>
      </c>
      <c r="I25" s="53" t="s">
        <v>9</v>
      </c>
      <c r="J25" s="53" t="s">
        <v>8</v>
      </c>
      <c r="K25" s="53" t="s">
        <v>6</v>
      </c>
      <c r="L25" s="5" t="s">
        <v>2</v>
      </c>
      <c r="M25" s="53" t="s">
        <v>3</v>
      </c>
      <c r="N25" s="53" t="s">
        <v>7</v>
      </c>
      <c r="O25" s="53" t="s">
        <v>4</v>
      </c>
      <c r="P25" s="53" t="s">
        <v>5</v>
      </c>
      <c r="Q25" s="53" t="s">
        <v>3</v>
      </c>
      <c r="R25" s="53" t="s">
        <v>2</v>
      </c>
      <c r="S25" s="53" t="s">
        <v>4</v>
      </c>
      <c r="T25" s="53" t="s">
        <v>9</v>
      </c>
      <c r="U25" s="53" t="s">
        <v>6</v>
      </c>
      <c r="V25" s="5" t="s">
        <v>7</v>
      </c>
      <c r="X25" s="5" t="s">
        <v>7</v>
      </c>
      <c r="Y25" s="55" t="s">
        <v>8</v>
      </c>
      <c r="Z25" s="53" t="s">
        <v>9</v>
      </c>
      <c r="AA25" s="53" t="s">
        <v>2</v>
      </c>
      <c r="AB25" s="53" t="s">
        <v>7</v>
      </c>
      <c r="AC25" s="53" t="s">
        <v>4</v>
      </c>
      <c r="AD25" s="53" t="s">
        <v>5</v>
      </c>
      <c r="AE25" s="53" t="s">
        <v>3</v>
      </c>
      <c r="AF25" s="53" t="s">
        <v>3</v>
      </c>
      <c r="AG25" s="53" t="s">
        <v>9</v>
      </c>
      <c r="AH25" s="53" t="s">
        <v>3</v>
      </c>
      <c r="AI25" s="43"/>
      <c r="AJ25" s="43"/>
      <c r="AK25" s="43"/>
      <c r="AL25" s="9">
        <f t="shared" si="0"/>
        <v>1</v>
      </c>
      <c r="AM25" s="9">
        <f t="shared" si="1"/>
        <v>8</v>
      </c>
      <c r="AN25" s="9">
        <f t="shared" si="2"/>
        <v>2</v>
      </c>
      <c r="AO25" s="9">
        <f t="shared" si="3"/>
        <v>6</v>
      </c>
      <c r="AP25" s="9">
        <f t="shared" si="4"/>
        <v>3</v>
      </c>
      <c r="AQ25" s="9">
        <f t="shared" si="5"/>
        <v>4</v>
      </c>
      <c r="AR25" s="9">
        <f t="shared" si="6"/>
        <v>7</v>
      </c>
      <c r="AS25" s="9">
        <f t="shared" si="7"/>
        <v>5</v>
      </c>
      <c r="AT25" s="9">
        <f t="shared" si="9"/>
        <v>8</v>
      </c>
      <c r="AU25" s="9">
        <f t="shared" si="10"/>
        <v>2</v>
      </c>
      <c r="AV25" s="9">
        <f t="shared" si="11"/>
        <v>3</v>
      </c>
      <c r="AW25" s="9">
        <f t="shared" si="12"/>
        <v>4</v>
      </c>
      <c r="AX25" s="9">
        <f t="shared" si="13"/>
        <v>1</v>
      </c>
      <c r="AY25" s="9">
        <f t="shared" si="14"/>
        <v>6</v>
      </c>
      <c r="AZ25" s="9">
        <f t="shared" si="15"/>
        <v>7</v>
      </c>
      <c r="BA25">
        <f t="shared" si="16"/>
        <v>5</v>
      </c>
      <c r="BB25">
        <f t="shared" si="17"/>
        <v>7</v>
      </c>
      <c r="BC25">
        <f t="shared" si="18"/>
        <v>0</v>
      </c>
      <c r="BD25">
        <f t="shared" si="19"/>
        <v>0</v>
      </c>
      <c r="BE25">
        <f t="shared" si="20"/>
        <v>0</v>
      </c>
      <c r="BF25">
        <f t="shared" si="21"/>
        <v>4</v>
      </c>
      <c r="BG25">
        <f t="shared" si="22"/>
        <v>0</v>
      </c>
      <c r="BH25">
        <f t="shared" si="24"/>
        <v>0</v>
      </c>
      <c r="BI25">
        <f t="shared" si="8"/>
        <v>3</v>
      </c>
    </row>
    <row r="26" spans="1:61" ht="14.5" customHeight="1">
      <c r="A26">
        <v>24</v>
      </c>
      <c r="B26" s="49" t="s">
        <v>178</v>
      </c>
      <c r="C26" s="51" t="s">
        <v>154</v>
      </c>
      <c r="D26" s="35"/>
      <c r="E26" s="5" t="s">
        <v>5</v>
      </c>
      <c r="F26" s="5" t="s">
        <v>4</v>
      </c>
      <c r="G26" s="53" t="s">
        <v>2</v>
      </c>
      <c r="H26" s="53" t="s">
        <v>3</v>
      </c>
      <c r="I26" s="53" t="s">
        <v>7</v>
      </c>
      <c r="J26" s="53" t="s">
        <v>6</v>
      </c>
      <c r="K26" s="53" t="s">
        <v>8</v>
      </c>
      <c r="L26" s="5" t="s">
        <v>9</v>
      </c>
      <c r="M26" s="53" t="s">
        <v>3</v>
      </c>
      <c r="N26" s="53" t="s">
        <v>9</v>
      </c>
      <c r="O26" s="53" t="s">
        <v>4</v>
      </c>
      <c r="P26" s="53" t="s">
        <v>7</v>
      </c>
      <c r="Q26" s="53" t="s">
        <v>5</v>
      </c>
      <c r="R26" s="53" t="s">
        <v>2</v>
      </c>
      <c r="S26" s="53" t="s">
        <v>5</v>
      </c>
      <c r="T26" s="53" t="s">
        <v>6</v>
      </c>
      <c r="U26" s="53" t="s">
        <v>8</v>
      </c>
      <c r="V26" s="5" t="s">
        <v>4</v>
      </c>
      <c r="X26" s="5" t="s">
        <v>9</v>
      </c>
      <c r="Y26" s="55" t="s">
        <v>2</v>
      </c>
      <c r="Z26" s="53" t="s">
        <v>6</v>
      </c>
      <c r="AA26" s="53" t="s">
        <v>8</v>
      </c>
      <c r="AB26" s="53" t="s">
        <v>9</v>
      </c>
      <c r="AC26" s="53" t="s">
        <v>5</v>
      </c>
      <c r="AD26" s="53" t="s">
        <v>4</v>
      </c>
      <c r="AE26" s="53" t="s">
        <v>5</v>
      </c>
      <c r="AF26" s="53" t="s">
        <v>5</v>
      </c>
      <c r="AG26" s="53" t="s">
        <v>9</v>
      </c>
      <c r="AH26" s="53" t="s">
        <v>9</v>
      </c>
      <c r="AI26" s="43"/>
      <c r="AJ26" s="43"/>
      <c r="AK26" s="43"/>
      <c r="AL26" s="9">
        <f t="shared" si="0"/>
        <v>1</v>
      </c>
      <c r="AM26" s="9">
        <f t="shared" si="1"/>
        <v>3</v>
      </c>
      <c r="AN26" s="9">
        <f t="shared" si="2"/>
        <v>4</v>
      </c>
      <c r="AO26" s="9">
        <f t="shared" si="3"/>
        <v>7</v>
      </c>
      <c r="AP26" s="9">
        <f t="shared" si="4"/>
        <v>2</v>
      </c>
      <c r="AQ26" s="9">
        <f t="shared" si="5"/>
        <v>5</v>
      </c>
      <c r="AR26" s="9">
        <f t="shared" si="6"/>
        <v>6</v>
      </c>
      <c r="AS26" s="9">
        <f t="shared" si="7"/>
        <v>8</v>
      </c>
      <c r="AT26" s="9">
        <f t="shared" si="9"/>
        <v>3</v>
      </c>
      <c r="AU26" s="9">
        <f t="shared" si="10"/>
        <v>4</v>
      </c>
      <c r="AV26" s="9">
        <f t="shared" si="11"/>
        <v>2</v>
      </c>
      <c r="AW26" s="9">
        <f t="shared" si="12"/>
        <v>5</v>
      </c>
      <c r="AX26" s="9">
        <f t="shared" si="13"/>
        <v>1</v>
      </c>
      <c r="AY26" s="9">
        <f t="shared" si="14"/>
        <v>7</v>
      </c>
      <c r="AZ26" s="9">
        <f t="shared" si="15"/>
        <v>6</v>
      </c>
      <c r="BA26">
        <f t="shared" si="16"/>
        <v>8</v>
      </c>
      <c r="BB26">
        <f t="shared" si="17"/>
        <v>2</v>
      </c>
      <c r="BC26">
        <f t="shared" si="18"/>
        <v>2</v>
      </c>
      <c r="BD26">
        <f t="shared" si="19"/>
        <v>1</v>
      </c>
      <c r="BE26">
        <f t="shared" si="20"/>
        <v>1</v>
      </c>
      <c r="BF26">
        <f t="shared" si="21"/>
        <v>4</v>
      </c>
      <c r="BG26">
        <f t="shared" si="22"/>
        <v>1</v>
      </c>
      <c r="BH26">
        <f t="shared" si="24"/>
        <v>1</v>
      </c>
      <c r="BI26">
        <f t="shared" si="8"/>
        <v>0</v>
      </c>
    </row>
    <row r="27" spans="1:61" ht="14.5" customHeight="1">
      <c r="A27">
        <v>25</v>
      </c>
      <c r="B27" s="48" t="s">
        <v>179</v>
      </c>
      <c r="C27" s="51" t="s">
        <v>154</v>
      </c>
      <c r="D27" s="35"/>
      <c r="E27" s="5"/>
      <c r="F27" s="5"/>
      <c r="G27" s="53"/>
      <c r="H27" s="53"/>
      <c r="I27" s="53"/>
      <c r="J27" s="53"/>
      <c r="K27" s="53"/>
      <c r="L27" s="5"/>
      <c r="M27" s="5"/>
      <c r="N27" s="5"/>
      <c r="O27" s="5"/>
      <c r="P27" s="5"/>
      <c r="Q27" s="5"/>
      <c r="R27" s="5"/>
      <c r="S27" s="5"/>
      <c r="T27" s="5"/>
      <c r="U27" s="54"/>
      <c r="V27" s="5"/>
      <c r="W27" s="58"/>
      <c r="X27" s="5"/>
      <c r="Y27" s="4"/>
      <c r="Z27" s="5"/>
      <c r="AA27" s="5"/>
      <c r="AB27" s="5"/>
      <c r="AC27" s="5"/>
      <c r="AD27" s="5"/>
      <c r="AE27" s="54"/>
      <c r="AF27" s="52"/>
      <c r="AG27" s="53"/>
      <c r="AH27" s="5"/>
      <c r="AI27" s="43"/>
      <c r="AJ27" s="43"/>
      <c r="AK27" s="43"/>
      <c r="AL27" s="9" t="str">
        <f t="shared" si="0"/>
        <v/>
      </c>
      <c r="AM27" s="9" t="str">
        <f t="shared" si="1"/>
        <v/>
      </c>
      <c r="AN27" s="9" t="str">
        <f t="shared" si="2"/>
        <v/>
      </c>
      <c r="AO27" s="9" t="str">
        <f t="shared" si="3"/>
        <v/>
      </c>
      <c r="AP27" s="9" t="str">
        <f t="shared" si="4"/>
        <v/>
      </c>
      <c r="AQ27" s="9" t="str">
        <f t="shared" si="5"/>
        <v/>
      </c>
      <c r="AR27" s="9" t="str">
        <f t="shared" si="6"/>
        <v/>
      </c>
      <c r="AS27" s="9" t="str">
        <f t="shared" si="7"/>
        <v/>
      </c>
      <c r="AT27" s="9" t="str">
        <f t="shared" si="9"/>
        <v/>
      </c>
      <c r="AU27" s="9" t="str">
        <f t="shared" si="10"/>
        <v/>
      </c>
      <c r="AV27" s="9" t="str">
        <f t="shared" si="11"/>
        <v/>
      </c>
      <c r="AW27" s="9" t="str">
        <f t="shared" si="12"/>
        <v/>
      </c>
      <c r="AX27" s="9" t="str">
        <f t="shared" si="13"/>
        <v/>
      </c>
      <c r="AY27" s="9" t="str">
        <f t="shared" si="14"/>
        <v/>
      </c>
      <c r="AZ27" s="9" t="str">
        <f t="shared" si="15"/>
        <v/>
      </c>
      <c r="BA27" t="str">
        <f t="shared" si="16"/>
        <v/>
      </c>
      <c r="BB27" t="str">
        <f t="shared" si="17"/>
        <v/>
      </c>
      <c r="BC27" t="str">
        <f t="shared" si="18"/>
        <v/>
      </c>
      <c r="BD27" t="str">
        <f t="shared" si="19"/>
        <v/>
      </c>
      <c r="BE27" t="str">
        <f t="shared" si="20"/>
        <v/>
      </c>
      <c r="BF27" t="str">
        <f t="shared" si="21"/>
        <v/>
      </c>
      <c r="BG27" t="str">
        <f t="shared" si="22"/>
        <v/>
      </c>
      <c r="BH27" t="str">
        <f t="shared" si="24"/>
        <v/>
      </c>
      <c r="BI27" t="str">
        <f t="shared" si="8"/>
        <v/>
      </c>
    </row>
  </sheetData>
  <mergeCells count="9">
    <mergeCell ref="AL1:AS1"/>
    <mergeCell ref="AT1:BA1"/>
    <mergeCell ref="BB1:BI1"/>
    <mergeCell ref="W1:AK1"/>
    <mergeCell ref="B1:B2"/>
    <mergeCell ref="C1:C2"/>
    <mergeCell ref="D1:D2"/>
    <mergeCell ref="M1:V1"/>
    <mergeCell ref="E1:L1"/>
  </mergeCells>
  <conditionalFormatting sqref="E4:L4">
    <cfRule type="duplicateValues" dxfId="126" priority="108"/>
  </conditionalFormatting>
  <conditionalFormatting sqref="E5:L5">
    <cfRule type="duplicateValues" dxfId="125" priority="107"/>
  </conditionalFormatting>
  <conditionalFormatting sqref="E6:L6">
    <cfRule type="duplicateValues" dxfId="124" priority="106"/>
  </conditionalFormatting>
  <conditionalFormatting sqref="E7:L7">
    <cfRule type="duplicateValues" dxfId="123" priority="105"/>
  </conditionalFormatting>
  <conditionalFormatting sqref="E8:L8">
    <cfRule type="duplicateValues" dxfId="122" priority="104"/>
  </conditionalFormatting>
  <conditionalFormatting sqref="E9:L9">
    <cfRule type="duplicateValues" dxfId="121" priority="103"/>
  </conditionalFormatting>
  <conditionalFormatting sqref="E10:L10">
    <cfRule type="duplicateValues" dxfId="120" priority="102"/>
  </conditionalFormatting>
  <conditionalFormatting sqref="E11:L11">
    <cfRule type="duplicateValues" dxfId="119" priority="101"/>
  </conditionalFormatting>
  <conditionalFormatting sqref="E12:L12">
    <cfRule type="duplicateValues" dxfId="118" priority="100"/>
  </conditionalFormatting>
  <conditionalFormatting sqref="E13:L13">
    <cfRule type="duplicateValues" dxfId="117" priority="99"/>
  </conditionalFormatting>
  <conditionalFormatting sqref="E14:L14">
    <cfRule type="duplicateValues" dxfId="116" priority="98"/>
  </conditionalFormatting>
  <conditionalFormatting sqref="E15:L15">
    <cfRule type="duplicateValues" dxfId="115" priority="97"/>
  </conditionalFormatting>
  <conditionalFormatting sqref="E16:L16">
    <cfRule type="duplicateValues" dxfId="114" priority="96"/>
  </conditionalFormatting>
  <conditionalFormatting sqref="E18:L18">
    <cfRule type="duplicateValues" dxfId="113" priority="95"/>
  </conditionalFormatting>
  <conditionalFormatting sqref="E19:L19">
    <cfRule type="duplicateValues" dxfId="112" priority="94"/>
  </conditionalFormatting>
  <conditionalFormatting sqref="E20:L20">
    <cfRule type="duplicateValues" dxfId="111" priority="91"/>
  </conditionalFormatting>
  <conditionalFormatting sqref="E21:L21">
    <cfRule type="duplicateValues" dxfId="110" priority="90"/>
    <cfRule type="duplicateValues" dxfId="109" priority="92"/>
    <cfRule type="duplicateValues" dxfId="108" priority="93"/>
  </conditionalFormatting>
  <conditionalFormatting sqref="E22:L22">
    <cfRule type="duplicateValues" dxfId="107" priority="89"/>
  </conditionalFormatting>
  <conditionalFormatting sqref="E23:L23">
    <cfRule type="duplicateValues" dxfId="106" priority="88"/>
  </conditionalFormatting>
  <conditionalFormatting sqref="E24:L24">
    <cfRule type="duplicateValues" dxfId="105" priority="87"/>
  </conditionalFormatting>
  <conditionalFormatting sqref="E25:L25">
    <cfRule type="duplicateValues" dxfId="104" priority="86"/>
  </conditionalFormatting>
  <conditionalFormatting sqref="E26:L26">
    <cfRule type="duplicateValues" dxfId="103" priority="85"/>
  </conditionalFormatting>
  <conditionalFormatting sqref="E27:L27">
    <cfRule type="duplicateValues" dxfId="102" priority="84"/>
  </conditionalFormatting>
  <conditionalFormatting sqref="E3:AH27">
    <cfRule type="containsText" dxfId="18" priority="110" operator="containsText" text="черный">
      <formula>NOT(ISERROR(SEARCH("черный",E3)))</formula>
    </cfRule>
    <cfRule type="containsText" dxfId="17" priority="111" operator="containsText" text="коричневый">
      <formula>NOT(ISERROR(SEARCH("коричневый",E3)))</formula>
    </cfRule>
    <cfRule type="containsText" dxfId="16" priority="112" operator="containsText" text="серый">
      <formula>NOT(ISERROR(SEARCH("серый",E3)))</formula>
    </cfRule>
    <cfRule type="containsText" dxfId="15" priority="113" operator="containsText" text="фиолетовый">
      <formula>NOT(ISERROR(SEARCH("фиолетовый",E3)))</formula>
    </cfRule>
    <cfRule type="containsText" dxfId="14" priority="114" operator="containsText" text="желтый">
      <formula>NOT(ISERROR(SEARCH("желтый",E3)))</formula>
    </cfRule>
    <cfRule type="containsText" dxfId="13" priority="115" operator="containsText" text="красный">
      <formula>NOT(ISERROR(SEARCH("красный",E3)))</formula>
    </cfRule>
    <cfRule type="containsText" dxfId="12" priority="116" operator="containsText" text="зеленый">
      <formula>NOT(ISERROR(SEARCH("зеленый",E3)))</formula>
    </cfRule>
    <cfRule type="containsText" dxfId="11" priority="117" operator="containsText" text="синий">
      <formula>NOT(ISERROR(SEARCH("синий",E3)))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'вспомогательные данные'!$B$2:$B$9</xm:f>
          </x14:formula1>
          <xm:sqref>AH3:AK27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99"/>
  <sheetViews>
    <sheetView workbookViewId="0">
      <selection activeCell="F4" sqref="F4"/>
    </sheetView>
  </sheetViews>
  <sheetFormatPr defaultColWidth="8.81640625" defaultRowHeight="14.5"/>
  <cols>
    <col min="1" max="1" width="5" style="62" customWidth="1"/>
    <col min="2" max="2" width="17.36328125" style="62" customWidth="1"/>
    <col min="3" max="3" width="10.453125" style="67" bestFit="1" customWidth="1"/>
    <col min="4" max="4" width="13.36328125" style="63" customWidth="1"/>
    <col min="5" max="5" width="6" style="67" customWidth="1"/>
    <col min="6" max="6" width="15.1796875" style="62" customWidth="1"/>
    <col min="7" max="7" width="11.36328125" style="62" customWidth="1"/>
    <col min="8" max="8" width="41.36328125" style="69" customWidth="1"/>
    <col min="9" max="9" width="21.36328125" style="62" customWidth="1"/>
  </cols>
  <sheetData>
    <row r="1" spans="1:29">
      <c r="E1" s="109" t="s">
        <v>1</v>
      </c>
      <c r="F1" s="109"/>
      <c r="G1" s="109"/>
      <c r="H1" s="109"/>
      <c r="I1" s="109"/>
      <c r="J1" s="104" t="s">
        <v>11</v>
      </c>
      <c r="K1" s="105"/>
      <c r="L1" s="105"/>
      <c r="M1" s="105"/>
      <c r="N1" s="105"/>
      <c r="O1" s="105"/>
      <c r="P1" s="105"/>
      <c r="Q1" s="105"/>
      <c r="R1" s="105"/>
      <c r="S1" s="106"/>
      <c r="T1" s="100" t="s">
        <v>12</v>
      </c>
      <c r="U1" s="101"/>
      <c r="V1" s="101"/>
      <c r="W1" s="101"/>
      <c r="X1" s="101"/>
      <c r="Y1" s="101"/>
      <c r="Z1" s="101"/>
      <c r="AA1" s="101"/>
      <c r="AB1" s="101"/>
      <c r="AC1" s="102"/>
    </row>
    <row r="2" spans="1:29" ht="29.5" customHeight="1">
      <c r="A2" s="108"/>
      <c r="B2" s="110" t="s">
        <v>10</v>
      </c>
      <c r="C2" s="110" t="s">
        <v>0</v>
      </c>
      <c r="D2" s="111" t="s">
        <v>24</v>
      </c>
      <c r="E2" s="112" t="s">
        <v>51</v>
      </c>
      <c r="F2" s="112"/>
      <c r="G2" s="112" t="s">
        <v>47</v>
      </c>
      <c r="H2" s="112"/>
      <c r="I2" s="112" t="s">
        <v>48</v>
      </c>
    </row>
    <row r="3" spans="1:29" ht="14.5" customHeight="1">
      <c r="A3" s="108"/>
      <c r="B3" s="110"/>
      <c r="C3" s="110"/>
      <c r="D3" s="111"/>
      <c r="E3" s="112"/>
      <c r="F3" s="112"/>
      <c r="G3" s="112"/>
      <c r="H3" s="112"/>
      <c r="I3" s="112"/>
    </row>
    <row r="4" spans="1:29" s="78" customFormat="1">
      <c r="A4" s="70">
        <f>ЦТО!A3</f>
        <v>1</v>
      </c>
      <c r="B4" s="70" t="str">
        <f>ЦТО!B3</f>
        <v>А</v>
      </c>
      <c r="C4" s="71" t="str">
        <f>ЦТО!C3</f>
        <v>2 а</v>
      </c>
      <c r="D4" s="72">
        <f>ЦТО!D3</f>
        <v>0</v>
      </c>
      <c r="E4" s="77">
        <f>SUM(ЦТО!BB3:BI3)</f>
        <v>0</v>
      </c>
      <c r="F4" s="73" t="str">
        <f>IF(E4&lt;10,'вспомогательные данные'!$C$26,IF(E4&lt;19,'вспомогательные данные'!$C$25,'вспомогательные данные'!$C$24))</f>
        <v>положительный</v>
      </c>
      <c r="G4" s="74" t="e">
        <f>(18-ЦТО!AM3-ЦТО!AL3)/(18-ЦТО!AL3-ЦТО!AP3)</f>
        <v>#VALUE!</v>
      </c>
      <c r="H4" s="75" t="e">
        <f>IF(G4&lt;0.51,'вспомогательные данные'!$C$19,IF(G4&lt;0.92,'вспомогательные данные'!$C$20, IF(G4&lt;2,'вспомогательные данные'!$C$21,'вспомогательные данные'!$C$22)))</f>
        <v>#VALUE!</v>
      </c>
      <c r="I4" s="76" t="b">
        <f>IF(OR(ЦТО!AT3=1,ЦТО!AU3=1,ЦТО!AV3=1,ЦТО!AX3=1),"Положительная",IF(OR(ЦТО!AY3=1,ЦТО!AZ3=1,ЦТО!BA3=1),"Отрицательная",IF(OR(ЦТО!AW3=1),"Инфантильная")))</f>
        <v>0</v>
      </c>
    </row>
    <row r="5" spans="1:29">
      <c r="A5" s="62">
        <f>ЦТО!A4</f>
        <v>2</v>
      </c>
      <c r="B5" s="62" t="str">
        <f>ЦТО!B4</f>
        <v>Б</v>
      </c>
      <c r="C5" s="67" t="str">
        <f>ЦТО!C4</f>
        <v>2 а</v>
      </c>
      <c r="D5" s="63">
        <f>ЦТО!D4</f>
        <v>0</v>
      </c>
      <c r="E5" s="68">
        <f>SUM(ЦТО!BB4:BI4)</f>
        <v>20</v>
      </c>
      <c r="F5" s="64" t="str">
        <f>IF(E5&lt;10,'вспомогательные данные'!$C$26,IF(E5&lt;19,'вспомогательные данные'!$C$25,'вспомогательные данные'!$C$24))</f>
        <v>отрицательный</v>
      </c>
      <c r="G5" s="65">
        <f>(18-ЦТО!AM4-ЦТО!AL4)/(18-ЦТО!AL4-ЦТО!AP4)</f>
        <v>1.1818181818181819</v>
      </c>
      <c r="H5" s="66" t="str">
        <f>IF(G5&lt;0.51,'вспомогательные данные'!$C$19,IF(G5&lt;0.92,'вспомогательные данные'!$C$20, IF(G5&lt;2,'вспомогательные данные'!$C$21,'вспомогательные данные'!$C$22)))</f>
        <v>оптимальная работоспособность</v>
      </c>
      <c r="I5" s="61" t="str">
        <f>IF(OR(ЦТО!AT4=1,ЦТО!AU4=1,ЦТО!AV4=1,ЦТО!AX4=1),"Положительная",IF(OR(ЦТО!AY4=1,ЦТО!AZ4=1,ЦТО!BA4=1),"Отрицательная",IF(OR(ЦТО!AW4=1),"Инфантильная")))</f>
        <v>Инфантильная</v>
      </c>
    </row>
    <row r="6" spans="1:29">
      <c r="A6" s="62">
        <f>ЦТО!A5</f>
        <v>3</v>
      </c>
      <c r="B6" s="62" t="str">
        <f>ЦТО!B5</f>
        <v>В</v>
      </c>
      <c r="C6" s="67" t="str">
        <f>ЦТО!C5</f>
        <v>2 а</v>
      </c>
      <c r="D6" s="63">
        <f>ЦТО!D5</f>
        <v>0</v>
      </c>
      <c r="E6" s="68">
        <f>SUM(ЦТО!BB5:BI5)</f>
        <v>24</v>
      </c>
      <c r="F6" s="64" t="str">
        <f>IF(E6&lt;10,'вспомогательные данные'!$C$26,IF(E6&lt;19,'вспомогательные данные'!$C$25,'вспомогательные данные'!$C$24))</f>
        <v>отрицательный</v>
      </c>
      <c r="G6" s="65">
        <f>(18-ЦТО!AM5-ЦТО!AL5)/(18-ЦТО!AL5-ЦТО!AP5)</f>
        <v>0.69230769230769229</v>
      </c>
      <c r="H6" s="66" t="str">
        <f>IF(G6&lt;0.51,'вспомогательные данные'!$C$19,IF(G6&lt;0.92,'вспомогательные данные'!$C$20, IF(G6&lt;2,'вспомогательные данные'!$C$21,'вспомогательные данные'!$C$22)))</f>
        <v>усталость</v>
      </c>
      <c r="I6" s="61" t="str">
        <f>IF(OR(ЦТО!AT5=1,ЦТО!AU5=1,ЦТО!AV5=1,ЦТО!AX5=1),"Положительная",IF(OR(ЦТО!AY5=1,ЦТО!AZ5=1,ЦТО!BA5=1),"Отрицательная",IF(OR(ЦТО!AW5=1),"Инфантильная")))</f>
        <v>Инфантильная</v>
      </c>
    </row>
    <row r="7" spans="1:29">
      <c r="A7" s="62">
        <f>ЦТО!A6</f>
        <v>4</v>
      </c>
      <c r="B7" s="62" t="str">
        <f>ЦТО!B6</f>
        <v>Г</v>
      </c>
      <c r="C7" s="67" t="str">
        <f>ЦТО!C6</f>
        <v>2 а</v>
      </c>
      <c r="D7" s="63">
        <f>ЦТО!D6</f>
        <v>0</v>
      </c>
      <c r="E7" s="68">
        <f>SUM(ЦТО!BB6:BI6)</f>
        <v>16</v>
      </c>
      <c r="F7" s="64" t="str">
        <f>IF(E7&lt;10,'вспомогательные данные'!$C$26,IF(E7&lt;19,'вспомогательные данные'!$C$25,'вспомогательные данные'!$C$24))</f>
        <v>нормальный</v>
      </c>
      <c r="G7" s="65">
        <f>(18-ЦТО!AM6-ЦТО!AL6)/(18-ЦТО!AL6-ЦТО!AP6)</f>
        <v>1.4444444444444444</v>
      </c>
      <c r="H7" s="66" t="str">
        <f>IF(G7&lt;0.51,'вспомогательные данные'!$C$19,IF(G7&lt;0.92,'вспомогательные данные'!$C$20, IF(G7&lt;2,'вспомогательные данные'!$C$21,'вспомогательные данные'!$C$22)))</f>
        <v>оптимальная работоспособность</v>
      </c>
      <c r="I7" s="61" t="str">
        <f>IF(OR(ЦТО!AT6=1,ЦТО!AU6=1,ЦТО!AV6=1,ЦТО!AX6=1),"Положительная",IF(OR(ЦТО!AY6=1,ЦТО!AZ6=1,ЦТО!BA6=1),"Отрицательная",IF(OR(ЦТО!AW6=1),"Инфантильная")))</f>
        <v>Положительная</v>
      </c>
    </row>
    <row r="8" spans="1:29">
      <c r="A8" s="62">
        <f>ЦТО!A7</f>
        <v>5</v>
      </c>
      <c r="B8" s="62" t="str">
        <f>ЦТО!B7</f>
        <v>Д</v>
      </c>
      <c r="C8" s="67" t="str">
        <f>ЦТО!C7</f>
        <v>2 а</v>
      </c>
      <c r="D8" s="63">
        <f>ЦТО!D7</f>
        <v>0</v>
      </c>
      <c r="E8" s="68">
        <f>SUM(ЦТО!BB7:BI7)</f>
        <v>16</v>
      </c>
      <c r="F8" s="64" t="str">
        <f>IF(E8&lt;10,'вспомогательные данные'!$C$26,IF(E8&lt;19,'вспомогательные данные'!$C$25,'вспомогательные данные'!$C$24))</f>
        <v>нормальный</v>
      </c>
      <c r="G8" s="65">
        <f>(18-ЦТО!AM7-ЦТО!AL7)/(18-ЦТО!AL7-ЦТО!AP7)</f>
        <v>1.2857142857142858</v>
      </c>
      <c r="H8" s="66" t="str">
        <f>IF(G8&lt;0.51,'вспомогательные данные'!$C$19,IF(G8&lt;0.92,'вспомогательные данные'!$C$20, IF(G8&lt;2,'вспомогательные данные'!$C$21,'вспомогательные данные'!$C$22)))</f>
        <v>оптимальная работоспособность</v>
      </c>
      <c r="I8" s="61" t="str">
        <f>IF(OR(ЦТО!AT7=1,ЦТО!AU7=1,ЦТО!AV7=1,ЦТО!AX7=1),"Положительная",IF(OR(ЦТО!AY7=1,ЦТО!AZ7=1,ЦТО!BA7=1),"Отрицательная",IF(OR(ЦТО!AW7=1),"Инфантильная")))</f>
        <v>Положительная</v>
      </c>
    </row>
    <row r="9" spans="1:29" s="78" customFormat="1">
      <c r="A9" s="70">
        <f>ЦТО!A8</f>
        <v>6</v>
      </c>
      <c r="B9" s="70" t="str">
        <f>ЦТО!B8</f>
        <v>Е</v>
      </c>
      <c r="C9" s="71" t="str">
        <f>ЦТО!C8</f>
        <v>2 а</v>
      </c>
      <c r="D9" s="72">
        <f>ЦТО!D8</f>
        <v>0</v>
      </c>
      <c r="E9" s="77">
        <f>SUM(ЦТО!BB8:BI8)</f>
        <v>0</v>
      </c>
      <c r="F9" s="73" t="str">
        <f>IF(E9&lt;10,'вспомогательные данные'!$C$26,IF(E9&lt;19,'вспомогательные данные'!$C$25,'вспомогательные данные'!$C$24))</f>
        <v>положительный</v>
      </c>
      <c r="G9" s="74" t="e">
        <f>(18-ЦТО!AM8-ЦТО!AL8)/(18-ЦТО!AL8-ЦТО!AP8)</f>
        <v>#VALUE!</v>
      </c>
      <c r="H9" s="75" t="e">
        <f>IF(G9&lt;0.51,'вспомогательные данные'!$C$19,IF(G9&lt;0.92,'вспомогательные данные'!$C$20, IF(G9&lt;2,'вспомогательные данные'!$C$21,'вспомогательные данные'!$C$22)))</f>
        <v>#VALUE!</v>
      </c>
      <c r="I9" s="76" t="b">
        <f>IF(OR(ЦТО!AT8=1,ЦТО!AU8=1,ЦТО!AV8=1,ЦТО!AX8=1),"Положительная",IF(OR(ЦТО!AY8=1,ЦТО!AZ8=1,ЦТО!BA8=1),"Отрицательная",IF(OR(ЦТО!AW8=1),"Инфантильная")))</f>
        <v>0</v>
      </c>
    </row>
    <row r="10" spans="1:29">
      <c r="A10" s="62">
        <f>ЦТО!A9</f>
        <v>7</v>
      </c>
      <c r="B10" s="62" t="str">
        <f>ЦТО!B9</f>
        <v>Ж</v>
      </c>
      <c r="C10" s="67" t="str">
        <f>ЦТО!C9</f>
        <v>2 а</v>
      </c>
      <c r="D10" s="63">
        <f>ЦТО!D9</f>
        <v>0</v>
      </c>
      <c r="E10" s="68">
        <f>SUM(ЦТО!BB9:BI9)</f>
        <v>18</v>
      </c>
      <c r="F10" s="64" t="str">
        <f>IF(E10&lt;10,'вспомогательные данные'!$C$26,IF(E10&lt;19,'вспомогательные данные'!$C$25,'вспомогательные данные'!$C$24))</f>
        <v>нормальный</v>
      </c>
      <c r="G10" s="65">
        <f>(18-ЦТО!AM9-ЦТО!AL9)/(18-ЦТО!AL9-ЦТО!AP9)</f>
        <v>1.2</v>
      </c>
      <c r="H10" s="66" t="str">
        <f>IF(G10&lt;0.51,'вспомогательные данные'!$C$19,IF(G10&lt;0.92,'вспомогательные данные'!$C$20, IF(G10&lt;2,'вспомогательные данные'!$C$21,'вспомогательные данные'!$C$22)))</f>
        <v>оптимальная работоспособность</v>
      </c>
      <c r="I10" s="61" t="str">
        <f>IF(OR(ЦТО!AT9=1,ЦТО!AU9=1,ЦТО!AV9=1,ЦТО!AX9=1),"Положительная",IF(OR(ЦТО!AY9=1,ЦТО!AZ9=1,ЦТО!BA9=1),"Отрицательная",IF(OR(ЦТО!AW9=1),"Инфантильная")))</f>
        <v>Инфантильная</v>
      </c>
    </row>
    <row r="11" spans="1:29">
      <c r="A11" s="62">
        <f>ЦТО!A10</f>
        <v>8</v>
      </c>
      <c r="B11" s="62" t="str">
        <f>ЦТО!B10</f>
        <v>З</v>
      </c>
      <c r="C11" s="67" t="str">
        <f>ЦТО!C10</f>
        <v>2 а</v>
      </c>
      <c r="D11" s="63">
        <f>ЦТО!D10</f>
        <v>0</v>
      </c>
      <c r="E11" s="68">
        <f>SUM(ЦТО!BB10:BI10)</f>
        <v>22</v>
      </c>
      <c r="F11" s="64" t="str">
        <f>IF(E11&lt;10,'вспомогательные данные'!$C$26,IF(E11&lt;19,'вспомогательные данные'!$C$25,'вспомогательные данные'!$C$24))</f>
        <v>отрицательный</v>
      </c>
      <c r="G11" s="65">
        <f>(18-ЦТО!AM10-ЦТО!AL10)/(18-ЦТО!AL10-ЦТО!AP10)</f>
        <v>1.2222222222222223</v>
      </c>
      <c r="H11" s="66" t="str">
        <f>IF(G11&lt;0.51,'вспомогательные данные'!$C$19,IF(G11&lt;0.92,'вспомогательные данные'!$C$20, IF(G11&lt;2,'вспомогательные данные'!$C$21,'вспомогательные данные'!$C$22)))</f>
        <v>оптимальная работоспособность</v>
      </c>
      <c r="I11" s="61" t="str">
        <f>IF(OR(ЦТО!AT10=1,ЦТО!AU10=1,ЦТО!AV10=1,ЦТО!AX10=1),"Положительная",IF(OR(ЦТО!AY10=1,ЦТО!AZ10=1,ЦТО!BA10=1),"Отрицательная",IF(OR(ЦТО!AW10=1),"Инфантильная")))</f>
        <v>Положительная</v>
      </c>
    </row>
    <row r="12" spans="1:29">
      <c r="A12" s="62">
        <f>ЦТО!A11</f>
        <v>9</v>
      </c>
      <c r="B12" s="62" t="str">
        <f>ЦТО!B11</f>
        <v>И</v>
      </c>
      <c r="C12" s="67" t="str">
        <f>ЦТО!C11</f>
        <v>2 а</v>
      </c>
      <c r="D12" s="63">
        <f>ЦТО!D11</f>
        <v>0</v>
      </c>
      <c r="E12" s="68">
        <f>SUM(ЦТО!BB11:BI11)</f>
        <v>16</v>
      </c>
      <c r="F12" s="64" t="str">
        <f>IF(E12&lt;10,'вспомогательные данные'!$C$26,IF(E12&lt;19,'вспомогательные данные'!$C$25,'вспомогательные данные'!$C$24))</f>
        <v>нормальный</v>
      </c>
      <c r="G12" s="65">
        <f>(18-ЦТО!AM11-ЦТО!AL11)/(18-ЦТО!AL11-ЦТО!AP11)</f>
        <v>0.93333333333333335</v>
      </c>
      <c r="H12" s="66" t="str">
        <f>IF(G12&lt;0.51,'вспомогательные данные'!$C$19,IF(G12&lt;0.92,'вспомогательные данные'!$C$20, IF(G12&lt;2,'вспомогательные данные'!$C$21,'вспомогательные данные'!$C$22)))</f>
        <v>оптимальная работоспособность</v>
      </c>
      <c r="I12" s="61" t="str">
        <f>IF(OR(ЦТО!AT11=1,ЦТО!AU11=1,ЦТО!AV11=1,ЦТО!AX11=1),"Положительная",IF(OR(ЦТО!AY11=1,ЦТО!AZ11=1,ЦТО!BA11=1),"Отрицательная",IF(OR(ЦТО!AW11=1),"Инфантильная")))</f>
        <v>Положительная</v>
      </c>
    </row>
    <row r="13" spans="1:29">
      <c r="A13" s="62">
        <f>ЦТО!A12</f>
        <v>10</v>
      </c>
      <c r="B13" s="62" t="str">
        <f>ЦТО!B12</f>
        <v>К</v>
      </c>
      <c r="C13" s="67" t="str">
        <f>ЦТО!C12</f>
        <v>2 а</v>
      </c>
      <c r="D13" s="63">
        <f>ЦТО!D12</f>
        <v>0</v>
      </c>
      <c r="E13" s="68">
        <f>SUM(ЦТО!BB12:BI12)</f>
        <v>18</v>
      </c>
      <c r="F13" s="64" t="str">
        <f>IF(E13&lt;10,'вспомогательные данные'!$C$26,IF(E13&lt;19,'вспомогательные данные'!$C$25,'вспомогательные данные'!$C$24))</f>
        <v>нормальный</v>
      </c>
      <c r="G13" s="65">
        <f>(18-ЦТО!AM12-ЦТО!AL12)/(18-ЦТО!AL12-ЦТО!AP12)</f>
        <v>0.91666666666666663</v>
      </c>
      <c r="H13" s="66" t="str">
        <f>IF(G13&lt;0.51,'вспомогательные данные'!$C$19,IF(G13&lt;0.92,'вспомогательные данные'!$C$20, IF(G13&lt;2,'вспомогательные данные'!$C$21,'вспомогательные данные'!$C$22)))</f>
        <v>усталость</v>
      </c>
      <c r="I13" s="61" t="str">
        <f>IF(OR(ЦТО!AT12=1,ЦТО!AU12=1,ЦТО!AV12=1,ЦТО!AX12=1),"Положительная",IF(OR(ЦТО!AY12=1,ЦТО!AZ12=1,ЦТО!BA12=1),"Отрицательная",IF(OR(ЦТО!AW12=1),"Инфантильная")))</f>
        <v>Положительная</v>
      </c>
    </row>
    <row r="14" spans="1:29">
      <c r="A14" s="62">
        <f>ЦТО!A13</f>
        <v>11</v>
      </c>
      <c r="B14" s="62" t="str">
        <f>ЦТО!B13</f>
        <v>Л</v>
      </c>
      <c r="C14" s="67" t="str">
        <f>ЦТО!C13</f>
        <v>2 а</v>
      </c>
      <c r="D14" s="63">
        <f>ЦТО!D13</f>
        <v>0</v>
      </c>
      <c r="E14" s="68">
        <f>SUM(ЦТО!BB13:BI13)</f>
        <v>24</v>
      </c>
      <c r="F14" s="64" t="str">
        <f>IF(E14&lt;10,'вспомогательные данные'!$C$26,IF(E14&lt;19,'вспомогательные данные'!$C$25,'вспомогательные данные'!$C$24))</f>
        <v>отрицательный</v>
      </c>
      <c r="G14" s="65">
        <f>(18-ЦТО!AM13-ЦТО!AL13)/(18-ЦТО!AL13-ЦТО!AP13)</f>
        <v>0.6428571428571429</v>
      </c>
      <c r="H14" s="66" t="str">
        <f>IF(G14&lt;0.51,'вспомогательные данные'!$C$19,IF(G14&lt;0.92,'вспомогательные данные'!$C$20, IF(G14&lt;2,'вспомогательные данные'!$C$21,'вспомогательные данные'!$C$22)))</f>
        <v>усталость</v>
      </c>
      <c r="I14" s="61" t="str">
        <f>IF(OR(ЦТО!AT13=1,ЦТО!AU13=1,ЦТО!AV13=1,ЦТО!AX13=1),"Положительная",IF(OR(ЦТО!AY13=1,ЦТО!AZ13=1,ЦТО!BA13=1),"Отрицательная",IF(OR(ЦТО!AW13=1),"Инфантильная")))</f>
        <v>Положительная</v>
      </c>
    </row>
    <row r="15" spans="1:29">
      <c r="A15" s="62">
        <f>ЦТО!A14</f>
        <v>12</v>
      </c>
      <c r="B15" s="62" t="str">
        <f>ЦТО!B14</f>
        <v>М</v>
      </c>
      <c r="C15" s="67" t="str">
        <f>ЦТО!C14</f>
        <v>2 а</v>
      </c>
      <c r="D15" s="63">
        <f>ЦТО!D14</f>
        <v>0</v>
      </c>
      <c r="E15" s="68">
        <f>SUM(ЦТО!BB14:BI14)</f>
        <v>22</v>
      </c>
      <c r="F15" s="64" t="str">
        <f>IF(E15&lt;10,'вспомогательные данные'!$C$26,IF(E15&lt;19,'вспомогательные данные'!$C$25,'вспомогательные данные'!$C$24))</f>
        <v>отрицательный</v>
      </c>
      <c r="G15" s="65">
        <f>(18-ЦТО!AM14-ЦТО!AL14)/(18-ЦТО!AL14-ЦТО!AP14)</f>
        <v>1.8</v>
      </c>
      <c r="H15" s="66" t="str">
        <f>IF(G15&lt;0.51,'вспомогательные данные'!$C$19,IF(G15&lt;0.92,'вспомогательные данные'!$C$20, IF(G15&lt;2,'вспомогательные данные'!$C$21,'вспомогательные данные'!$C$22)))</f>
        <v>оптимальная работоспособность</v>
      </c>
      <c r="I15" s="61" t="str">
        <f>IF(OR(ЦТО!AT14=1,ЦТО!AU14=1,ЦТО!AV14=1,ЦТО!AX14=1),"Положительная",IF(OR(ЦТО!AY14=1,ЦТО!AZ14=1,ЦТО!BA14=1),"Отрицательная",IF(OR(ЦТО!AW14=1),"Инфантильная")))</f>
        <v>Отрицательная</v>
      </c>
    </row>
    <row r="16" spans="1:29">
      <c r="A16" s="62">
        <f>ЦТО!A15</f>
        <v>13</v>
      </c>
      <c r="B16" s="62" t="str">
        <f>ЦТО!B15</f>
        <v>Н</v>
      </c>
      <c r="C16" s="67" t="str">
        <f>ЦТО!C15</f>
        <v>2 а</v>
      </c>
      <c r="D16" s="63">
        <f>ЦТО!D15</f>
        <v>0</v>
      </c>
      <c r="E16" s="68">
        <f>SUM(ЦТО!BB15:BI15)</f>
        <v>18</v>
      </c>
      <c r="F16" s="64" t="str">
        <f>IF(E16&lt;10,'вспомогательные данные'!$C$26,IF(E16&lt;19,'вспомогательные данные'!$C$25,'вспомогательные данные'!$C$24))</f>
        <v>нормальный</v>
      </c>
      <c r="G16" s="65">
        <f>(18-ЦТО!AM15-ЦТО!AL15)/(18-ЦТО!AL15-ЦТО!AP15)</f>
        <v>0.84615384615384615</v>
      </c>
      <c r="H16" s="66" t="str">
        <f>IF(G16&lt;0.51,'вспомогательные данные'!$C$19,IF(G16&lt;0.92,'вспомогательные данные'!$C$20, IF(G16&lt;2,'вспомогательные данные'!$C$21,'вспомогательные данные'!$C$22)))</f>
        <v>усталость</v>
      </c>
      <c r="I16" s="61" t="str">
        <f>IF(OR(ЦТО!AT15=1,ЦТО!AU15=1,ЦТО!AV15=1,ЦТО!AX15=1),"Положительная",IF(OR(ЦТО!AY15=1,ЦТО!AZ15=1,ЦТО!BA15=1),"Отрицательная",IF(OR(ЦТО!AW15=1),"Инфантильная")))</f>
        <v>Положительная</v>
      </c>
    </row>
    <row r="17" spans="1:9">
      <c r="A17" s="62">
        <f>ЦТО!A16</f>
        <v>14</v>
      </c>
      <c r="B17" s="62" t="str">
        <f>ЦТО!B16</f>
        <v>О</v>
      </c>
      <c r="C17" s="67" t="str">
        <f>ЦТО!C16</f>
        <v>2 а</v>
      </c>
      <c r="D17" s="63">
        <f>ЦТО!D16</f>
        <v>0</v>
      </c>
      <c r="E17" s="68">
        <f>SUM(ЦТО!BB16:BI16)</f>
        <v>16</v>
      </c>
      <c r="F17" s="64" t="str">
        <f>IF(E17&lt;10,'вспомогательные данные'!$C$26,IF(E17&lt;19,'вспомогательные данные'!$C$25,'вспомогательные данные'!$C$24))</f>
        <v>нормальный</v>
      </c>
      <c r="G17" s="65">
        <f>(18-ЦТО!AM16-ЦТО!AL16)/(18-ЦТО!AL16-ЦТО!AP16)</f>
        <v>0.8666666666666667</v>
      </c>
      <c r="H17" s="66" t="str">
        <f>IF(G17&lt;0.51,'вспомогательные данные'!$C$19,IF(G17&lt;0.92,'вспомогательные данные'!$C$20, IF(G17&lt;2,'вспомогательные данные'!$C$21,'вспомогательные данные'!$C$22)))</f>
        <v>усталость</v>
      </c>
      <c r="I17" s="61" t="str">
        <f>IF(OR(ЦТО!AT16=1,ЦТО!AU16=1,ЦТО!AV16=1,ЦТО!AX16=1),"Положительная",IF(OR(ЦТО!AY16=1,ЦТО!AZ16=1,ЦТО!BA16=1),"Отрицательная",IF(OR(ЦТО!AW16=1),"Инфантильная")))</f>
        <v>Положительная</v>
      </c>
    </row>
    <row r="18" spans="1:9">
      <c r="A18" s="62">
        <f>ЦТО!A17</f>
        <v>15</v>
      </c>
      <c r="B18" s="62" t="str">
        <f>ЦТО!B17</f>
        <v>П</v>
      </c>
      <c r="C18" s="67" t="str">
        <f>ЦТО!C17</f>
        <v>2 а</v>
      </c>
      <c r="D18" s="63">
        <f>ЦТО!D17</f>
        <v>0</v>
      </c>
      <c r="E18" s="68">
        <f>SUM(ЦТО!BB17:BI17)</f>
        <v>14</v>
      </c>
      <c r="F18" s="64" t="str">
        <f>IF(E18&lt;10,'вспомогательные данные'!$C$26,IF(E18&lt;19,'вспомогательные данные'!$C$25,'вспомогательные данные'!$C$24))</f>
        <v>нормальный</v>
      </c>
      <c r="G18" s="65">
        <f>(18-ЦТО!AM17-ЦТО!AL17)/(18-ЦТО!AL17-ЦТО!AP17)</f>
        <v>1.2727272727272727</v>
      </c>
      <c r="H18" s="66" t="str">
        <f>IF(G18&lt;0.51,'вспомогательные данные'!$C$19,IF(G18&lt;0.92,'вспомогательные данные'!$C$20, IF(G18&lt;2,'вспомогательные данные'!$C$21,'вспомогательные данные'!$C$22)))</f>
        <v>оптимальная работоспособность</v>
      </c>
      <c r="I18" s="61" t="str">
        <f>IF(OR(ЦТО!AT17=1,ЦТО!AU17=1,ЦТО!AV17=1,ЦТО!AX17=1),"Положительная",IF(OR(ЦТО!AY17=1,ЦТО!AZ17=1,ЦТО!BA17=1),"Отрицательная",IF(OR(ЦТО!AW17=1),"Инфантильная")))</f>
        <v>Положительная</v>
      </c>
    </row>
    <row r="19" spans="1:9">
      <c r="A19" s="62">
        <f>ЦТО!A18</f>
        <v>16</v>
      </c>
      <c r="B19" s="62" t="str">
        <f>ЦТО!B18</f>
        <v>Р</v>
      </c>
      <c r="C19" s="67" t="str">
        <f>ЦТО!C18</f>
        <v>2 а</v>
      </c>
      <c r="D19" s="63">
        <f>ЦТО!D18</f>
        <v>0</v>
      </c>
      <c r="E19" s="68">
        <f>SUM(ЦТО!BB18:BI18)</f>
        <v>12</v>
      </c>
      <c r="F19" s="64" t="str">
        <f>IF(E19&lt;10,'вспомогательные данные'!$C$26,IF(E19&lt;19,'вспомогательные данные'!$C$25,'вспомогательные данные'!$C$24))</f>
        <v>нормальный</v>
      </c>
      <c r="G19" s="65">
        <f>(18-ЦТО!AM18-ЦТО!AL18)/(18-ЦТО!AL18-ЦТО!AP18)</f>
        <v>1.0769230769230769</v>
      </c>
      <c r="H19" s="66" t="str">
        <f>IF(G19&lt;0.51,'вспомогательные данные'!$C$19,IF(G19&lt;0.92,'вспомогательные данные'!$C$20, IF(G19&lt;2,'вспомогательные данные'!$C$21,'вспомогательные данные'!$C$22)))</f>
        <v>оптимальная работоспособность</v>
      </c>
      <c r="I19" s="61" t="str">
        <f>IF(OR(ЦТО!AT18=1,ЦТО!AU18=1,ЦТО!AV18=1,ЦТО!AX18=1),"Положительная",IF(OR(ЦТО!AY18=1,ЦТО!AZ18=1,ЦТО!BA18=1),"Отрицательная",IF(OR(ЦТО!AW18=1),"Инфантильная")))</f>
        <v>Положительная</v>
      </c>
    </row>
    <row r="20" spans="1:9">
      <c r="A20" s="62">
        <f>ЦТО!A19</f>
        <v>17</v>
      </c>
      <c r="B20" s="62" t="str">
        <f>ЦТО!B19</f>
        <v>С</v>
      </c>
      <c r="C20" s="67" t="str">
        <f>ЦТО!C19</f>
        <v>2 а</v>
      </c>
      <c r="D20" s="63">
        <f>ЦТО!D19</f>
        <v>0</v>
      </c>
      <c r="E20" s="68">
        <f>SUM(ЦТО!BB19:BI19)</f>
        <v>18</v>
      </c>
      <c r="F20" s="64" t="str">
        <f>IF(E20&lt;10,'вспомогательные данные'!$C$26,IF(E20&lt;19,'вспомогательные данные'!$C$25,'вспомогательные данные'!$C$24))</f>
        <v>нормальный</v>
      </c>
      <c r="G20" s="65">
        <f>(18-ЦТО!AM19-ЦТО!AL19)/(18-ЦТО!AL19-ЦТО!AP19)</f>
        <v>1.0769230769230769</v>
      </c>
      <c r="H20" s="66" t="str">
        <f>IF(G20&lt;0.51,'вспомогательные данные'!$C$19,IF(G20&lt;0.92,'вспомогательные данные'!$C$20, IF(G20&lt;2,'вспомогательные данные'!$C$21,'вспомогательные данные'!$C$22)))</f>
        <v>оптимальная работоспособность</v>
      </c>
      <c r="I20" s="61" t="str">
        <f>IF(OR(ЦТО!AT19=1,ЦТО!AU19=1,ЦТО!AV19=1,ЦТО!AX19=1),"Положительная",IF(OR(ЦТО!AY19=1,ЦТО!AZ19=1,ЦТО!BA19=1),"Отрицательная",IF(OR(ЦТО!AW19=1),"Инфантильная")))</f>
        <v>Положительная</v>
      </c>
    </row>
    <row r="21" spans="1:9">
      <c r="A21" s="62">
        <f>ЦТО!A20</f>
        <v>18</v>
      </c>
      <c r="B21" s="62" t="str">
        <f>ЦТО!B20</f>
        <v>Т</v>
      </c>
      <c r="C21" s="67" t="str">
        <f>ЦТО!C20</f>
        <v>2 а</v>
      </c>
      <c r="D21" s="63">
        <f>ЦТО!D20</f>
        <v>0</v>
      </c>
      <c r="E21" s="68">
        <f>SUM(ЦТО!BB20:BI20)</f>
        <v>16</v>
      </c>
      <c r="F21" s="64" t="str">
        <f>IF(E21&lt;10,'вспомогательные данные'!$C$26,IF(E21&lt;19,'вспомогательные данные'!$C$25,'вспомогательные данные'!$C$24))</f>
        <v>нормальный</v>
      </c>
      <c r="G21" s="65">
        <f>(18-ЦТО!AM20-ЦТО!AL20)/(18-ЦТО!AL20-ЦТО!AP20)</f>
        <v>1.4444444444444444</v>
      </c>
      <c r="H21" s="66" t="str">
        <f>IF(G21&lt;0.51,'вспомогательные данные'!$C$19,IF(G21&lt;0.92,'вспомогательные данные'!$C$20, IF(G21&lt;2,'вспомогательные данные'!$C$21,'вспомогательные данные'!$C$22)))</f>
        <v>оптимальная работоспособность</v>
      </c>
      <c r="I21" s="61" t="str">
        <f>IF(OR(ЦТО!AT20=1,ЦТО!AU20=1,ЦТО!AV20=1,ЦТО!AX20=1),"Положительная",IF(OR(ЦТО!AY20=1,ЦТО!AZ20=1,ЦТО!BA20=1),"Отрицательная",IF(OR(ЦТО!AW20=1),"Инфантильная")))</f>
        <v>Положительная</v>
      </c>
    </row>
    <row r="22" spans="1:9">
      <c r="A22" s="62">
        <f>ЦТО!A21</f>
        <v>19</v>
      </c>
      <c r="B22" s="62" t="str">
        <f>ЦТО!B21</f>
        <v>У</v>
      </c>
      <c r="C22" s="67" t="str">
        <f>ЦТО!C21</f>
        <v>2 а</v>
      </c>
      <c r="D22" s="63">
        <f>ЦТО!D21</f>
        <v>0</v>
      </c>
      <c r="E22" s="68">
        <f>SUM(ЦТО!BB21:BI21)</f>
        <v>18</v>
      </c>
      <c r="F22" s="64" t="str">
        <f>IF(E22&lt;10,'вспомогательные данные'!$C$26,IF(E22&lt;19,'вспомогательные данные'!$C$25,'вспомогательные данные'!$C$24))</f>
        <v>нормальный</v>
      </c>
      <c r="G22" s="65">
        <f>(18-ЦТО!AM21-ЦТО!AL21)/(18-ЦТО!AL21-ЦТО!AP21)</f>
        <v>0.66666666666666663</v>
      </c>
      <c r="H22" s="66" t="str">
        <f>IF(G22&lt;0.51,'вспомогательные данные'!$C$19,IF(G22&lt;0.92,'вспомогательные данные'!$C$20, IF(G22&lt;2,'вспомогательные данные'!$C$21,'вспомогательные данные'!$C$22)))</f>
        <v>усталость</v>
      </c>
      <c r="I22" s="61" t="str">
        <f>IF(OR(ЦТО!AT21=1,ЦТО!AU21=1,ЦТО!AV21=1,ЦТО!AX21=1),"Положительная",IF(OR(ЦТО!AY21=1,ЦТО!AZ21=1,ЦТО!BA21=1),"Отрицательная",IF(OR(ЦТО!AW21=1),"Инфантильная")))</f>
        <v>Положительная</v>
      </c>
    </row>
    <row r="23" spans="1:9">
      <c r="A23" s="62">
        <f>ЦТО!A22</f>
        <v>20</v>
      </c>
      <c r="B23" s="62" t="str">
        <f>ЦТО!B22</f>
        <v>Ф</v>
      </c>
      <c r="C23" s="67" t="str">
        <f>ЦТО!C22</f>
        <v>2 в</v>
      </c>
      <c r="D23" s="63">
        <f>ЦТО!D22</f>
        <v>0</v>
      </c>
      <c r="E23" s="68">
        <f>SUM(ЦТО!BB22:BI22)</f>
        <v>24</v>
      </c>
      <c r="F23" s="64" t="str">
        <f>IF(E23&lt;10,'вспомогательные данные'!$C$26,IF(E23&lt;19,'вспомогательные данные'!$C$25,'вспомогательные данные'!$C$24))</f>
        <v>отрицательный</v>
      </c>
      <c r="G23" s="65">
        <f>(18-ЦТО!AM22-ЦТО!AL22)/(18-ЦТО!AL22-ЦТО!AP22)</f>
        <v>0.83333333333333337</v>
      </c>
      <c r="H23" s="66" t="str">
        <f>IF(G23&lt;0.51,'вспомогательные данные'!$C$19,IF(G23&lt;0.92,'вспомогательные данные'!$C$20, IF(G23&lt;2,'вспомогательные данные'!$C$21,'вспомогательные данные'!$C$22)))</f>
        <v>усталость</v>
      </c>
      <c r="I23" s="61" t="str">
        <f>IF(OR(ЦТО!AT22=1,ЦТО!AU22=1,ЦТО!AV22=1,ЦТО!AX22=1),"Положительная",IF(OR(ЦТО!AY22=1,ЦТО!AZ22=1,ЦТО!BA22=1),"Отрицательная",IF(OR(ЦТО!AW22=1),"Инфантильная")))</f>
        <v>Положительная</v>
      </c>
    </row>
    <row r="24" spans="1:9">
      <c r="A24" s="62">
        <f>ЦТО!A23</f>
        <v>21</v>
      </c>
      <c r="B24" s="62" t="str">
        <f>ЦТО!B23</f>
        <v>Х</v>
      </c>
      <c r="C24" s="67" t="str">
        <f>ЦТО!C23</f>
        <v>2 в</v>
      </c>
      <c r="D24" s="63">
        <f>ЦТО!D23</f>
        <v>0</v>
      </c>
      <c r="E24" s="68">
        <f>SUM(ЦТО!BB23:BI23)</f>
        <v>28</v>
      </c>
      <c r="F24" s="64" t="str">
        <f>IF(E24&lt;10,'вспомогательные данные'!$C$26,IF(E24&lt;19,'вспомогательные данные'!$C$25,'вспомогательные данные'!$C$24))</f>
        <v>отрицательный</v>
      </c>
      <c r="G24" s="65">
        <f>(18-ЦТО!AM23-ЦТО!AL23)/(18-ЦТО!AL23-ЦТО!AP23)</f>
        <v>0.75</v>
      </c>
      <c r="H24" s="66" t="str">
        <f>IF(G24&lt;0.51,'вспомогательные данные'!$C$19,IF(G24&lt;0.92,'вспомогательные данные'!$C$20, IF(G24&lt;2,'вспомогательные данные'!$C$21,'вспомогательные данные'!$C$22)))</f>
        <v>усталость</v>
      </c>
      <c r="I24" s="61" t="str">
        <f>IF(OR(ЦТО!AT23=1,ЦТО!AU23=1,ЦТО!AV23=1,ЦТО!AX23=1),"Положительная",IF(OR(ЦТО!AY23=1,ЦТО!AZ23=1,ЦТО!BA23=1),"Отрицательная",IF(OR(ЦТО!AW23=1),"Инфантильная")))</f>
        <v>Отрицательная</v>
      </c>
    </row>
    <row r="25" spans="1:9">
      <c r="A25" s="62">
        <f>ЦТО!A24</f>
        <v>22</v>
      </c>
      <c r="B25" s="62" t="str">
        <f>ЦТО!B24</f>
        <v>Ц</v>
      </c>
      <c r="C25" s="67" t="str">
        <f>ЦТО!C24</f>
        <v>2 в</v>
      </c>
      <c r="D25" s="63">
        <f>ЦТО!D24</f>
        <v>0</v>
      </c>
      <c r="E25" s="68">
        <f>SUM(ЦТО!BB24:BI24)</f>
        <v>20</v>
      </c>
      <c r="F25" s="64" t="str">
        <f>IF(E25&lt;10,'вспомогательные данные'!$C$26,IF(E25&lt;19,'вспомогательные данные'!$C$25,'вспомогательные данные'!$C$24))</f>
        <v>отрицательный</v>
      </c>
      <c r="G25" s="65">
        <f>(18-ЦТО!AM24-ЦТО!AL24)/(18-ЦТО!AL24-ЦТО!AP24)</f>
        <v>1.25</v>
      </c>
      <c r="H25" s="66" t="str">
        <f>IF(G25&lt;0.51,'вспомогательные данные'!$C$19,IF(G25&lt;0.92,'вспомогательные данные'!$C$20, IF(G25&lt;2,'вспомогательные данные'!$C$21,'вспомогательные данные'!$C$22)))</f>
        <v>оптимальная работоспособность</v>
      </c>
      <c r="I25" s="61" t="str">
        <f>IF(OR(ЦТО!AT24=1,ЦТО!AU24=1,ЦТО!AV24=1,ЦТО!AX24=1),"Положительная",IF(OR(ЦТО!AY24=1,ЦТО!AZ24=1,ЦТО!BA24=1),"Отрицательная",IF(OR(ЦТО!AW24=1),"Инфантильная")))</f>
        <v>Положительная</v>
      </c>
    </row>
    <row r="26" spans="1:9">
      <c r="A26" s="62">
        <f>ЦТО!A25</f>
        <v>23</v>
      </c>
      <c r="B26" s="62" t="str">
        <f>ЦТО!B25</f>
        <v>Ч</v>
      </c>
      <c r="C26" s="67" t="str">
        <f>ЦТО!C25</f>
        <v>2 в</v>
      </c>
      <c r="D26" s="63">
        <f>ЦТО!D25</f>
        <v>0</v>
      </c>
      <c r="E26" s="68">
        <f>SUM(ЦТО!BB25:BI25)</f>
        <v>14</v>
      </c>
      <c r="F26" s="64" t="str">
        <f>IF(E26&lt;10,'вспомогательные данные'!$C$26,IF(E26&lt;19,'вспомогательные данные'!$C$25,'вспомогательные данные'!$C$24))</f>
        <v>нормальный</v>
      </c>
      <c r="G26" s="65">
        <f>(18-ЦТО!AM25-ЦТО!AL25)/(18-ЦТО!AL25-ЦТО!AP25)</f>
        <v>0.6428571428571429</v>
      </c>
      <c r="H26" s="66" t="str">
        <f>IF(G26&lt;0.51,'вспомогательные данные'!$C$19,IF(G26&lt;0.92,'вспомогательные данные'!$C$20, IF(G26&lt;2,'вспомогательные данные'!$C$21,'вспомогательные данные'!$C$22)))</f>
        <v>усталость</v>
      </c>
      <c r="I26" s="61" t="str">
        <f>IF(OR(ЦТО!AT25=1,ЦТО!AU25=1,ЦТО!AV25=1,ЦТО!AX25=1),"Положительная",IF(OR(ЦТО!AY25=1,ЦТО!AZ25=1,ЦТО!BA25=1),"Отрицательная",IF(OR(ЦТО!AW25=1),"Инфантильная")))</f>
        <v>Положительная</v>
      </c>
    </row>
    <row r="27" spans="1:9">
      <c r="A27" s="62">
        <f>ЦТО!A26</f>
        <v>24</v>
      </c>
      <c r="B27" s="62" t="str">
        <f>ЦТО!B26</f>
        <v>Ш</v>
      </c>
      <c r="C27" s="67" t="str">
        <f>ЦТО!C26</f>
        <v>2 в</v>
      </c>
      <c r="D27" s="63">
        <f>ЦТО!D26</f>
        <v>0</v>
      </c>
      <c r="E27" s="68">
        <f>SUM(ЦТО!BB26:BI26)</f>
        <v>12</v>
      </c>
      <c r="F27" s="64" t="str">
        <f>IF(E27&lt;10,'вспомогательные данные'!$C$26,IF(E27&lt;19,'вспомогательные данные'!$C$25,'вспомогательные данные'!$C$24))</f>
        <v>нормальный</v>
      </c>
      <c r="G27" s="65">
        <f>(18-ЦТО!AM26-ЦТО!AL26)/(18-ЦТО!AL26-ЦТО!AP26)</f>
        <v>0.93333333333333335</v>
      </c>
      <c r="H27" s="66" t="str">
        <f>IF(G27&lt;0.51,'вспомогательные данные'!$C$19,IF(G27&lt;0.92,'вспомогательные данные'!$C$20, IF(G27&lt;2,'вспомогательные данные'!$C$21,'вспомогательные данные'!$C$22)))</f>
        <v>оптимальная работоспособность</v>
      </c>
      <c r="I27" s="61" t="str">
        <f>IF(OR(ЦТО!AT26=1,ЦТО!AU26=1,ЦТО!AV26=1,ЦТО!AX26=1),"Положительная",IF(OR(ЦТО!AY26=1,ЦТО!AZ26=1,ЦТО!BA26=1),"Отрицательная",IF(OR(ЦТО!AW26=1),"Инфантильная")))</f>
        <v>Положительная</v>
      </c>
    </row>
    <row r="28" spans="1:9" s="78" customFormat="1">
      <c r="A28" s="70">
        <f>ЦТО!A27</f>
        <v>25</v>
      </c>
      <c r="B28" s="70" t="str">
        <f>ЦТО!B27</f>
        <v>Щ</v>
      </c>
      <c r="C28" s="71" t="str">
        <f>ЦТО!C27</f>
        <v>2 в</v>
      </c>
      <c r="D28" s="72">
        <f>ЦТО!D27</f>
        <v>0</v>
      </c>
      <c r="E28" s="77">
        <f>SUM(ЦТО!BB27:BI27)</f>
        <v>0</v>
      </c>
      <c r="F28" s="73" t="str">
        <f>IF(E28&lt;10,'вспомогательные данные'!$C$26,IF(E28&lt;19,'вспомогательные данные'!$C$25,'вспомогательные данные'!$C$24))</f>
        <v>положительный</v>
      </c>
      <c r="G28" s="74" t="e">
        <f>(18-ЦТО!AM27-ЦТО!AL27)/(18-ЦТО!AL27-ЦТО!AP27)</f>
        <v>#VALUE!</v>
      </c>
      <c r="H28" s="75" t="e">
        <f>IF(G28&lt;0.51,'вспомогательные данные'!$C$19,IF(G28&lt;0.92,'вспомогательные данные'!$C$20, IF(G28&lt;2,'вспомогательные данные'!$C$21,'вспомогательные данные'!$C$22)))</f>
        <v>#VALUE!</v>
      </c>
      <c r="I28" s="76" t="b">
        <f>IF(OR(ЦТО!AT27=1,ЦТО!AU27=1,ЦТО!AV27=1,ЦТО!AX27=1),"Положительная",IF(OR(ЦТО!AY27=1,ЦТО!AZ27=1,ЦТО!BA27=1),"Отрицательная",IF(OR(ЦТО!AW27=1),"Инфантильная")))</f>
        <v>0</v>
      </c>
    </row>
    <row r="29" spans="1:9">
      <c r="A29" s="62" t="e">
        <f>ЦТО!#REF!</f>
        <v>#REF!</v>
      </c>
      <c r="B29" s="62" t="e">
        <f>ЦТО!#REF!</f>
        <v>#REF!</v>
      </c>
      <c r="C29" s="67" t="e">
        <f>ЦТО!#REF!</f>
        <v>#REF!</v>
      </c>
      <c r="D29" s="63" t="e">
        <f>ЦТО!#REF!</f>
        <v>#REF!</v>
      </c>
      <c r="E29" s="68" t="e">
        <f>SUM(ЦТО!#REF!)</f>
        <v>#REF!</v>
      </c>
      <c r="F29" s="64" t="e">
        <f>IF(E29&lt;10,'вспомогательные данные'!$C$26,IF(E29&lt;19,'вспомогательные данные'!$C$25,'вспомогательные данные'!$C$24))</f>
        <v>#REF!</v>
      </c>
      <c r="G29" s="65" t="e">
        <f>(18-ЦТО!#REF!-ЦТО!#REF!)/(18-ЦТО!#REF!-ЦТО!#REF!)</f>
        <v>#REF!</v>
      </c>
      <c r="H29" s="66" t="e">
        <f>IF(G29&lt;0.51,'вспомогательные данные'!$C$19,IF(G29&lt;0.92,'вспомогательные данные'!$C$20, IF(G29&lt;2,'вспомогательные данные'!$C$21,'вспомогательные данные'!$C$22)))</f>
        <v>#REF!</v>
      </c>
      <c r="I2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0" spans="1:9">
      <c r="A30" s="62" t="e">
        <f>ЦТО!#REF!</f>
        <v>#REF!</v>
      </c>
      <c r="B30" s="62" t="e">
        <f>ЦТО!#REF!</f>
        <v>#REF!</v>
      </c>
      <c r="C30" s="67" t="e">
        <f>ЦТО!#REF!</f>
        <v>#REF!</v>
      </c>
      <c r="D30" s="63" t="e">
        <f>ЦТО!#REF!</f>
        <v>#REF!</v>
      </c>
      <c r="E30" s="68" t="e">
        <f>SUM(ЦТО!#REF!)</f>
        <v>#REF!</v>
      </c>
      <c r="F30" s="64" t="e">
        <f>IF(E30&lt;10,'вспомогательные данные'!$C$26,IF(E30&lt;19,'вспомогательные данные'!$C$25,'вспомогательные данные'!$C$24))</f>
        <v>#REF!</v>
      </c>
      <c r="G30" s="65" t="e">
        <f>(18-ЦТО!#REF!-ЦТО!#REF!)/(18-ЦТО!#REF!-ЦТО!#REF!)</f>
        <v>#REF!</v>
      </c>
      <c r="H30" s="66" t="e">
        <f>IF(G30&lt;0.51,'вспомогательные данные'!$C$19,IF(G30&lt;0.92,'вспомогательные данные'!$C$20, IF(G30&lt;2,'вспомогательные данные'!$C$21,'вспомогательные данные'!$C$22)))</f>
        <v>#REF!</v>
      </c>
      <c r="I3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1" spans="1:9">
      <c r="A31" s="62" t="e">
        <f>ЦТО!#REF!</f>
        <v>#REF!</v>
      </c>
      <c r="B31" s="62" t="e">
        <f>ЦТО!#REF!</f>
        <v>#REF!</v>
      </c>
      <c r="C31" s="67" t="e">
        <f>ЦТО!#REF!</f>
        <v>#REF!</v>
      </c>
      <c r="D31" s="63" t="e">
        <f>ЦТО!#REF!</f>
        <v>#REF!</v>
      </c>
      <c r="E31" s="68" t="e">
        <f>SUM(ЦТО!#REF!)</f>
        <v>#REF!</v>
      </c>
      <c r="F31" s="64" t="e">
        <f>IF(E31&lt;10,'вспомогательные данные'!$C$26,IF(E31&lt;19,'вспомогательные данные'!$C$25,'вспомогательные данные'!$C$24))</f>
        <v>#REF!</v>
      </c>
      <c r="G31" s="65" t="e">
        <f>(18-ЦТО!#REF!-ЦТО!#REF!)/(18-ЦТО!#REF!-ЦТО!#REF!)</f>
        <v>#REF!</v>
      </c>
      <c r="H31" s="66" t="e">
        <f>IF(G31&lt;0.51,'вспомогательные данные'!$C$19,IF(G31&lt;0.92,'вспомогательные данные'!$C$20, IF(G31&lt;2,'вспомогательные данные'!$C$21,'вспомогательные данные'!$C$22)))</f>
        <v>#REF!</v>
      </c>
      <c r="I3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2" spans="1:9">
      <c r="A32" s="62" t="e">
        <f>ЦТО!#REF!</f>
        <v>#REF!</v>
      </c>
      <c r="B32" s="62" t="e">
        <f>ЦТО!#REF!</f>
        <v>#REF!</v>
      </c>
      <c r="C32" s="67" t="e">
        <f>ЦТО!#REF!</f>
        <v>#REF!</v>
      </c>
      <c r="D32" s="63" t="e">
        <f>ЦТО!#REF!</f>
        <v>#REF!</v>
      </c>
      <c r="E32" s="68" t="e">
        <f>SUM(ЦТО!#REF!)</f>
        <v>#REF!</v>
      </c>
      <c r="F32" s="64" t="e">
        <f>IF(E32&lt;10,'вспомогательные данные'!$C$26,IF(E32&lt;19,'вспомогательные данные'!$C$25,'вспомогательные данные'!$C$24))</f>
        <v>#REF!</v>
      </c>
      <c r="G32" s="65" t="e">
        <f>(18-ЦТО!#REF!-ЦТО!#REF!)/(18-ЦТО!#REF!-ЦТО!#REF!)</f>
        <v>#REF!</v>
      </c>
      <c r="H32" s="66" t="e">
        <f>IF(G32&lt;0.51,'вспомогательные данные'!$C$19,IF(G32&lt;0.92,'вспомогательные данные'!$C$20, IF(G32&lt;2,'вспомогательные данные'!$C$21,'вспомогательные данные'!$C$22)))</f>
        <v>#REF!</v>
      </c>
      <c r="I3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3" spans="1:9" s="78" customFormat="1">
      <c r="A33" s="70" t="e">
        <f>ЦТО!#REF!</f>
        <v>#REF!</v>
      </c>
      <c r="B33" s="70" t="e">
        <f>ЦТО!#REF!</f>
        <v>#REF!</v>
      </c>
      <c r="C33" s="71" t="e">
        <f>ЦТО!#REF!</f>
        <v>#REF!</v>
      </c>
      <c r="D33" s="72" t="e">
        <f>ЦТО!#REF!</f>
        <v>#REF!</v>
      </c>
      <c r="E33" s="77" t="e">
        <f>SUM(ЦТО!#REF!)</f>
        <v>#REF!</v>
      </c>
      <c r="F33" s="73" t="e">
        <f>IF(E33&lt;10,'вспомогательные данные'!$C$26,IF(E33&lt;19,'вспомогательные данные'!$C$25,'вспомогательные данные'!$C$24))</f>
        <v>#REF!</v>
      </c>
      <c r="G33" s="74" t="e">
        <f>(18-ЦТО!#REF!-ЦТО!#REF!)/(18-ЦТО!#REF!-ЦТО!#REF!)</f>
        <v>#REF!</v>
      </c>
      <c r="H33" s="75" t="e">
        <f>IF(G33&lt;0.51,'вспомогательные данные'!$C$19,IF(G33&lt;0.92,'вспомогательные данные'!$C$20, IF(G33&lt;2,'вспомогательные данные'!$C$21,'вспомогательные данные'!$C$22)))</f>
        <v>#REF!</v>
      </c>
      <c r="I33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4" spans="1:9">
      <c r="A34" s="62" t="e">
        <f>ЦТО!#REF!</f>
        <v>#REF!</v>
      </c>
      <c r="B34" s="62" t="e">
        <f>ЦТО!#REF!</f>
        <v>#REF!</v>
      </c>
      <c r="C34" s="67" t="e">
        <f>ЦТО!#REF!</f>
        <v>#REF!</v>
      </c>
      <c r="D34" s="63" t="e">
        <f>ЦТО!#REF!</f>
        <v>#REF!</v>
      </c>
      <c r="E34" s="68" t="e">
        <f>SUM(ЦТО!#REF!)</f>
        <v>#REF!</v>
      </c>
      <c r="F34" s="64" t="e">
        <f>IF(E34&lt;10,'вспомогательные данные'!$C$26,IF(E34&lt;19,'вспомогательные данные'!$C$25,'вспомогательные данные'!$C$24))</f>
        <v>#REF!</v>
      </c>
      <c r="G34" s="65" t="e">
        <f>(18-ЦТО!#REF!-ЦТО!#REF!)/(18-ЦТО!#REF!-ЦТО!#REF!)</f>
        <v>#REF!</v>
      </c>
      <c r="H34" s="66" t="e">
        <f>IF(G34&lt;0.51,'вспомогательные данные'!$C$19,IF(G34&lt;0.92,'вспомогательные данные'!$C$20, IF(G34&lt;2,'вспомогательные данные'!$C$21,'вспомогательные данные'!$C$22)))</f>
        <v>#REF!</v>
      </c>
      <c r="I3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5" spans="1:9">
      <c r="A35" s="62" t="e">
        <f>ЦТО!#REF!</f>
        <v>#REF!</v>
      </c>
      <c r="B35" s="62" t="e">
        <f>ЦТО!#REF!</f>
        <v>#REF!</v>
      </c>
      <c r="C35" s="67" t="e">
        <f>ЦТО!#REF!</f>
        <v>#REF!</v>
      </c>
      <c r="D35" s="63" t="e">
        <f>ЦТО!#REF!</f>
        <v>#REF!</v>
      </c>
      <c r="E35" s="68" t="e">
        <f>SUM(ЦТО!#REF!)</f>
        <v>#REF!</v>
      </c>
      <c r="F35" s="64" t="e">
        <f>IF(E35&lt;10,'вспомогательные данные'!$C$26,IF(E35&lt;19,'вспомогательные данные'!$C$25,'вспомогательные данные'!$C$24))</f>
        <v>#REF!</v>
      </c>
      <c r="G35" s="65" t="e">
        <f>(18-ЦТО!#REF!-ЦТО!#REF!)/(18-ЦТО!#REF!-ЦТО!#REF!)</f>
        <v>#REF!</v>
      </c>
      <c r="H35" s="66" t="e">
        <f>IF(G35&lt;0.51,'вспомогательные данные'!$C$19,IF(G35&lt;0.92,'вспомогательные данные'!$C$20, IF(G35&lt;2,'вспомогательные данные'!$C$21,'вспомогательные данные'!$C$22)))</f>
        <v>#REF!</v>
      </c>
      <c r="I3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6" spans="1:9">
      <c r="A36" s="62" t="e">
        <f>ЦТО!#REF!</f>
        <v>#REF!</v>
      </c>
      <c r="B36" s="62" t="e">
        <f>ЦТО!#REF!</f>
        <v>#REF!</v>
      </c>
      <c r="C36" s="67" t="e">
        <f>ЦТО!#REF!</f>
        <v>#REF!</v>
      </c>
      <c r="D36" s="63" t="e">
        <f>ЦТО!#REF!</f>
        <v>#REF!</v>
      </c>
      <c r="E36" s="68" t="e">
        <f>SUM(ЦТО!#REF!)</f>
        <v>#REF!</v>
      </c>
      <c r="F36" s="64" t="e">
        <f>IF(E36&lt;10,'вспомогательные данные'!$C$26,IF(E36&lt;19,'вспомогательные данные'!$C$25,'вспомогательные данные'!$C$24))</f>
        <v>#REF!</v>
      </c>
      <c r="G36" s="65" t="e">
        <f>(18-ЦТО!#REF!-ЦТО!#REF!)/(18-ЦТО!#REF!-ЦТО!#REF!)</f>
        <v>#REF!</v>
      </c>
      <c r="H36" s="66" t="e">
        <f>IF(G36&lt;0.51,'вспомогательные данные'!$C$19,IF(G36&lt;0.92,'вспомогательные данные'!$C$20, IF(G36&lt;2,'вспомогательные данные'!$C$21,'вспомогательные данные'!$C$22)))</f>
        <v>#REF!</v>
      </c>
      <c r="I3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7" spans="1:9">
      <c r="A37" s="62" t="e">
        <f>ЦТО!#REF!</f>
        <v>#REF!</v>
      </c>
      <c r="B37" s="62" t="e">
        <f>ЦТО!#REF!</f>
        <v>#REF!</v>
      </c>
      <c r="C37" s="67" t="e">
        <f>ЦТО!#REF!</f>
        <v>#REF!</v>
      </c>
      <c r="D37" s="63" t="e">
        <f>ЦТО!#REF!</f>
        <v>#REF!</v>
      </c>
      <c r="E37" s="68" t="e">
        <f>SUM(ЦТО!#REF!)</f>
        <v>#REF!</v>
      </c>
      <c r="F37" s="64" t="e">
        <f>IF(E37&lt;10,'вспомогательные данные'!$C$26,IF(E37&lt;19,'вспомогательные данные'!$C$25,'вспомогательные данные'!$C$24))</f>
        <v>#REF!</v>
      </c>
      <c r="G37" s="65" t="e">
        <f>(18-ЦТО!#REF!-ЦТО!#REF!)/(18-ЦТО!#REF!-ЦТО!#REF!)</f>
        <v>#REF!</v>
      </c>
      <c r="H37" s="66" t="e">
        <f>IF(G37&lt;0.51,'вспомогательные данные'!$C$19,IF(G37&lt;0.92,'вспомогательные данные'!$C$20, IF(G37&lt;2,'вспомогательные данные'!$C$21,'вспомогательные данные'!$C$22)))</f>
        <v>#REF!</v>
      </c>
      <c r="I3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8" spans="1:9">
      <c r="A38" s="62" t="e">
        <f>ЦТО!#REF!</f>
        <v>#REF!</v>
      </c>
      <c r="B38" s="62" t="e">
        <f>ЦТО!#REF!</f>
        <v>#REF!</v>
      </c>
      <c r="C38" s="67" t="e">
        <f>ЦТО!#REF!</f>
        <v>#REF!</v>
      </c>
      <c r="D38" s="63" t="e">
        <f>ЦТО!#REF!</f>
        <v>#REF!</v>
      </c>
      <c r="E38" s="68" t="e">
        <f>SUM(ЦТО!#REF!)</f>
        <v>#REF!</v>
      </c>
      <c r="F38" s="64" t="e">
        <f>IF(E38&lt;10,'вспомогательные данные'!$C$26,IF(E38&lt;19,'вспомогательные данные'!$C$25,'вспомогательные данные'!$C$24))</f>
        <v>#REF!</v>
      </c>
      <c r="G38" s="65" t="e">
        <f>(18-ЦТО!#REF!-ЦТО!#REF!)/(18-ЦТО!#REF!-ЦТО!#REF!)</f>
        <v>#REF!</v>
      </c>
      <c r="H38" s="66" t="e">
        <f>IF(G38&lt;0.51,'вспомогательные данные'!$C$19,IF(G38&lt;0.92,'вспомогательные данные'!$C$20, IF(G38&lt;2,'вспомогательные данные'!$C$21,'вспомогательные данные'!$C$22)))</f>
        <v>#REF!</v>
      </c>
      <c r="I3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39" spans="1:9">
      <c r="A39" s="62" t="e">
        <f>ЦТО!#REF!</f>
        <v>#REF!</v>
      </c>
      <c r="B39" s="62" t="e">
        <f>ЦТО!#REF!</f>
        <v>#REF!</v>
      </c>
      <c r="C39" s="67" t="e">
        <f>ЦТО!#REF!</f>
        <v>#REF!</v>
      </c>
      <c r="D39" s="63" t="e">
        <f>ЦТО!#REF!</f>
        <v>#REF!</v>
      </c>
      <c r="E39" s="68" t="e">
        <f>SUM(ЦТО!#REF!)</f>
        <v>#REF!</v>
      </c>
      <c r="F39" s="64" t="e">
        <f>IF(E39&lt;10,'вспомогательные данные'!$C$26,IF(E39&lt;19,'вспомогательные данные'!$C$25,'вспомогательные данные'!$C$24))</f>
        <v>#REF!</v>
      </c>
      <c r="G39" s="65" t="e">
        <f>(18-ЦТО!#REF!-ЦТО!#REF!)/(18-ЦТО!#REF!-ЦТО!#REF!)</f>
        <v>#REF!</v>
      </c>
      <c r="H39" s="66" t="e">
        <f>IF(G39&lt;0.51,'вспомогательные данные'!$C$19,IF(G39&lt;0.92,'вспомогательные данные'!$C$20, IF(G39&lt;2,'вспомогательные данные'!$C$21,'вспомогательные данные'!$C$22)))</f>
        <v>#REF!</v>
      </c>
      <c r="I3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0" spans="1:9">
      <c r="A40" s="62" t="e">
        <f>ЦТО!#REF!</f>
        <v>#REF!</v>
      </c>
      <c r="B40" s="62" t="e">
        <f>ЦТО!#REF!</f>
        <v>#REF!</v>
      </c>
      <c r="C40" s="67" t="e">
        <f>ЦТО!#REF!</f>
        <v>#REF!</v>
      </c>
      <c r="D40" s="63" t="e">
        <f>ЦТО!#REF!</f>
        <v>#REF!</v>
      </c>
      <c r="E40" s="68" t="e">
        <f>SUM(ЦТО!#REF!)</f>
        <v>#REF!</v>
      </c>
      <c r="F40" s="64" t="e">
        <f>IF(E40&lt;10,'вспомогательные данные'!$C$26,IF(E40&lt;19,'вспомогательные данные'!$C$25,'вспомогательные данные'!$C$24))</f>
        <v>#REF!</v>
      </c>
      <c r="G40" s="65" t="e">
        <f>(18-ЦТО!#REF!-ЦТО!#REF!)/(18-ЦТО!#REF!-ЦТО!#REF!)</f>
        <v>#REF!</v>
      </c>
      <c r="H40" s="66" t="e">
        <f>IF(G40&lt;0.51,'вспомогательные данные'!$C$19,IF(G40&lt;0.92,'вспомогательные данные'!$C$20, IF(G40&lt;2,'вспомогательные данные'!$C$21,'вспомогательные данные'!$C$22)))</f>
        <v>#REF!</v>
      </c>
      <c r="I4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1" spans="1:9">
      <c r="A41" s="62" t="e">
        <f>ЦТО!#REF!</f>
        <v>#REF!</v>
      </c>
      <c r="B41" s="62" t="e">
        <f>ЦТО!#REF!</f>
        <v>#REF!</v>
      </c>
      <c r="C41" s="67" t="e">
        <f>ЦТО!#REF!</f>
        <v>#REF!</v>
      </c>
      <c r="D41" s="63" t="e">
        <f>ЦТО!#REF!</f>
        <v>#REF!</v>
      </c>
      <c r="E41" s="68" t="e">
        <f>SUM(ЦТО!#REF!)</f>
        <v>#REF!</v>
      </c>
      <c r="F41" s="64" t="e">
        <f>IF(E41&lt;10,'вспомогательные данные'!$C$26,IF(E41&lt;19,'вспомогательные данные'!$C$25,'вспомогательные данные'!$C$24))</f>
        <v>#REF!</v>
      </c>
      <c r="G41" s="65" t="e">
        <f>(18-ЦТО!#REF!-ЦТО!#REF!)/(18-ЦТО!#REF!-ЦТО!#REF!)</f>
        <v>#REF!</v>
      </c>
      <c r="H41" s="66" t="e">
        <f>IF(G41&lt;0.51,'вспомогательные данные'!$C$19,IF(G41&lt;0.92,'вспомогательные данные'!$C$20, IF(G41&lt;2,'вспомогательные данные'!$C$21,'вспомогательные данные'!$C$22)))</f>
        <v>#REF!</v>
      </c>
      <c r="I4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2" spans="1:9" s="78" customFormat="1">
      <c r="A42" s="70" t="e">
        <f>ЦТО!#REF!</f>
        <v>#REF!</v>
      </c>
      <c r="B42" s="70" t="e">
        <f>ЦТО!#REF!</f>
        <v>#REF!</v>
      </c>
      <c r="C42" s="71" t="e">
        <f>ЦТО!#REF!</f>
        <v>#REF!</v>
      </c>
      <c r="D42" s="72" t="e">
        <f>ЦТО!#REF!</f>
        <v>#REF!</v>
      </c>
      <c r="E42" s="77" t="e">
        <f>SUM(ЦТО!#REF!)</f>
        <v>#REF!</v>
      </c>
      <c r="F42" s="73" t="e">
        <f>IF(E42&lt;10,'вспомогательные данные'!$C$26,IF(E42&lt;19,'вспомогательные данные'!$C$25,'вспомогательные данные'!$C$24))</f>
        <v>#REF!</v>
      </c>
      <c r="G42" s="74" t="e">
        <f>(18-ЦТО!#REF!-ЦТО!#REF!)/(18-ЦТО!#REF!-ЦТО!#REF!)</f>
        <v>#REF!</v>
      </c>
      <c r="H42" s="75" t="e">
        <f>IF(G42&lt;0.51,'вспомогательные данные'!$C$19,IF(G42&lt;0.92,'вспомогательные данные'!$C$20, IF(G42&lt;2,'вспомогательные данные'!$C$21,'вспомогательные данные'!$C$22)))</f>
        <v>#REF!</v>
      </c>
      <c r="I42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3" spans="1:9">
      <c r="A43" s="62" t="e">
        <f>ЦТО!#REF!</f>
        <v>#REF!</v>
      </c>
      <c r="B43" s="62" t="e">
        <f>ЦТО!#REF!</f>
        <v>#REF!</v>
      </c>
      <c r="C43" s="67" t="e">
        <f>ЦТО!#REF!</f>
        <v>#REF!</v>
      </c>
      <c r="D43" s="63" t="e">
        <f>ЦТО!#REF!</f>
        <v>#REF!</v>
      </c>
      <c r="E43" s="68" t="e">
        <f>SUM(ЦТО!#REF!)</f>
        <v>#REF!</v>
      </c>
      <c r="F43" s="64" t="e">
        <f>IF(E43&lt;10,'вспомогательные данные'!$C$26,IF(E43&lt;19,'вспомогательные данные'!$C$25,'вспомогательные данные'!$C$24))</f>
        <v>#REF!</v>
      </c>
      <c r="G43" s="65" t="e">
        <f>(18-ЦТО!#REF!-ЦТО!#REF!)/(18-ЦТО!#REF!-ЦТО!#REF!)</f>
        <v>#REF!</v>
      </c>
      <c r="H43" s="66" t="e">
        <f>IF(G43&lt;0.51,'вспомогательные данные'!$C$19,IF(G43&lt;0.92,'вспомогательные данные'!$C$20, IF(G43&lt;2,'вспомогательные данные'!$C$21,'вспомогательные данные'!$C$22)))</f>
        <v>#REF!</v>
      </c>
      <c r="I4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4" spans="1:9">
      <c r="A44" s="62" t="e">
        <f>ЦТО!#REF!</f>
        <v>#REF!</v>
      </c>
      <c r="B44" s="62" t="e">
        <f>ЦТО!#REF!</f>
        <v>#REF!</v>
      </c>
      <c r="C44" s="67" t="e">
        <f>ЦТО!#REF!</f>
        <v>#REF!</v>
      </c>
      <c r="D44" s="63" t="e">
        <f>ЦТО!#REF!</f>
        <v>#REF!</v>
      </c>
      <c r="E44" s="68" t="e">
        <f>SUM(ЦТО!#REF!)</f>
        <v>#REF!</v>
      </c>
      <c r="F44" s="64" t="e">
        <f>IF(E44&lt;10,'вспомогательные данные'!$C$26,IF(E44&lt;19,'вспомогательные данные'!$C$25,'вспомогательные данные'!$C$24))</f>
        <v>#REF!</v>
      </c>
      <c r="G44" s="65" t="e">
        <f>(18-ЦТО!#REF!-ЦТО!#REF!)/(18-ЦТО!#REF!-ЦТО!#REF!)</f>
        <v>#REF!</v>
      </c>
      <c r="H44" s="66" t="e">
        <f>IF(G44&lt;0.51,'вспомогательные данные'!$C$19,IF(G44&lt;0.92,'вспомогательные данные'!$C$20, IF(G44&lt;2,'вспомогательные данные'!$C$21,'вспомогательные данные'!$C$22)))</f>
        <v>#REF!</v>
      </c>
      <c r="I4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5" spans="1:9">
      <c r="A45" s="62" t="e">
        <f>ЦТО!#REF!</f>
        <v>#REF!</v>
      </c>
      <c r="B45" s="62" t="e">
        <f>ЦТО!#REF!</f>
        <v>#REF!</v>
      </c>
      <c r="C45" s="67" t="e">
        <f>ЦТО!#REF!</f>
        <v>#REF!</v>
      </c>
      <c r="D45" s="63" t="e">
        <f>ЦТО!#REF!</f>
        <v>#REF!</v>
      </c>
      <c r="E45" s="68" t="e">
        <f>SUM(ЦТО!#REF!)</f>
        <v>#REF!</v>
      </c>
      <c r="F45" s="64" t="e">
        <f>IF(E45&lt;10,'вспомогательные данные'!$C$26,IF(E45&lt;19,'вспомогательные данные'!$C$25,'вспомогательные данные'!$C$24))</f>
        <v>#REF!</v>
      </c>
      <c r="G45" s="65" t="e">
        <f>(18-ЦТО!#REF!-ЦТО!#REF!)/(18-ЦТО!#REF!-ЦТО!#REF!)</f>
        <v>#REF!</v>
      </c>
      <c r="H45" s="66" t="e">
        <f>IF(G45&lt;0.51,'вспомогательные данные'!$C$19,IF(G45&lt;0.92,'вспомогательные данные'!$C$20, IF(G45&lt;2,'вспомогательные данные'!$C$21,'вспомогательные данные'!$C$22)))</f>
        <v>#REF!</v>
      </c>
      <c r="I4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6" spans="1:9" s="78" customFormat="1">
      <c r="A46" s="70" t="e">
        <f>ЦТО!#REF!</f>
        <v>#REF!</v>
      </c>
      <c r="B46" s="70" t="e">
        <f>ЦТО!#REF!</f>
        <v>#REF!</v>
      </c>
      <c r="C46" s="71" t="e">
        <f>ЦТО!#REF!</f>
        <v>#REF!</v>
      </c>
      <c r="D46" s="72" t="e">
        <f>ЦТО!#REF!</f>
        <v>#REF!</v>
      </c>
      <c r="E46" s="77" t="e">
        <f>SUM(ЦТО!#REF!)</f>
        <v>#REF!</v>
      </c>
      <c r="F46" s="73" t="e">
        <f>IF(E46&lt;10,'вспомогательные данные'!$C$26,IF(E46&lt;19,'вспомогательные данные'!$C$25,'вспомогательные данные'!$C$24))</f>
        <v>#REF!</v>
      </c>
      <c r="G46" s="74" t="e">
        <f>(18-ЦТО!#REF!-ЦТО!#REF!)/(18-ЦТО!#REF!-ЦТО!#REF!)</f>
        <v>#REF!</v>
      </c>
      <c r="H46" s="75" t="e">
        <f>IF(G46&lt;0.51,'вспомогательные данные'!$C$19,IF(G46&lt;0.92,'вспомогательные данные'!$C$20, IF(G46&lt;2,'вспомогательные данные'!$C$21,'вспомогательные данные'!$C$22)))</f>
        <v>#REF!</v>
      </c>
      <c r="I46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7" spans="1:9" s="78" customFormat="1">
      <c r="A47" s="70" t="e">
        <f>ЦТО!#REF!</f>
        <v>#REF!</v>
      </c>
      <c r="B47" s="70" t="e">
        <f>ЦТО!#REF!</f>
        <v>#REF!</v>
      </c>
      <c r="C47" s="71" t="e">
        <f>ЦТО!#REF!</f>
        <v>#REF!</v>
      </c>
      <c r="D47" s="72" t="e">
        <f>ЦТО!#REF!</f>
        <v>#REF!</v>
      </c>
      <c r="E47" s="77" t="e">
        <f>SUM(ЦТО!#REF!)</f>
        <v>#REF!</v>
      </c>
      <c r="F47" s="73" t="e">
        <f>IF(E47&lt;10,'вспомогательные данные'!$C$26,IF(E47&lt;19,'вспомогательные данные'!$C$25,'вспомогательные данные'!$C$24))</f>
        <v>#REF!</v>
      </c>
      <c r="G47" s="74" t="e">
        <f>(18-ЦТО!#REF!-ЦТО!#REF!)/(18-ЦТО!#REF!-ЦТО!#REF!)</f>
        <v>#REF!</v>
      </c>
      <c r="H47" s="75" t="e">
        <f>IF(G47&lt;0.51,'вспомогательные данные'!$C$19,IF(G47&lt;0.92,'вспомогательные данные'!$C$20, IF(G47&lt;2,'вспомогательные данные'!$C$21,'вспомогательные данные'!$C$22)))</f>
        <v>#REF!</v>
      </c>
      <c r="I47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8" spans="1:9" s="78" customFormat="1">
      <c r="A48" s="70" t="e">
        <f>ЦТО!#REF!</f>
        <v>#REF!</v>
      </c>
      <c r="B48" s="70" t="e">
        <f>ЦТО!#REF!</f>
        <v>#REF!</v>
      </c>
      <c r="C48" s="71" t="e">
        <f>ЦТО!#REF!</f>
        <v>#REF!</v>
      </c>
      <c r="D48" s="72" t="e">
        <f>ЦТО!#REF!</f>
        <v>#REF!</v>
      </c>
      <c r="E48" s="77" t="e">
        <f>SUM(ЦТО!#REF!)</f>
        <v>#REF!</v>
      </c>
      <c r="F48" s="73" t="e">
        <f>IF(E48&lt;10,'вспомогательные данные'!$C$26,IF(E48&lt;19,'вспомогательные данные'!$C$25,'вспомогательные данные'!$C$24))</f>
        <v>#REF!</v>
      </c>
      <c r="G48" s="74" t="e">
        <f>(18-ЦТО!#REF!-ЦТО!#REF!)/(18-ЦТО!#REF!-ЦТО!#REF!)</f>
        <v>#REF!</v>
      </c>
      <c r="H48" s="75" t="e">
        <f>IF(G48&lt;0.51,'вспомогательные данные'!$C$19,IF(G48&lt;0.92,'вспомогательные данные'!$C$20, IF(G48&lt;2,'вспомогательные данные'!$C$21,'вспомогательные данные'!$C$22)))</f>
        <v>#REF!</v>
      </c>
      <c r="I48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49" spans="1:9" s="78" customFormat="1">
      <c r="A49" s="70" t="e">
        <f>ЦТО!#REF!</f>
        <v>#REF!</v>
      </c>
      <c r="B49" s="70" t="e">
        <f>ЦТО!#REF!</f>
        <v>#REF!</v>
      </c>
      <c r="C49" s="71" t="e">
        <f>ЦТО!#REF!</f>
        <v>#REF!</v>
      </c>
      <c r="D49" s="72" t="e">
        <f>ЦТО!#REF!</f>
        <v>#REF!</v>
      </c>
      <c r="E49" s="77" t="e">
        <f>SUM(ЦТО!#REF!)</f>
        <v>#REF!</v>
      </c>
      <c r="F49" s="73" t="e">
        <f>IF(E49&lt;10,'вспомогательные данные'!$C$26,IF(E49&lt;19,'вспомогательные данные'!$C$25,'вспомогательные данные'!$C$24))</f>
        <v>#REF!</v>
      </c>
      <c r="G49" s="74" t="e">
        <f>(18-ЦТО!#REF!-ЦТО!#REF!)/(18-ЦТО!#REF!-ЦТО!#REF!)</f>
        <v>#REF!</v>
      </c>
      <c r="H49" s="75" t="e">
        <f>IF(G49&lt;0.51,'вспомогательные данные'!$C$19,IF(G49&lt;0.92,'вспомогательные данные'!$C$20, IF(G49&lt;2,'вспомогательные данные'!$C$21,'вспомогательные данные'!$C$22)))</f>
        <v>#REF!</v>
      </c>
      <c r="I49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0" spans="1:9">
      <c r="A50" s="62" t="e">
        <f>ЦТО!#REF!</f>
        <v>#REF!</v>
      </c>
      <c r="B50" s="62" t="e">
        <f>ЦТО!#REF!</f>
        <v>#REF!</v>
      </c>
      <c r="C50" s="67" t="e">
        <f>ЦТО!#REF!</f>
        <v>#REF!</v>
      </c>
      <c r="D50" s="63" t="e">
        <f>ЦТО!#REF!</f>
        <v>#REF!</v>
      </c>
      <c r="E50" s="68" t="e">
        <f>SUM(ЦТО!#REF!)</f>
        <v>#REF!</v>
      </c>
      <c r="F50" s="64" t="e">
        <f>IF(E50&lt;10,'вспомогательные данные'!$C$26,IF(E50&lt;19,'вспомогательные данные'!$C$25,'вспомогательные данные'!$C$24))</f>
        <v>#REF!</v>
      </c>
      <c r="G50" s="65" t="e">
        <f>(18-ЦТО!#REF!-ЦТО!#REF!)/(18-ЦТО!#REF!-ЦТО!#REF!)</f>
        <v>#REF!</v>
      </c>
      <c r="H50" s="66" t="e">
        <f>IF(G50&lt;0.51,'вспомогательные данные'!$C$19,IF(G50&lt;0.92,'вспомогательные данные'!$C$20, IF(G50&lt;2,'вспомогательные данные'!$C$21,'вспомогательные данные'!$C$22)))</f>
        <v>#REF!</v>
      </c>
      <c r="I5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1" spans="1:9" s="78" customFormat="1">
      <c r="A51" s="70" t="e">
        <f>ЦТО!#REF!</f>
        <v>#REF!</v>
      </c>
      <c r="B51" s="70" t="e">
        <f>ЦТО!#REF!</f>
        <v>#REF!</v>
      </c>
      <c r="C51" s="71" t="e">
        <f>ЦТО!#REF!</f>
        <v>#REF!</v>
      </c>
      <c r="D51" s="72" t="e">
        <f>ЦТО!#REF!</f>
        <v>#REF!</v>
      </c>
      <c r="E51" s="77" t="e">
        <f>SUM(ЦТО!#REF!)</f>
        <v>#REF!</v>
      </c>
      <c r="F51" s="73" t="e">
        <f>IF(E51&lt;10,'вспомогательные данные'!$C$26,IF(E51&lt;19,'вспомогательные данные'!$C$25,'вспомогательные данные'!$C$24))</f>
        <v>#REF!</v>
      </c>
      <c r="G51" s="74" t="e">
        <f>(18-ЦТО!#REF!-ЦТО!#REF!)/(18-ЦТО!#REF!-ЦТО!#REF!)</f>
        <v>#REF!</v>
      </c>
      <c r="H51" s="75" t="e">
        <f>IF(G51&lt;0.51,'вспомогательные данные'!$C$19,IF(G51&lt;0.92,'вспомогательные данные'!$C$20, IF(G51&lt;2,'вспомогательные данные'!$C$21,'вспомогательные данные'!$C$22)))</f>
        <v>#REF!</v>
      </c>
      <c r="I51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2" spans="1:9" s="78" customFormat="1">
      <c r="A52" s="70" t="e">
        <f>ЦТО!#REF!</f>
        <v>#REF!</v>
      </c>
      <c r="B52" s="70" t="e">
        <f>ЦТО!#REF!</f>
        <v>#REF!</v>
      </c>
      <c r="C52" s="71" t="e">
        <f>ЦТО!#REF!</f>
        <v>#REF!</v>
      </c>
      <c r="D52" s="72" t="e">
        <f>ЦТО!#REF!</f>
        <v>#REF!</v>
      </c>
      <c r="E52" s="77" t="e">
        <f>SUM(ЦТО!#REF!)</f>
        <v>#REF!</v>
      </c>
      <c r="F52" s="73" t="e">
        <f>IF(E52&lt;10,'вспомогательные данные'!$C$26,IF(E52&lt;19,'вспомогательные данные'!$C$25,'вспомогательные данные'!$C$24))</f>
        <v>#REF!</v>
      </c>
      <c r="G52" s="74" t="e">
        <f>(18-ЦТО!#REF!-ЦТО!#REF!)/(18-ЦТО!#REF!-ЦТО!#REF!)</f>
        <v>#REF!</v>
      </c>
      <c r="H52" s="75" t="e">
        <f>IF(G52&lt;0.51,'вспомогательные данные'!$C$19,IF(G52&lt;0.92,'вспомогательные данные'!$C$20, IF(G52&lt;2,'вспомогательные данные'!$C$21,'вспомогательные данные'!$C$22)))</f>
        <v>#REF!</v>
      </c>
      <c r="I52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3" spans="1:9">
      <c r="A53" s="62" t="e">
        <f>ЦТО!#REF!</f>
        <v>#REF!</v>
      </c>
      <c r="B53" s="62" t="e">
        <f>ЦТО!#REF!</f>
        <v>#REF!</v>
      </c>
      <c r="C53" s="67" t="e">
        <f>ЦТО!#REF!</f>
        <v>#REF!</v>
      </c>
      <c r="D53" s="63" t="e">
        <f>ЦТО!#REF!</f>
        <v>#REF!</v>
      </c>
      <c r="E53" s="68" t="e">
        <f>SUM(ЦТО!#REF!)</f>
        <v>#REF!</v>
      </c>
      <c r="F53" s="64" t="e">
        <f>IF(E53&lt;10,'вспомогательные данные'!$C$26,IF(E53&lt;19,'вспомогательные данные'!$C$25,'вспомогательные данные'!$C$24))</f>
        <v>#REF!</v>
      </c>
      <c r="G53" s="65" t="e">
        <f>(18-ЦТО!#REF!-ЦТО!#REF!)/(18-ЦТО!#REF!-ЦТО!#REF!)</f>
        <v>#REF!</v>
      </c>
      <c r="H53" s="66" t="e">
        <f>IF(G53&lt;0.51,'вспомогательные данные'!$C$19,IF(G53&lt;0.92,'вспомогательные данные'!$C$20, IF(G53&lt;2,'вспомогательные данные'!$C$21,'вспомогательные данные'!$C$22)))</f>
        <v>#REF!</v>
      </c>
      <c r="I5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4" spans="1:9">
      <c r="A54" s="62" t="e">
        <f>ЦТО!#REF!</f>
        <v>#REF!</v>
      </c>
      <c r="B54" s="62" t="e">
        <f>ЦТО!#REF!</f>
        <v>#REF!</v>
      </c>
      <c r="C54" s="67" t="e">
        <f>ЦТО!#REF!</f>
        <v>#REF!</v>
      </c>
      <c r="D54" s="63" t="e">
        <f>ЦТО!#REF!</f>
        <v>#REF!</v>
      </c>
      <c r="E54" s="68" t="e">
        <f>SUM(ЦТО!#REF!)</f>
        <v>#REF!</v>
      </c>
      <c r="F54" s="64" t="e">
        <f>IF(E54&lt;10,'вспомогательные данные'!$C$26,IF(E54&lt;19,'вспомогательные данные'!$C$25,'вспомогательные данные'!$C$24))</f>
        <v>#REF!</v>
      </c>
      <c r="G54" s="65" t="e">
        <f>(18-ЦТО!#REF!-ЦТО!#REF!)/(18-ЦТО!#REF!-ЦТО!#REF!)</f>
        <v>#REF!</v>
      </c>
      <c r="H54" s="66" t="e">
        <f>IF(G54&lt;0.51,'вспомогательные данные'!$C$19,IF(G54&lt;0.92,'вспомогательные данные'!$C$20, IF(G54&lt;2,'вспомогательные данные'!$C$21,'вспомогательные данные'!$C$22)))</f>
        <v>#REF!</v>
      </c>
      <c r="I5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5" spans="1:9" s="78" customFormat="1">
      <c r="A55" s="70" t="e">
        <f>ЦТО!#REF!</f>
        <v>#REF!</v>
      </c>
      <c r="B55" s="70" t="e">
        <f>ЦТО!#REF!</f>
        <v>#REF!</v>
      </c>
      <c r="C55" s="71" t="e">
        <f>ЦТО!#REF!</f>
        <v>#REF!</v>
      </c>
      <c r="D55" s="72" t="e">
        <f>ЦТО!#REF!</f>
        <v>#REF!</v>
      </c>
      <c r="E55" s="77" t="e">
        <f>SUM(ЦТО!#REF!)</f>
        <v>#REF!</v>
      </c>
      <c r="F55" s="73" t="e">
        <f>IF(E55&lt;10,'вспомогательные данные'!$C$26,IF(E55&lt;19,'вспомогательные данные'!$C$25,'вспомогательные данные'!$C$24))</f>
        <v>#REF!</v>
      </c>
      <c r="G55" s="74" t="e">
        <f>(18-ЦТО!#REF!-ЦТО!#REF!)/(18-ЦТО!#REF!-ЦТО!#REF!)</f>
        <v>#REF!</v>
      </c>
      <c r="H55" s="75" t="e">
        <f>IF(G55&lt;0.51,'вспомогательные данные'!$C$19,IF(G55&lt;0.92,'вспомогательные данные'!$C$20, IF(G55&lt;2,'вспомогательные данные'!$C$21,'вспомогательные данные'!$C$22)))</f>
        <v>#REF!</v>
      </c>
      <c r="I55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6" spans="1:9">
      <c r="A56" s="62" t="e">
        <f>ЦТО!#REF!</f>
        <v>#REF!</v>
      </c>
      <c r="B56" s="62" t="e">
        <f>ЦТО!#REF!</f>
        <v>#REF!</v>
      </c>
      <c r="C56" s="67" t="e">
        <f>ЦТО!#REF!</f>
        <v>#REF!</v>
      </c>
      <c r="D56" s="63" t="e">
        <f>ЦТО!#REF!</f>
        <v>#REF!</v>
      </c>
      <c r="E56" s="68" t="e">
        <f>SUM(ЦТО!#REF!)</f>
        <v>#REF!</v>
      </c>
      <c r="F56" s="64" t="e">
        <f>IF(E56&lt;10,'вспомогательные данные'!$C$26,IF(E56&lt;19,'вспомогательные данные'!$C$25,'вспомогательные данные'!$C$24))</f>
        <v>#REF!</v>
      </c>
      <c r="G56" s="65" t="e">
        <f>(18-ЦТО!#REF!-ЦТО!#REF!)/(18-ЦТО!#REF!-ЦТО!#REF!)</f>
        <v>#REF!</v>
      </c>
      <c r="H56" s="66" t="e">
        <f>IF(G56&lt;0.51,'вспомогательные данные'!$C$19,IF(G56&lt;0.92,'вспомогательные данные'!$C$20, IF(G56&lt;2,'вспомогательные данные'!$C$21,'вспомогательные данные'!$C$22)))</f>
        <v>#REF!</v>
      </c>
      <c r="I5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7" spans="1:9">
      <c r="A57" s="62" t="e">
        <f>ЦТО!#REF!</f>
        <v>#REF!</v>
      </c>
      <c r="B57" s="62" t="e">
        <f>ЦТО!#REF!</f>
        <v>#REF!</v>
      </c>
      <c r="C57" s="67" t="e">
        <f>ЦТО!#REF!</f>
        <v>#REF!</v>
      </c>
      <c r="D57" s="63" t="e">
        <f>ЦТО!#REF!</f>
        <v>#REF!</v>
      </c>
      <c r="E57" s="68" t="e">
        <f>SUM(ЦТО!#REF!)</f>
        <v>#REF!</v>
      </c>
      <c r="F57" s="64" t="e">
        <f>IF(E57&lt;10,'вспомогательные данные'!$C$26,IF(E57&lt;19,'вспомогательные данные'!$C$25,'вспомогательные данные'!$C$24))</f>
        <v>#REF!</v>
      </c>
      <c r="G57" s="65" t="e">
        <f>(18-ЦТО!#REF!-ЦТО!#REF!)/(18-ЦТО!#REF!-ЦТО!#REF!)</f>
        <v>#REF!</v>
      </c>
      <c r="H57" s="66" t="e">
        <f>IF(G57&lt;0.51,'вспомогательные данные'!$C$19,IF(G57&lt;0.92,'вспомогательные данные'!$C$20, IF(G57&lt;2,'вспомогательные данные'!$C$21,'вспомогательные данные'!$C$22)))</f>
        <v>#REF!</v>
      </c>
      <c r="I5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8" spans="1:9" s="78" customFormat="1">
      <c r="A58" s="70" t="e">
        <f>ЦТО!#REF!</f>
        <v>#REF!</v>
      </c>
      <c r="B58" s="70" t="e">
        <f>ЦТО!#REF!</f>
        <v>#REF!</v>
      </c>
      <c r="C58" s="71" t="e">
        <f>ЦТО!#REF!</f>
        <v>#REF!</v>
      </c>
      <c r="D58" s="72" t="e">
        <f>ЦТО!#REF!</f>
        <v>#REF!</v>
      </c>
      <c r="E58" s="77" t="e">
        <f>SUM(ЦТО!#REF!)</f>
        <v>#REF!</v>
      </c>
      <c r="F58" s="73" t="e">
        <f>IF(E58&lt;10,'вспомогательные данные'!$C$26,IF(E58&lt;19,'вспомогательные данные'!$C$25,'вспомогательные данные'!$C$24))</f>
        <v>#REF!</v>
      </c>
      <c r="G58" s="74" t="e">
        <f>(18-ЦТО!#REF!-ЦТО!#REF!)/(18-ЦТО!#REF!-ЦТО!#REF!)</f>
        <v>#REF!</v>
      </c>
      <c r="H58" s="75" t="e">
        <f>IF(G58&lt;0.51,'вспомогательные данные'!$C$19,IF(G58&lt;0.92,'вспомогательные данные'!$C$20, IF(G58&lt;2,'вспомогательные данные'!$C$21,'вспомогательные данные'!$C$22)))</f>
        <v>#REF!</v>
      </c>
      <c r="I58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59" spans="1:9">
      <c r="A59" s="62" t="e">
        <f>ЦТО!#REF!</f>
        <v>#REF!</v>
      </c>
      <c r="B59" s="62" t="e">
        <f>ЦТО!#REF!</f>
        <v>#REF!</v>
      </c>
      <c r="C59" s="67" t="e">
        <f>ЦТО!#REF!</f>
        <v>#REF!</v>
      </c>
      <c r="D59" s="63" t="e">
        <f>ЦТО!#REF!</f>
        <v>#REF!</v>
      </c>
      <c r="E59" s="68" t="e">
        <f>SUM(ЦТО!#REF!)</f>
        <v>#REF!</v>
      </c>
      <c r="F59" s="64" t="e">
        <f>IF(E59&lt;10,'вспомогательные данные'!$C$26,IF(E59&lt;19,'вспомогательные данные'!$C$25,'вспомогательные данные'!$C$24))</f>
        <v>#REF!</v>
      </c>
      <c r="G59" s="65" t="e">
        <f>(18-ЦТО!#REF!-ЦТО!#REF!)/(18-ЦТО!#REF!-ЦТО!#REF!)</f>
        <v>#REF!</v>
      </c>
      <c r="H59" s="66" t="e">
        <f>IF(G59&lt;0.51,'вспомогательные данные'!$C$19,IF(G59&lt;0.92,'вспомогательные данные'!$C$20, IF(G59&lt;2,'вспомогательные данные'!$C$21,'вспомогательные данные'!$C$22)))</f>
        <v>#REF!</v>
      </c>
      <c r="I5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0" spans="1:9">
      <c r="A60" s="62" t="e">
        <f>ЦТО!#REF!</f>
        <v>#REF!</v>
      </c>
      <c r="B60" s="62" t="e">
        <f>ЦТО!#REF!</f>
        <v>#REF!</v>
      </c>
      <c r="C60" s="67" t="e">
        <f>ЦТО!#REF!</f>
        <v>#REF!</v>
      </c>
      <c r="D60" s="63" t="e">
        <f>ЦТО!#REF!</f>
        <v>#REF!</v>
      </c>
      <c r="E60" s="68" t="e">
        <f>SUM(ЦТО!#REF!)</f>
        <v>#REF!</v>
      </c>
      <c r="F60" s="64" t="e">
        <f>IF(E60&lt;10,'вспомогательные данные'!$C$26,IF(E60&lt;19,'вспомогательные данные'!$C$25,'вспомогательные данные'!$C$24))</f>
        <v>#REF!</v>
      </c>
      <c r="G60" s="65" t="e">
        <f>(18-ЦТО!#REF!-ЦТО!#REF!)/(18-ЦТО!#REF!-ЦТО!#REF!)</f>
        <v>#REF!</v>
      </c>
      <c r="H60" s="66" t="e">
        <f>IF(G60&lt;0.51,'вспомогательные данные'!$C$19,IF(G60&lt;0.92,'вспомогательные данные'!$C$20, IF(G60&lt;2,'вспомогательные данные'!$C$21,'вспомогательные данные'!$C$22)))</f>
        <v>#REF!</v>
      </c>
      <c r="I6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1" spans="1:9" s="78" customFormat="1">
      <c r="A61" s="70" t="e">
        <f>ЦТО!#REF!</f>
        <v>#REF!</v>
      </c>
      <c r="B61" s="70" t="e">
        <f>ЦТО!#REF!</f>
        <v>#REF!</v>
      </c>
      <c r="C61" s="71" t="e">
        <f>ЦТО!#REF!</f>
        <v>#REF!</v>
      </c>
      <c r="D61" s="72" t="e">
        <f>ЦТО!#REF!</f>
        <v>#REF!</v>
      </c>
      <c r="E61" s="77" t="e">
        <f>SUM(ЦТО!#REF!)</f>
        <v>#REF!</v>
      </c>
      <c r="F61" s="73" t="e">
        <f>IF(E61&lt;10,'вспомогательные данные'!$C$26,IF(E61&lt;19,'вспомогательные данные'!$C$25,'вспомогательные данные'!$C$24))</f>
        <v>#REF!</v>
      </c>
      <c r="G61" s="74" t="e">
        <f>(18-ЦТО!#REF!-ЦТО!#REF!)/(18-ЦТО!#REF!-ЦТО!#REF!)</f>
        <v>#REF!</v>
      </c>
      <c r="H61" s="75" t="e">
        <f>IF(G61&lt;0.51,'вспомогательные данные'!$C$19,IF(G61&lt;0.92,'вспомогательные данные'!$C$20, IF(G61&lt;2,'вспомогательные данные'!$C$21,'вспомогательные данные'!$C$22)))</f>
        <v>#REF!</v>
      </c>
      <c r="I61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2" spans="1:9">
      <c r="A62" s="62" t="e">
        <f>ЦТО!#REF!</f>
        <v>#REF!</v>
      </c>
      <c r="B62" s="62" t="e">
        <f>ЦТО!#REF!</f>
        <v>#REF!</v>
      </c>
      <c r="C62" s="67" t="e">
        <f>ЦТО!#REF!</f>
        <v>#REF!</v>
      </c>
      <c r="D62" s="63" t="e">
        <f>ЦТО!#REF!</f>
        <v>#REF!</v>
      </c>
      <c r="E62" s="68" t="e">
        <f>SUM(ЦТО!#REF!)</f>
        <v>#REF!</v>
      </c>
      <c r="F62" s="64" t="e">
        <f>IF(E62&lt;10,'вспомогательные данные'!$C$26,IF(E62&lt;19,'вспомогательные данные'!$C$25,'вспомогательные данные'!$C$24))</f>
        <v>#REF!</v>
      </c>
      <c r="G62" s="65" t="e">
        <f>(18-ЦТО!#REF!-ЦТО!#REF!)/(18-ЦТО!#REF!-ЦТО!#REF!)</f>
        <v>#REF!</v>
      </c>
      <c r="H62" s="66" t="e">
        <f>IF(G62&lt;0.51,'вспомогательные данные'!$C$19,IF(G62&lt;0.92,'вспомогательные данные'!$C$20, IF(G62&lt;2,'вспомогательные данные'!$C$21,'вспомогательные данные'!$C$22)))</f>
        <v>#REF!</v>
      </c>
      <c r="I6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3" spans="1:9">
      <c r="A63" s="62" t="e">
        <f>ЦТО!#REF!</f>
        <v>#REF!</v>
      </c>
      <c r="B63" s="62" t="e">
        <f>ЦТО!#REF!</f>
        <v>#REF!</v>
      </c>
      <c r="C63" s="67" t="e">
        <f>ЦТО!#REF!</f>
        <v>#REF!</v>
      </c>
      <c r="D63" s="63" t="e">
        <f>ЦТО!#REF!</f>
        <v>#REF!</v>
      </c>
      <c r="E63" s="68" t="e">
        <f>SUM(ЦТО!#REF!)</f>
        <v>#REF!</v>
      </c>
      <c r="F63" s="64" t="e">
        <f>IF(E63&lt;10,'вспомогательные данные'!$C$26,IF(E63&lt;19,'вспомогательные данные'!$C$25,'вспомогательные данные'!$C$24))</f>
        <v>#REF!</v>
      </c>
      <c r="G63" s="65" t="e">
        <f>(18-ЦТО!#REF!-ЦТО!#REF!)/(18-ЦТО!#REF!-ЦТО!#REF!)</f>
        <v>#REF!</v>
      </c>
      <c r="H63" s="66" t="e">
        <f>IF(G63&lt;0.51,'вспомогательные данные'!$C$19,IF(G63&lt;0.92,'вспомогательные данные'!$C$20, IF(G63&lt;2,'вспомогательные данные'!$C$21,'вспомогательные данные'!$C$22)))</f>
        <v>#REF!</v>
      </c>
      <c r="I6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4" spans="1:9">
      <c r="A64" s="62" t="e">
        <f>ЦТО!#REF!</f>
        <v>#REF!</v>
      </c>
      <c r="B64" s="62" t="e">
        <f>ЦТО!#REF!</f>
        <v>#REF!</v>
      </c>
      <c r="C64" s="67" t="e">
        <f>ЦТО!#REF!</f>
        <v>#REF!</v>
      </c>
      <c r="D64" s="63" t="e">
        <f>ЦТО!#REF!</f>
        <v>#REF!</v>
      </c>
      <c r="E64" s="68" t="e">
        <f>SUM(ЦТО!#REF!)</f>
        <v>#REF!</v>
      </c>
      <c r="F64" s="64" t="e">
        <f>IF(E64&lt;10,'вспомогательные данные'!$C$26,IF(E64&lt;19,'вспомогательные данные'!$C$25,'вспомогательные данные'!$C$24))</f>
        <v>#REF!</v>
      </c>
      <c r="G64" s="65" t="e">
        <f>(18-ЦТО!#REF!-ЦТО!#REF!)/(18-ЦТО!#REF!-ЦТО!#REF!)</f>
        <v>#REF!</v>
      </c>
      <c r="H64" s="66" t="e">
        <f>IF(G64&lt;0.51,'вспомогательные данные'!$C$19,IF(G64&lt;0.92,'вспомогательные данные'!$C$20, IF(G64&lt;2,'вспомогательные данные'!$C$21,'вспомогательные данные'!$C$22)))</f>
        <v>#REF!</v>
      </c>
      <c r="I6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5" spans="1:9" s="78" customFormat="1">
      <c r="A65" s="70" t="e">
        <f>ЦТО!#REF!</f>
        <v>#REF!</v>
      </c>
      <c r="B65" s="70" t="e">
        <f>ЦТО!#REF!</f>
        <v>#REF!</v>
      </c>
      <c r="C65" s="71" t="e">
        <f>ЦТО!#REF!</f>
        <v>#REF!</v>
      </c>
      <c r="D65" s="72" t="e">
        <f>ЦТО!#REF!</f>
        <v>#REF!</v>
      </c>
      <c r="E65" s="77" t="e">
        <f>SUM(ЦТО!#REF!)</f>
        <v>#REF!</v>
      </c>
      <c r="F65" s="73" t="e">
        <f>IF(E65&lt;10,'вспомогательные данные'!$C$26,IF(E65&lt;19,'вспомогательные данные'!$C$25,'вспомогательные данные'!$C$24))</f>
        <v>#REF!</v>
      </c>
      <c r="G65" s="74" t="e">
        <f>(18-ЦТО!#REF!-ЦТО!#REF!)/(18-ЦТО!#REF!-ЦТО!#REF!)</f>
        <v>#REF!</v>
      </c>
      <c r="H65" s="75" t="e">
        <f>IF(G65&lt;0.51,'вспомогательные данные'!$C$19,IF(G65&lt;0.92,'вспомогательные данные'!$C$20, IF(G65&lt;2,'вспомогательные данные'!$C$21,'вспомогательные данные'!$C$22)))</f>
        <v>#REF!</v>
      </c>
      <c r="I65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6" spans="1:9">
      <c r="A66" s="62" t="e">
        <f>ЦТО!#REF!</f>
        <v>#REF!</v>
      </c>
      <c r="B66" s="62" t="e">
        <f>ЦТО!#REF!</f>
        <v>#REF!</v>
      </c>
      <c r="C66" s="67" t="e">
        <f>ЦТО!#REF!</f>
        <v>#REF!</v>
      </c>
      <c r="D66" s="63" t="e">
        <f>ЦТО!#REF!</f>
        <v>#REF!</v>
      </c>
      <c r="E66" s="68" t="e">
        <f>SUM(ЦТО!#REF!)</f>
        <v>#REF!</v>
      </c>
      <c r="F66" s="64" t="e">
        <f>IF(E66&lt;10,'вспомогательные данные'!$C$26,IF(E66&lt;19,'вспомогательные данные'!$C$25,'вспомогательные данные'!$C$24))</f>
        <v>#REF!</v>
      </c>
      <c r="G66" s="65" t="e">
        <f>(18-ЦТО!#REF!-ЦТО!#REF!)/(18-ЦТО!#REF!-ЦТО!#REF!)</f>
        <v>#REF!</v>
      </c>
      <c r="H66" s="66" t="e">
        <f>IF(G66&lt;0.51,'вспомогательные данные'!$C$19,IF(G66&lt;0.92,'вспомогательные данные'!$C$20, IF(G66&lt;2,'вспомогательные данные'!$C$21,'вспомогательные данные'!$C$22)))</f>
        <v>#REF!</v>
      </c>
      <c r="I6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7" spans="1:9">
      <c r="A67" s="62" t="e">
        <f>ЦТО!#REF!</f>
        <v>#REF!</v>
      </c>
      <c r="B67" s="62" t="e">
        <f>ЦТО!#REF!</f>
        <v>#REF!</v>
      </c>
      <c r="C67" s="67" t="e">
        <f>ЦТО!#REF!</f>
        <v>#REF!</v>
      </c>
      <c r="D67" s="63" t="e">
        <f>ЦТО!#REF!</f>
        <v>#REF!</v>
      </c>
      <c r="E67" s="68" t="e">
        <f>SUM(ЦТО!#REF!)</f>
        <v>#REF!</v>
      </c>
      <c r="F67" s="64" t="e">
        <f>IF(E67&lt;10,'вспомогательные данные'!$C$26,IF(E67&lt;19,'вспомогательные данные'!$C$25,'вспомогательные данные'!$C$24))</f>
        <v>#REF!</v>
      </c>
      <c r="G67" s="65" t="e">
        <f>(18-ЦТО!#REF!-ЦТО!#REF!)/(18-ЦТО!#REF!-ЦТО!#REF!)</f>
        <v>#REF!</v>
      </c>
      <c r="H67" s="66" t="e">
        <f>IF(G67&lt;0.51,'вспомогательные данные'!$C$19,IF(G67&lt;0.92,'вспомогательные данные'!$C$20, IF(G67&lt;2,'вспомогательные данные'!$C$21,'вспомогательные данные'!$C$22)))</f>
        <v>#REF!</v>
      </c>
      <c r="I6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8" spans="1:9">
      <c r="A68" s="62" t="e">
        <f>ЦТО!#REF!</f>
        <v>#REF!</v>
      </c>
      <c r="B68" s="62" t="e">
        <f>ЦТО!#REF!</f>
        <v>#REF!</v>
      </c>
      <c r="C68" s="67" t="e">
        <f>ЦТО!#REF!</f>
        <v>#REF!</v>
      </c>
      <c r="D68" s="63" t="e">
        <f>ЦТО!#REF!</f>
        <v>#REF!</v>
      </c>
      <c r="E68" s="68" t="e">
        <f>SUM(ЦТО!#REF!)</f>
        <v>#REF!</v>
      </c>
      <c r="F68" s="64" t="e">
        <f>IF(E68&lt;10,'вспомогательные данные'!$C$26,IF(E68&lt;19,'вспомогательные данные'!$C$25,'вспомогательные данные'!$C$24))</f>
        <v>#REF!</v>
      </c>
      <c r="G68" s="65" t="e">
        <f>(18-ЦТО!#REF!-ЦТО!#REF!)/(18-ЦТО!#REF!-ЦТО!#REF!)</f>
        <v>#REF!</v>
      </c>
      <c r="H68" s="66" t="e">
        <f>IF(G68&lt;0.51,'вспомогательные данные'!$C$19,IF(G68&lt;0.92,'вспомогательные данные'!$C$20, IF(G68&lt;2,'вспомогательные данные'!$C$21,'вспомогательные данные'!$C$22)))</f>
        <v>#REF!</v>
      </c>
      <c r="I6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69" spans="1:9" s="78" customFormat="1">
      <c r="A69" s="70" t="e">
        <f>ЦТО!#REF!</f>
        <v>#REF!</v>
      </c>
      <c r="B69" s="70" t="e">
        <f>ЦТО!#REF!</f>
        <v>#REF!</v>
      </c>
      <c r="C69" s="71" t="e">
        <f>ЦТО!#REF!</f>
        <v>#REF!</v>
      </c>
      <c r="D69" s="72" t="e">
        <f>ЦТО!#REF!</f>
        <v>#REF!</v>
      </c>
      <c r="E69" s="77" t="e">
        <f>SUM(ЦТО!#REF!)</f>
        <v>#REF!</v>
      </c>
      <c r="F69" s="73" t="e">
        <f>IF(E69&lt;10,'вспомогательные данные'!$C$26,IF(E69&lt;19,'вспомогательные данные'!$C$25,'вспомогательные данные'!$C$24))</f>
        <v>#REF!</v>
      </c>
      <c r="G69" s="74" t="e">
        <f>(18-ЦТО!#REF!-ЦТО!#REF!)/(18-ЦТО!#REF!-ЦТО!#REF!)</f>
        <v>#REF!</v>
      </c>
      <c r="H69" s="75" t="e">
        <f>IF(G69&lt;0.51,'вспомогательные данные'!$C$19,IF(G69&lt;0.92,'вспомогательные данные'!$C$20, IF(G69&lt;2,'вспомогательные данные'!$C$21,'вспомогательные данные'!$C$22)))</f>
        <v>#REF!</v>
      </c>
      <c r="I69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0" spans="1:9">
      <c r="A70" s="62" t="e">
        <f>ЦТО!#REF!</f>
        <v>#REF!</v>
      </c>
      <c r="B70" s="62" t="e">
        <f>ЦТО!#REF!</f>
        <v>#REF!</v>
      </c>
      <c r="C70" s="67" t="e">
        <f>ЦТО!#REF!</f>
        <v>#REF!</v>
      </c>
      <c r="D70" s="63" t="e">
        <f>ЦТО!#REF!</f>
        <v>#REF!</v>
      </c>
      <c r="E70" s="68" t="e">
        <f>SUM(ЦТО!#REF!)</f>
        <v>#REF!</v>
      </c>
      <c r="F70" s="64" t="e">
        <f>IF(E70&lt;10,'вспомогательные данные'!$C$26,IF(E70&lt;19,'вспомогательные данные'!$C$25,'вспомогательные данные'!$C$24))</f>
        <v>#REF!</v>
      </c>
      <c r="G70" s="65" t="e">
        <f>(18-ЦТО!#REF!-ЦТО!#REF!)/(18-ЦТО!#REF!-ЦТО!#REF!)</f>
        <v>#REF!</v>
      </c>
      <c r="H70" s="66" t="e">
        <f>IF(G70&lt;0.51,'вспомогательные данные'!$C$19,IF(G70&lt;0.92,'вспомогательные данные'!$C$20, IF(G70&lt;2,'вспомогательные данные'!$C$21,'вспомогательные данные'!$C$22)))</f>
        <v>#REF!</v>
      </c>
      <c r="I7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1" spans="1:9">
      <c r="A71" s="62" t="e">
        <f>ЦТО!#REF!</f>
        <v>#REF!</v>
      </c>
      <c r="B71" s="62" t="e">
        <f>ЦТО!#REF!</f>
        <v>#REF!</v>
      </c>
      <c r="C71" s="67" t="e">
        <f>ЦТО!#REF!</f>
        <v>#REF!</v>
      </c>
      <c r="D71" s="63" t="e">
        <f>ЦТО!#REF!</f>
        <v>#REF!</v>
      </c>
      <c r="E71" s="68" t="e">
        <f>SUM(ЦТО!#REF!)</f>
        <v>#REF!</v>
      </c>
      <c r="F71" s="64" t="e">
        <f>IF(E71&lt;10,'вспомогательные данные'!$C$26,IF(E71&lt;19,'вспомогательные данные'!$C$25,'вспомогательные данные'!$C$24))</f>
        <v>#REF!</v>
      </c>
      <c r="G71" s="65" t="e">
        <f>(18-ЦТО!#REF!-ЦТО!#REF!)/(18-ЦТО!#REF!-ЦТО!#REF!)</f>
        <v>#REF!</v>
      </c>
      <c r="H71" s="66" t="e">
        <f>IF(G71&lt;0.51,'вспомогательные данные'!$C$19,IF(G71&lt;0.92,'вспомогательные данные'!$C$20, IF(G71&lt;2,'вспомогательные данные'!$C$21,'вспомогательные данные'!$C$22)))</f>
        <v>#REF!</v>
      </c>
      <c r="I7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2" spans="1:9">
      <c r="A72" s="62" t="e">
        <f>ЦТО!#REF!</f>
        <v>#REF!</v>
      </c>
      <c r="B72" s="62" t="e">
        <f>ЦТО!#REF!</f>
        <v>#REF!</v>
      </c>
      <c r="C72" s="67" t="e">
        <f>ЦТО!#REF!</f>
        <v>#REF!</v>
      </c>
      <c r="D72" s="63" t="e">
        <f>ЦТО!#REF!</f>
        <v>#REF!</v>
      </c>
      <c r="E72" s="68" t="e">
        <f>SUM(ЦТО!#REF!)</f>
        <v>#REF!</v>
      </c>
      <c r="F72" s="64" t="e">
        <f>IF(E72&lt;10,'вспомогательные данные'!$C$26,IF(E72&lt;19,'вспомогательные данные'!$C$25,'вспомогательные данные'!$C$24))</f>
        <v>#REF!</v>
      </c>
      <c r="G72" s="65" t="e">
        <f>(18-ЦТО!#REF!-ЦТО!#REF!)/(18-ЦТО!#REF!-ЦТО!#REF!)</f>
        <v>#REF!</v>
      </c>
      <c r="H72" s="66" t="e">
        <f>IF(G72&lt;0.51,'вспомогательные данные'!$C$19,IF(G72&lt;0.92,'вспомогательные данные'!$C$20, IF(G72&lt;2,'вспомогательные данные'!$C$21,'вспомогательные данные'!$C$22)))</f>
        <v>#REF!</v>
      </c>
      <c r="I7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3" spans="1:9">
      <c r="A73" s="62" t="e">
        <f>ЦТО!#REF!</f>
        <v>#REF!</v>
      </c>
      <c r="B73" s="62" t="e">
        <f>ЦТО!#REF!</f>
        <v>#REF!</v>
      </c>
      <c r="C73" s="67" t="e">
        <f>ЦТО!#REF!</f>
        <v>#REF!</v>
      </c>
      <c r="D73" s="63" t="e">
        <f>ЦТО!#REF!</f>
        <v>#REF!</v>
      </c>
      <c r="E73" s="68" t="e">
        <f>SUM(ЦТО!#REF!)</f>
        <v>#REF!</v>
      </c>
      <c r="F73" s="64" t="e">
        <f>IF(E73&lt;10,'вспомогательные данные'!$C$26,IF(E73&lt;19,'вспомогательные данные'!$C$25,'вспомогательные данные'!$C$24))</f>
        <v>#REF!</v>
      </c>
      <c r="G73" s="65" t="e">
        <f>(18-ЦТО!#REF!-ЦТО!#REF!)/(18-ЦТО!#REF!-ЦТО!#REF!)</f>
        <v>#REF!</v>
      </c>
      <c r="H73" s="66" t="e">
        <f>IF(G73&lt;0.51,'вспомогательные данные'!$C$19,IF(G73&lt;0.92,'вспомогательные данные'!$C$20, IF(G73&lt;2,'вспомогательные данные'!$C$21,'вспомогательные данные'!$C$22)))</f>
        <v>#REF!</v>
      </c>
      <c r="I7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4" spans="1:9">
      <c r="A74" s="62" t="e">
        <f>ЦТО!#REF!</f>
        <v>#REF!</v>
      </c>
      <c r="B74" s="62" t="e">
        <f>ЦТО!#REF!</f>
        <v>#REF!</v>
      </c>
      <c r="C74" s="67" t="e">
        <f>ЦТО!#REF!</f>
        <v>#REF!</v>
      </c>
      <c r="D74" s="63" t="e">
        <f>ЦТО!#REF!</f>
        <v>#REF!</v>
      </c>
      <c r="E74" s="68" t="e">
        <f>SUM(ЦТО!#REF!)</f>
        <v>#REF!</v>
      </c>
      <c r="F74" s="64" t="e">
        <f>IF(E74&lt;10,'вспомогательные данные'!$C$26,IF(E74&lt;19,'вспомогательные данные'!$C$25,'вспомогательные данные'!$C$24))</f>
        <v>#REF!</v>
      </c>
      <c r="G74" s="65" t="e">
        <f>(18-ЦТО!#REF!-ЦТО!#REF!)/(18-ЦТО!#REF!-ЦТО!#REF!)</f>
        <v>#REF!</v>
      </c>
      <c r="H74" s="66" t="e">
        <f>IF(G74&lt;0.51,'вспомогательные данные'!$C$19,IF(G74&lt;0.92,'вспомогательные данные'!$C$20, IF(G74&lt;2,'вспомогательные данные'!$C$21,'вспомогательные данные'!$C$22)))</f>
        <v>#REF!</v>
      </c>
      <c r="I7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5" spans="1:9">
      <c r="A75" s="62" t="e">
        <f>ЦТО!#REF!</f>
        <v>#REF!</v>
      </c>
      <c r="B75" s="62" t="e">
        <f>ЦТО!#REF!</f>
        <v>#REF!</v>
      </c>
      <c r="C75" s="67" t="e">
        <f>ЦТО!#REF!</f>
        <v>#REF!</v>
      </c>
      <c r="D75" s="63" t="e">
        <f>ЦТО!#REF!</f>
        <v>#REF!</v>
      </c>
      <c r="E75" s="68" t="e">
        <f>SUM(ЦТО!#REF!)</f>
        <v>#REF!</v>
      </c>
      <c r="F75" s="64" t="e">
        <f>IF(E75&lt;10,'вспомогательные данные'!$C$26,IF(E75&lt;19,'вспомогательные данные'!$C$25,'вспомогательные данные'!$C$24))</f>
        <v>#REF!</v>
      </c>
      <c r="G75" s="65" t="e">
        <f>(18-ЦТО!#REF!-ЦТО!#REF!)/(18-ЦТО!#REF!-ЦТО!#REF!)</f>
        <v>#REF!</v>
      </c>
      <c r="H75" s="66" t="e">
        <f>IF(G75&lt;0.51,'вспомогательные данные'!$C$19,IF(G75&lt;0.92,'вспомогательные данные'!$C$20, IF(G75&lt;2,'вспомогательные данные'!$C$21,'вспомогательные данные'!$C$22)))</f>
        <v>#REF!</v>
      </c>
      <c r="I7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6" spans="1:9" s="78" customFormat="1">
      <c r="A76" s="70" t="e">
        <f>ЦТО!#REF!</f>
        <v>#REF!</v>
      </c>
      <c r="B76" s="70" t="e">
        <f>ЦТО!#REF!</f>
        <v>#REF!</v>
      </c>
      <c r="C76" s="71" t="e">
        <f>ЦТО!#REF!</f>
        <v>#REF!</v>
      </c>
      <c r="D76" s="72" t="e">
        <f>ЦТО!#REF!</f>
        <v>#REF!</v>
      </c>
      <c r="E76" s="77" t="e">
        <f>SUM(ЦТО!#REF!)</f>
        <v>#REF!</v>
      </c>
      <c r="F76" s="73" t="e">
        <f>IF(E76&lt;10,'вспомогательные данные'!$C$26,IF(E76&lt;19,'вспомогательные данные'!$C$25,'вспомогательные данные'!$C$24))</f>
        <v>#REF!</v>
      </c>
      <c r="G76" s="74" t="e">
        <f>(18-ЦТО!#REF!-ЦТО!#REF!)/(18-ЦТО!#REF!-ЦТО!#REF!)</f>
        <v>#REF!</v>
      </c>
      <c r="H76" s="75" t="e">
        <f>IF(G76&lt;0.51,'вспомогательные данные'!$C$19,IF(G76&lt;0.92,'вспомогательные данные'!$C$20, IF(G76&lt;2,'вспомогательные данные'!$C$21,'вспомогательные данные'!$C$22)))</f>
        <v>#REF!</v>
      </c>
      <c r="I76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7" spans="1:9">
      <c r="A77" s="62" t="e">
        <f>ЦТО!#REF!</f>
        <v>#REF!</v>
      </c>
      <c r="B77" s="62" t="e">
        <f>ЦТО!#REF!</f>
        <v>#REF!</v>
      </c>
      <c r="C77" s="67" t="e">
        <f>ЦТО!#REF!</f>
        <v>#REF!</v>
      </c>
      <c r="D77" s="63" t="e">
        <f>ЦТО!#REF!</f>
        <v>#REF!</v>
      </c>
      <c r="E77" s="68" t="e">
        <f>SUM(ЦТО!#REF!)</f>
        <v>#REF!</v>
      </c>
      <c r="F77" s="64" t="e">
        <f>IF(E77&lt;10,'вспомогательные данные'!$C$26,IF(E77&lt;19,'вспомогательные данные'!$C$25,'вспомогательные данные'!$C$24))</f>
        <v>#REF!</v>
      </c>
      <c r="G77" s="65" t="e">
        <f>(18-ЦТО!#REF!-ЦТО!#REF!)/(18-ЦТО!#REF!-ЦТО!#REF!)</f>
        <v>#REF!</v>
      </c>
      <c r="H77" s="66" t="e">
        <f>IF(G77&lt;0.51,'вспомогательные данные'!$C$19,IF(G77&lt;0.92,'вспомогательные данные'!$C$20, IF(G77&lt;2,'вспомогательные данные'!$C$21,'вспомогательные данные'!$C$22)))</f>
        <v>#REF!</v>
      </c>
      <c r="I7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8" spans="1:9">
      <c r="A78" s="62" t="e">
        <f>ЦТО!#REF!</f>
        <v>#REF!</v>
      </c>
      <c r="B78" s="62" t="e">
        <f>ЦТО!#REF!</f>
        <v>#REF!</v>
      </c>
      <c r="C78" s="67" t="e">
        <f>ЦТО!#REF!</f>
        <v>#REF!</v>
      </c>
      <c r="D78" s="63" t="e">
        <f>ЦТО!#REF!</f>
        <v>#REF!</v>
      </c>
      <c r="E78" s="68" t="e">
        <f>SUM(ЦТО!#REF!)</f>
        <v>#REF!</v>
      </c>
      <c r="F78" s="64" t="e">
        <f>IF(E78&lt;10,'вспомогательные данные'!$C$26,IF(E78&lt;19,'вспомогательные данные'!$C$25,'вспомогательные данные'!$C$24))</f>
        <v>#REF!</v>
      </c>
      <c r="G78" s="65" t="e">
        <f>(18-ЦТО!#REF!-ЦТО!#REF!)/(18-ЦТО!#REF!-ЦТО!#REF!)</f>
        <v>#REF!</v>
      </c>
      <c r="H78" s="66" t="e">
        <f>IF(G78&lt;0.51,'вспомогательные данные'!$C$19,IF(G78&lt;0.92,'вспомогательные данные'!$C$20, IF(G78&lt;2,'вспомогательные данные'!$C$21,'вспомогательные данные'!$C$22)))</f>
        <v>#REF!</v>
      </c>
      <c r="I7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79" spans="1:9">
      <c r="A79" s="62" t="e">
        <f>ЦТО!#REF!</f>
        <v>#REF!</v>
      </c>
      <c r="B79" s="62" t="e">
        <f>ЦТО!#REF!</f>
        <v>#REF!</v>
      </c>
      <c r="C79" s="67" t="e">
        <f>ЦТО!#REF!</f>
        <v>#REF!</v>
      </c>
      <c r="D79" s="63" t="e">
        <f>ЦТО!#REF!</f>
        <v>#REF!</v>
      </c>
      <c r="E79" s="68" t="e">
        <f>SUM(ЦТО!#REF!)</f>
        <v>#REF!</v>
      </c>
      <c r="F79" s="64" t="e">
        <f>IF(E79&lt;10,'вспомогательные данные'!$C$26,IF(E79&lt;19,'вспомогательные данные'!$C$25,'вспомогательные данные'!$C$24))</f>
        <v>#REF!</v>
      </c>
      <c r="G79" s="65" t="e">
        <f>(18-ЦТО!#REF!-ЦТО!#REF!)/(18-ЦТО!#REF!-ЦТО!#REF!)</f>
        <v>#REF!</v>
      </c>
      <c r="H79" s="66" t="e">
        <f>IF(G79&lt;0.51,'вспомогательные данные'!$C$19,IF(G79&lt;0.92,'вспомогательные данные'!$C$20, IF(G79&lt;2,'вспомогательные данные'!$C$21,'вспомогательные данные'!$C$22)))</f>
        <v>#REF!</v>
      </c>
      <c r="I7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0" spans="1:9">
      <c r="A80" s="62" t="e">
        <f>ЦТО!#REF!</f>
        <v>#REF!</v>
      </c>
      <c r="B80" s="62" t="e">
        <f>ЦТО!#REF!</f>
        <v>#REF!</v>
      </c>
      <c r="C80" s="67" t="e">
        <f>ЦТО!#REF!</f>
        <v>#REF!</v>
      </c>
      <c r="D80" s="63" t="e">
        <f>ЦТО!#REF!</f>
        <v>#REF!</v>
      </c>
      <c r="E80" s="68" t="e">
        <f>SUM(ЦТО!#REF!)</f>
        <v>#REF!</v>
      </c>
      <c r="F80" s="64" t="e">
        <f>IF(E80&lt;10,'вспомогательные данные'!$C$26,IF(E80&lt;19,'вспомогательные данные'!$C$25,'вспомогательные данные'!$C$24))</f>
        <v>#REF!</v>
      </c>
      <c r="G80" s="65" t="e">
        <f>(18-ЦТО!#REF!-ЦТО!#REF!)/(18-ЦТО!#REF!-ЦТО!#REF!)</f>
        <v>#REF!</v>
      </c>
      <c r="H80" s="66" t="e">
        <f>IF(G80&lt;0.51,'вспомогательные данные'!$C$19,IF(G80&lt;0.92,'вспомогательные данные'!$C$20, IF(G80&lt;2,'вспомогательные данные'!$C$21,'вспомогательные данные'!$C$22)))</f>
        <v>#REF!</v>
      </c>
      <c r="I8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1" spans="1:9">
      <c r="A81" s="62" t="e">
        <f>ЦТО!#REF!</f>
        <v>#REF!</v>
      </c>
      <c r="B81" s="62" t="e">
        <f>ЦТО!#REF!</f>
        <v>#REF!</v>
      </c>
      <c r="C81" s="67" t="e">
        <f>ЦТО!#REF!</f>
        <v>#REF!</v>
      </c>
      <c r="D81" s="63" t="e">
        <f>ЦТО!#REF!</f>
        <v>#REF!</v>
      </c>
      <c r="E81" s="68" t="e">
        <f>SUM(ЦТО!#REF!)</f>
        <v>#REF!</v>
      </c>
      <c r="F81" s="64" t="e">
        <f>IF(E81&lt;10,'вспомогательные данные'!$C$26,IF(E81&lt;19,'вспомогательные данные'!$C$25,'вспомогательные данные'!$C$24))</f>
        <v>#REF!</v>
      </c>
      <c r="G81" s="65" t="e">
        <f>(18-ЦТО!#REF!-ЦТО!#REF!)/(18-ЦТО!#REF!-ЦТО!#REF!)</f>
        <v>#REF!</v>
      </c>
      <c r="H81" s="66" t="e">
        <f>IF(G81&lt;0.51,'вспомогательные данные'!$C$19,IF(G81&lt;0.92,'вспомогательные данные'!$C$20, IF(G81&lt;2,'вспомогательные данные'!$C$21,'вспомогательные данные'!$C$22)))</f>
        <v>#REF!</v>
      </c>
      <c r="I8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2" spans="1:9" s="78" customFormat="1">
      <c r="A82" s="70" t="e">
        <f>ЦТО!#REF!</f>
        <v>#REF!</v>
      </c>
      <c r="B82" s="70" t="e">
        <f>ЦТО!#REF!</f>
        <v>#REF!</v>
      </c>
      <c r="C82" s="71" t="e">
        <f>ЦТО!#REF!</f>
        <v>#REF!</v>
      </c>
      <c r="D82" s="72" t="e">
        <f>ЦТО!#REF!</f>
        <v>#REF!</v>
      </c>
      <c r="E82" s="77" t="e">
        <f>SUM(ЦТО!#REF!)</f>
        <v>#REF!</v>
      </c>
      <c r="F82" s="73" t="e">
        <f>IF(E82&lt;10,'вспомогательные данные'!$C$26,IF(E82&lt;19,'вспомогательные данные'!$C$25,'вспомогательные данные'!$C$24))</f>
        <v>#REF!</v>
      </c>
      <c r="G82" s="74" t="e">
        <f>(18-ЦТО!#REF!-ЦТО!#REF!)/(18-ЦТО!#REF!-ЦТО!#REF!)</f>
        <v>#REF!</v>
      </c>
      <c r="H82" s="75" t="e">
        <f>IF(G82&lt;0.51,'вспомогательные данные'!$C$19,IF(G82&lt;0.92,'вспомогательные данные'!$C$20, IF(G82&lt;2,'вспомогательные данные'!$C$21,'вспомогательные данные'!$C$22)))</f>
        <v>#REF!</v>
      </c>
      <c r="I82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3" spans="1:9">
      <c r="A83" s="62" t="e">
        <f>ЦТО!#REF!</f>
        <v>#REF!</v>
      </c>
      <c r="B83" s="62" t="e">
        <f>ЦТО!#REF!</f>
        <v>#REF!</v>
      </c>
      <c r="C83" s="67" t="e">
        <f>ЦТО!#REF!</f>
        <v>#REF!</v>
      </c>
      <c r="D83" s="63" t="e">
        <f>ЦТО!#REF!</f>
        <v>#REF!</v>
      </c>
      <c r="E83" s="68" t="e">
        <f>SUM(ЦТО!#REF!)</f>
        <v>#REF!</v>
      </c>
      <c r="F83" s="64" t="e">
        <f>IF(E83&lt;10,'вспомогательные данные'!$C$26,IF(E83&lt;19,'вспомогательные данные'!$C$25,'вспомогательные данные'!$C$24))</f>
        <v>#REF!</v>
      </c>
      <c r="G83" s="65" t="e">
        <f>(18-ЦТО!#REF!-ЦТО!#REF!)/(18-ЦТО!#REF!-ЦТО!#REF!)</f>
        <v>#REF!</v>
      </c>
      <c r="H83" s="66" t="e">
        <f>IF(G83&lt;0.51,'вспомогательные данные'!$C$19,IF(G83&lt;0.92,'вспомогательные данные'!$C$20, IF(G83&lt;2,'вспомогательные данные'!$C$21,'вспомогательные данные'!$C$22)))</f>
        <v>#REF!</v>
      </c>
      <c r="I8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4" spans="1:9">
      <c r="A84" s="62" t="e">
        <f>ЦТО!#REF!</f>
        <v>#REF!</v>
      </c>
      <c r="B84" s="62" t="e">
        <f>ЦТО!#REF!</f>
        <v>#REF!</v>
      </c>
      <c r="C84" s="67" t="e">
        <f>ЦТО!#REF!</f>
        <v>#REF!</v>
      </c>
      <c r="D84" s="63" t="e">
        <f>ЦТО!#REF!</f>
        <v>#REF!</v>
      </c>
      <c r="E84" s="68" t="e">
        <f>SUM(ЦТО!#REF!)</f>
        <v>#REF!</v>
      </c>
      <c r="F84" s="64" t="e">
        <f>IF(E84&lt;10,'вспомогательные данные'!$C$26,IF(E84&lt;19,'вспомогательные данные'!$C$25,'вспомогательные данные'!$C$24))</f>
        <v>#REF!</v>
      </c>
      <c r="G84" s="65" t="e">
        <f>(18-ЦТО!#REF!-ЦТО!#REF!)/(18-ЦТО!#REF!-ЦТО!#REF!)</f>
        <v>#REF!</v>
      </c>
      <c r="H84" s="66" t="e">
        <f>IF(G84&lt;0.51,'вспомогательные данные'!$C$19,IF(G84&lt;0.92,'вспомогательные данные'!$C$20, IF(G84&lt;2,'вспомогательные данные'!$C$21,'вспомогательные данные'!$C$22)))</f>
        <v>#REF!</v>
      </c>
      <c r="I8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5" spans="1:9">
      <c r="A85" s="62" t="e">
        <f>ЦТО!#REF!</f>
        <v>#REF!</v>
      </c>
      <c r="B85" s="62" t="e">
        <f>ЦТО!#REF!</f>
        <v>#REF!</v>
      </c>
      <c r="C85" s="67" t="e">
        <f>ЦТО!#REF!</f>
        <v>#REF!</v>
      </c>
      <c r="D85" s="63" t="e">
        <f>ЦТО!#REF!</f>
        <v>#REF!</v>
      </c>
      <c r="E85" s="68" t="e">
        <f>SUM(ЦТО!#REF!)</f>
        <v>#REF!</v>
      </c>
      <c r="F85" s="64" t="e">
        <f>IF(E85&lt;10,'вспомогательные данные'!$C$26,IF(E85&lt;19,'вспомогательные данные'!$C$25,'вспомогательные данные'!$C$24))</f>
        <v>#REF!</v>
      </c>
      <c r="G85" s="65" t="e">
        <f>(18-ЦТО!#REF!-ЦТО!#REF!)/(18-ЦТО!#REF!-ЦТО!#REF!)</f>
        <v>#REF!</v>
      </c>
      <c r="H85" s="66" t="e">
        <f>IF(G85&lt;0.51,'вспомогательные данные'!$C$19,IF(G85&lt;0.92,'вспомогательные данные'!$C$20, IF(G85&lt;2,'вспомогательные данные'!$C$21,'вспомогательные данные'!$C$22)))</f>
        <v>#REF!</v>
      </c>
      <c r="I8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6" spans="1:9">
      <c r="A86" s="62" t="e">
        <f>ЦТО!#REF!</f>
        <v>#REF!</v>
      </c>
      <c r="B86" s="62" t="e">
        <f>ЦТО!#REF!</f>
        <v>#REF!</v>
      </c>
      <c r="C86" s="67" t="e">
        <f>ЦТО!#REF!</f>
        <v>#REF!</v>
      </c>
      <c r="D86" s="63" t="e">
        <f>ЦТО!#REF!</f>
        <v>#REF!</v>
      </c>
      <c r="E86" s="68" t="e">
        <f>SUM(ЦТО!#REF!)</f>
        <v>#REF!</v>
      </c>
      <c r="F86" s="64" t="e">
        <f>IF(E86&lt;10,'вспомогательные данные'!$C$26,IF(E86&lt;19,'вспомогательные данные'!$C$25,'вспомогательные данные'!$C$24))</f>
        <v>#REF!</v>
      </c>
      <c r="G86" s="65" t="e">
        <f>(18-ЦТО!#REF!-ЦТО!#REF!)/(18-ЦТО!#REF!-ЦТО!#REF!)</f>
        <v>#REF!</v>
      </c>
      <c r="H86" s="66" t="e">
        <f>IF(G86&lt;0.51,'вспомогательные данные'!$C$19,IF(G86&lt;0.92,'вспомогательные данные'!$C$20, IF(G86&lt;2,'вспомогательные данные'!$C$21,'вспомогательные данные'!$C$22)))</f>
        <v>#REF!</v>
      </c>
      <c r="I8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7" spans="1:9">
      <c r="A87" s="62" t="e">
        <f>ЦТО!#REF!</f>
        <v>#REF!</v>
      </c>
      <c r="B87" s="62" t="e">
        <f>ЦТО!#REF!</f>
        <v>#REF!</v>
      </c>
      <c r="C87" s="67" t="e">
        <f>ЦТО!#REF!</f>
        <v>#REF!</v>
      </c>
      <c r="D87" s="63" t="e">
        <f>ЦТО!#REF!</f>
        <v>#REF!</v>
      </c>
      <c r="E87" s="68" t="e">
        <f>SUM(ЦТО!#REF!)</f>
        <v>#REF!</v>
      </c>
      <c r="F87" s="64" t="e">
        <f>IF(E87&lt;10,'вспомогательные данные'!$C$26,IF(E87&lt;19,'вспомогательные данные'!$C$25,'вспомогательные данные'!$C$24))</f>
        <v>#REF!</v>
      </c>
      <c r="G87" s="65" t="e">
        <f>(18-ЦТО!#REF!-ЦТО!#REF!)/(18-ЦТО!#REF!-ЦТО!#REF!)</f>
        <v>#REF!</v>
      </c>
      <c r="H87" s="66" t="e">
        <f>IF(G87&lt;0.51,'вспомогательные данные'!$C$19,IF(G87&lt;0.92,'вспомогательные данные'!$C$20, IF(G87&lt;2,'вспомогательные данные'!$C$21,'вспомогательные данные'!$C$22)))</f>
        <v>#REF!</v>
      </c>
      <c r="I8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8" spans="1:9">
      <c r="A88" s="62" t="e">
        <f>ЦТО!#REF!</f>
        <v>#REF!</v>
      </c>
      <c r="B88" s="62" t="e">
        <f>ЦТО!#REF!</f>
        <v>#REF!</v>
      </c>
      <c r="C88" s="67" t="e">
        <f>ЦТО!#REF!</f>
        <v>#REF!</v>
      </c>
      <c r="D88" s="63" t="e">
        <f>ЦТО!#REF!</f>
        <v>#REF!</v>
      </c>
      <c r="E88" s="68" t="e">
        <f>SUM(ЦТО!#REF!)</f>
        <v>#REF!</v>
      </c>
      <c r="F88" s="64" t="e">
        <f>IF(E88&lt;10,'вспомогательные данные'!$C$26,IF(E88&lt;19,'вспомогательные данные'!$C$25,'вспомогательные данные'!$C$24))</f>
        <v>#REF!</v>
      </c>
      <c r="G88" s="65" t="e">
        <f>(18-ЦТО!#REF!-ЦТО!#REF!)/(18-ЦТО!#REF!-ЦТО!#REF!)</f>
        <v>#REF!</v>
      </c>
      <c r="H88" s="66" t="e">
        <f>IF(G88&lt;0.51,'вспомогательные данные'!$C$19,IF(G88&lt;0.92,'вспомогательные данные'!$C$20, IF(G88&lt;2,'вспомогательные данные'!$C$21,'вспомогательные данные'!$C$22)))</f>
        <v>#REF!</v>
      </c>
      <c r="I8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89" spans="1:9">
      <c r="A89" s="62" t="e">
        <f>ЦТО!#REF!</f>
        <v>#REF!</v>
      </c>
      <c r="B89" s="62" t="e">
        <f>ЦТО!#REF!</f>
        <v>#REF!</v>
      </c>
      <c r="C89" s="67" t="e">
        <f>ЦТО!#REF!</f>
        <v>#REF!</v>
      </c>
      <c r="D89" s="63" t="e">
        <f>ЦТО!#REF!</f>
        <v>#REF!</v>
      </c>
      <c r="E89" s="68" t="e">
        <f>SUM(ЦТО!#REF!)</f>
        <v>#REF!</v>
      </c>
      <c r="F89" s="64" t="e">
        <f>IF(E89&lt;10,'вспомогательные данные'!$C$26,IF(E89&lt;19,'вспомогательные данные'!$C$25,'вспомогательные данные'!$C$24))</f>
        <v>#REF!</v>
      </c>
      <c r="G89" s="65" t="e">
        <f>(18-ЦТО!#REF!-ЦТО!#REF!)/(18-ЦТО!#REF!-ЦТО!#REF!)</f>
        <v>#REF!</v>
      </c>
      <c r="H89" s="66" t="e">
        <f>IF(G89&lt;0.51,'вспомогательные данные'!$C$19,IF(G89&lt;0.92,'вспомогательные данные'!$C$20, IF(G89&lt;2,'вспомогательные данные'!$C$21,'вспомогательные данные'!$C$22)))</f>
        <v>#REF!</v>
      </c>
      <c r="I8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0" spans="1:9">
      <c r="A90" s="62" t="e">
        <f>ЦТО!#REF!</f>
        <v>#REF!</v>
      </c>
      <c r="B90" s="62" t="e">
        <f>ЦТО!#REF!</f>
        <v>#REF!</v>
      </c>
      <c r="C90" s="67" t="e">
        <f>ЦТО!#REF!</f>
        <v>#REF!</v>
      </c>
      <c r="D90" s="63" t="e">
        <f>ЦТО!#REF!</f>
        <v>#REF!</v>
      </c>
      <c r="E90" s="68" t="e">
        <f>SUM(ЦТО!#REF!)</f>
        <v>#REF!</v>
      </c>
      <c r="F90" s="64" t="e">
        <f>IF(E90&lt;10,'вспомогательные данные'!$C$26,IF(E90&lt;19,'вспомогательные данные'!$C$25,'вспомогательные данные'!$C$24))</f>
        <v>#REF!</v>
      </c>
      <c r="G90" s="65" t="e">
        <f>(18-ЦТО!#REF!-ЦТО!#REF!)/(18-ЦТО!#REF!-ЦТО!#REF!)</f>
        <v>#REF!</v>
      </c>
      <c r="H90" s="66" t="e">
        <f>IF(G90&lt;0.51,'вспомогательные данные'!$C$19,IF(G90&lt;0.92,'вспомогательные данные'!$C$20, IF(G90&lt;2,'вспомогательные данные'!$C$21,'вспомогательные данные'!$C$22)))</f>
        <v>#REF!</v>
      </c>
      <c r="I9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1" spans="1:9">
      <c r="A91" s="62" t="e">
        <f>ЦТО!#REF!</f>
        <v>#REF!</v>
      </c>
      <c r="B91" s="62" t="e">
        <f>ЦТО!#REF!</f>
        <v>#REF!</v>
      </c>
      <c r="C91" s="67" t="e">
        <f>ЦТО!#REF!</f>
        <v>#REF!</v>
      </c>
      <c r="D91" s="63" t="e">
        <f>ЦТО!#REF!</f>
        <v>#REF!</v>
      </c>
      <c r="E91" s="68" t="e">
        <f>SUM(ЦТО!#REF!)</f>
        <v>#REF!</v>
      </c>
      <c r="F91" s="64" t="e">
        <f>IF(E91&lt;10,'вспомогательные данные'!$C$26,IF(E91&lt;19,'вспомогательные данные'!$C$25,'вспомогательные данные'!$C$24))</f>
        <v>#REF!</v>
      </c>
      <c r="G91" s="65" t="e">
        <f>(18-ЦТО!#REF!-ЦТО!#REF!)/(18-ЦТО!#REF!-ЦТО!#REF!)</f>
        <v>#REF!</v>
      </c>
      <c r="H91" s="66" t="e">
        <f>IF(G91&lt;0.51,'вспомогательные данные'!$C$19,IF(G91&lt;0.92,'вспомогательные данные'!$C$20, IF(G91&lt;2,'вспомогательные данные'!$C$21,'вспомогательные данные'!$C$22)))</f>
        <v>#REF!</v>
      </c>
      <c r="I9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2" spans="1:9">
      <c r="A92" s="62" t="e">
        <f>ЦТО!#REF!</f>
        <v>#REF!</v>
      </c>
      <c r="B92" s="62" t="e">
        <f>ЦТО!#REF!</f>
        <v>#REF!</v>
      </c>
      <c r="C92" s="67" t="e">
        <f>ЦТО!#REF!</f>
        <v>#REF!</v>
      </c>
      <c r="D92" s="63" t="e">
        <f>ЦТО!#REF!</f>
        <v>#REF!</v>
      </c>
      <c r="E92" s="68" t="e">
        <f>SUM(ЦТО!#REF!)</f>
        <v>#REF!</v>
      </c>
      <c r="F92" s="64" t="e">
        <f>IF(E92&lt;10,'вспомогательные данные'!$C$26,IF(E92&lt;19,'вспомогательные данные'!$C$25,'вспомогательные данные'!$C$24))</f>
        <v>#REF!</v>
      </c>
      <c r="G92" s="65" t="e">
        <f>(18-ЦТО!#REF!-ЦТО!#REF!)/(18-ЦТО!#REF!-ЦТО!#REF!)</f>
        <v>#REF!</v>
      </c>
      <c r="H92" s="66" t="e">
        <f>IF(G92&lt;0.51,'вспомогательные данные'!$C$19,IF(G92&lt;0.92,'вспомогательные данные'!$C$20, IF(G92&lt;2,'вспомогательные данные'!$C$21,'вспомогательные данные'!$C$22)))</f>
        <v>#REF!</v>
      </c>
      <c r="I9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3" spans="1:9">
      <c r="A93" s="62" t="e">
        <f>ЦТО!#REF!</f>
        <v>#REF!</v>
      </c>
      <c r="B93" s="62" t="e">
        <f>ЦТО!#REF!</f>
        <v>#REF!</v>
      </c>
      <c r="C93" s="67" t="e">
        <f>ЦТО!#REF!</f>
        <v>#REF!</v>
      </c>
      <c r="D93" s="63" t="e">
        <f>ЦТО!#REF!</f>
        <v>#REF!</v>
      </c>
      <c r="E93" s="68" t="e">
        <f>SUM(ЦТО!#REF!)</f>
        <v>#REF!</v>
      </c>
      <c r="F93" s="64" t="e">
        <f>IF(E93&lt;10,'вспомогательные данные'!$C$26,IF(E93&lt;19,'вспомогательные данные'!$C$25,'вспомогательные данные'!$C$24))</f>
        <v>#REF!</v>
      </c>
      <c r="G93" s="65" t="e">
        <f>(18-ЦТО!#REF!-ЦТО!#REF!)/(18-ЦТО!#REF!-ЦТО!#REF!)</f>
        <v>#REF!</v>
      </c>
      <c r="H93" s="66" t="e">
        <f>IF(G93&lt;0.51,'вспомогательные данные'!$C$19,IF(G93&lt;0.92,'вспомогательные данные'!$C$20, IF(G93&lt;2,'вспомогательные данные'!$C$21,'вспомогательные данные'!$C$22)))</f>
        <v>#REF!</v>
      </c>
      <c r="I9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4" spans="1:9" s="78" customFormat="1">
      <c r="A94" s="70" t="e">
        <f>ЦТО!#REF!</f>
        <v>#REF!</v>
      </c>
      <c r="B94" s="70" t="e">
        <f>ЦТО!#REF!</f>
        <v>#REF!</v>
      </c>
      <c r="C94" s="71" t="e">
        <f>ЦТО!#REF!</f>
        <v>#REF!</v>
      </c>
      <c r="D94" s="72" t="e">
        <f>ЦТО!#REF!</f>
        <v>#REF!</v>
      </c>
      <c r="E94" s="77" t="e">
        <f>SUM(ЦТО!#REF!)</f>
        <v>#REF!</v>
      </c>
      <c r="F94" s="73" t="e">
        <f>IF(E94&lt;10,'вспомогательные данные'!$C$26,IF(E94&lt;19,'вспомогательные данные'!$C$25,'вспомогательные данные'!$C$24))</f>
        <v>#REF!</v>
      </c>
      <c r="G94" s="74" t="e">
        <f>(18-ЦТО!#REF!-ЦТО!#REF!)/(18-ЦТО!#REF!-ЦТО!#REF!)</f>
        <v>#REF!</v>
      </c>
      <c r="H94" s="75" t="e">
        <f>IF(G94&lt;0.51,'вспомогательные данные'!$C$19,IF(G94&lt;0.92,'вспомогательные данные'!$C$20, IF(G94&lt;2,'вспомогательные данные'!$C$21,'вспомогательные данные'!$C$22)))</f>
        <v>#REF!</v>
      </c>
      <c r="I94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5" spans="1:9">
      <c r="A95" s="62" t="e">
        <f>ЦТО!#REF!</f>
        <v>#REF!</v>
      </c>
      <c r="B95" s="62" t="e">
        <f>ЦТО!#REF!</f>
        <v>#REF!</v>
      </c>
      <c r="C95" s="67" t="e">
        <f>ЦТО!#REF!</f>
        <v>#REF!</v>
      </c>
      <c r="D95" s="63" t="e">
        <f>ЦТО!#REF!</f>
        <v>#REF!</v>
      </c>
      <c r="E95" s="68" t="e">
        <f>SUM(ЦТО!#REF!)</f>
        <v>#REF!</v>
      </c>
      <c r="F95" s="64" t="e">
        <f>IF(E95&lt;10,'вспомогательные данные'!$C$26,IF(E95&lt;19,'вспомогательные данные'!$C$25,'вспомогательные данные'!$C$24))</f>
        <v>#REF!</v>
      </c>
      <c r="G95" s="65" t="e">
        <f>(18-ЦТО!#REF!-ЦТО!#REF!)/(18-ЦТО!#REF!-ЦТО!#REF!)</f>
        <v>#REF!</v>
      </c>
      <c r="H95" s="66" t="e">
        <f>IF(G95&lt;0.51,'вспомогательные данные'!$C$19,IF(G95&lt;0.92,'вспомогательные данные'!$C$20, IF(G95&lt;2,'вспомогательные данные'!$C$21,'вспомогательные данные'!$C$22)))</f>
        <v>#REF!</v>
      </c>
      <c r="I9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6" spans="1:9">
      <c r="A96" s="62" t="e">
        <f>ЦТО!#REF!</f>
        <v>#REF!</v>
      </c>
      <c r="B96" s="62" t="e">
        <f>ЦТО!#REF!</f>
        <v>#REF!</v>
      </c>
      <c r="C96" s="67" t="e">
        <f>ЦТО!#REF!</f>
        <v>#REF!</v>
      </c>
      <c r="D96" s="63" t="e">
        <f>ЦТО!#REF!</f>
        <v>#REF!</v>
      </c>
      <c r="E96" s="68" t="e">
        <f>SUM(ЦТО!#REF!)</f>
        <v>#REF!</v>
      </c>
      <c r="F96" s="64" t="e">
        <f>IF(E96&lt;10,'вспомогательные данные'!$C$26,IF(E96&lt;19,'вспомогательные данные'!$C$25,'вспомогательные данные'!$C$24))</f>
        <v>#REF!</v>
      </c>
      <c r="G96" s="65" t="e">
        <f>(18-ЦТО!#REF!-ЦТО!#REF!)/(18-ЦТО!#REF!-ЦТО!#REF!)</f>
        <v>#REF!</v>
      </c>
      <c r="H96" s="66" t="e">
        <f>IF(G96&lt;0.51,'вспомогательные данные'!$C$19,IF(G96&lt;0.92,'вспомогательные данные'!$C$20, IF(G96&lt;2,'вспомогательные данные'!$C$21,'вспомогательные данные'!$C$22)))</f>
        <v>#REF!</v>
      </c>
      <c r="I9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7" spans="1:9">
      <c r="A97" s="62" t="e">
        <f>ЦТО!#REF!</f>
        <v>#REF!</v>
      </c>
      <c r="B97" s="62" t="e">
        <f>ЦТО!#REF!</f>
        <v>#REF!</v>
      </c>
      <c r="C97" s="67" t="e">
        <f>ЦТО!#REF!</f>
        <v>#REF!</v>
      </c>
      <c r="D97" s="63" t="e">
        <f>ЦТО!#REF!</f>
        <v>#REF!</v>
      </c>
      <c r="E97" s="68" t="e">
        <f>SUM(ЦТО!#REF!)</f>
        <v>#REF!</v>
      </c>
      <c r="F97" s="64" t="e">
        <f>IF(E97&lt;10,'вспомогательные данные'!$C$26,IF(E97&lt;19,'вспомогательные данные'!$C$25,'вспомогательные данные'!$C$24))</f>
        <v>#REF!</v>
      </c>
      <c r="G97" s="65" t="e">
        <f>(18-ЦТО!#REF!-ЦТО!#REF!)/(18-ЦТО!#REF!-ЦТО!#REF!)</f>
        <v>#REF!</v>
      </c>
      <c r="H97" s="66" t="e">
        <f>IF(G97&lt;0.51,'вспомогательные данные'!$C$19,IF(G97&lt;0.92,'вспомогательные данные'!$C$20, IF(G97&lt;2,'вспомогательные данные'!$C$21,'вспомогательные данные'!$C$22)))</f>
        <v>#REF!</v>
      </c>
      <c r="I9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8" spans="1:9">
      <c r="A98" s="62" t="e">
        <f>ЦТО!#REF!</f>
        <v>#REF!</v>
      </c>
      <c r="B98" s="62" t="e">
        <f>ЦТО!#REF!</f>
        <v>#REF!</v>
      </c>
      <c r="C98" s="67" t="e">
        <f>ЦТО!#REF!</f>
        <v>#REF!</v>
      </c>
      <c r="D98" s="63" t="e">
        <f>ЦТО!#REF!</f>
        <v>#REF!</v>
      </c>
      <c r="E98" s="68" t="e">
        <f>SUM(ЦТО!#REF!)</f>
        <v>#REF!</v>
      </c>
      <c r="F98" s="64" t="e">
        <f>IF(E98&lt;10,'вспомогательные данные'!$C$26,IF(E98&lt;19,'вспомогательные данные'!$C$25,'вспомогательные данные'!$C$24))</f>
        <v>#REF!</v>
      </c>
      <c r="G98" s="65" t="e">
        <f>(18-ЦТО!#REF!-ЦТО!#REF!)/(18-ЦТО!#REF!-ЦТО!#REF!)</f>
        <v>#REF!</v>
      </c>
      <c r="H98" s="66" t="e">
        <f>IF(G98&lt;0.51,'вспомогательные данные'!$C$19,IF(G98&lt;0.92,'вспомогательные данные'!$C$20, IF(G98&lt;2,'вспомогательные данные'!$C$21,'вспомогательные данные'!$C$22)))</f>
        <v>#REF!</v>
      </c>
      <c r="I9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99" spans="1:9">
      <c r="A99" s="62" t="e">
        <f>ЦТО!#REF!</f>
        <v>#REF!</v>
      </c>
      <c r="B99" s="62" t="e">
        <f>ЦТО!#REF!</f>
        <v>#REF!</v>
      </c>
      <c r="C99" s="67" t="e">
        <f>ЦТО!#REF!</f>
        <v>#REF!</v>
      </c>
      <c r="D99" s="63" t="e">
        <f>ЦТО!#REF!</f>
        <v>#REF!</v>
      </c>
      <c r="E99" s="68" t="e">
        <f>SUM(ЦТО!#REF!)</f>
        <v>#REF!</v>
      </c>
      <c r="F99" s="64" t="e">
        <f>IF(E99&lt;10,'вспомогательные данные'!$C$26,IF(E99&lt;19,'вспомогательные данные'!$C$25,'вспомогательные данные'!$C$24))</f>
        <v>#REF!</v>
      </c>
      <c r="G99" s="65" t="e">
        <f>(18-ЦТО!#REF!-ЦТО!#REF!)/(18-ЦТО!#REF!-ЦТО!#REF!)</f>
        <v>#REF!</v>
      </c>
      <c r="H99" s="66" t="e">
        <f>IF(G99&lt;0.51,'вспомогательные данные'!$C$19,IF(G99&lt;0.92,'вспомогательные данные'!$C$20, IF(G99&lt;2,'вспомогательные данные'!$C$21,'вспомогательные данные'!$C$22)))</f>
        <v>#REF!</v>
      </c>
      <c r="I9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0" spans="1:9">
      <c r="A100" s="62" t="e">
        <f>ЦТО!#REF!</f>
        <v>#REF!</v>
      </c>
      <c r="B100" s="62" t="e">
        <f>ЦТО!#REF!</f>
        <v>#REF!</v>
      </c>
      <c r="C100" s="67" t="e">
        <f>ЦТО!#REF!</f>
        <v>#REF!</v>
      </c>
      <c r="D100" s="63" t="e">
        <f>ЦТО!#REF!</f>
        <v>#REF!</v>
      </c>
      <c r="E100" s="68" t="e">
        <f>SUM(ЦТО!#REF!)</f>
        <v>#REF!</v>
      </c>
      <c r="F100" s="64" t="e">
        <f>IF(E100&lt;10,'вспомогательные данные'!$C$26,IF(E100&lt;19,'вспомогательные данные'!$C$25,'вспомогательные данные'!$C$24))</f>
        <v>#REF!</v>
      </c>
      <c r="G100" s="65" t="e">
        <f>(18-ЦТО!#REF!-ЦТО!#REF!)/(18-ЦТО!#REF!-ЦТО!#REF!)</f>
        <v>#REF!</v>
      </c>
      <c r="H100" s="66" t="e">
        <f>IF(G100&lt;0.51,'вспомогательные данные'!$C$19,IF(G100&lt;0.92,'вспомогательные данные'!$C$20, IF(G100&lt;2,'вспомогательные данные'!$C$21,'вспомогательные данные'!$C$22)))</f>
        <v>#REF!</v>
      </c>
      <c r="I100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1" spans="1:9">
      <c r="A101" s="62" t="e">
        <f>ЦТО!#REF!</f>
        <v>#REF!</v>
      </c>
      <c r="B101" s="62" t="e">
        <f>ЦТО!#REF!</f>
        <v>#REF!</v>
      </c>
      <c r="C101" s="67" t="e">
        <f>ЦТО!#REF!</f>
        <v>#REF!</v>
      </c>
      <c r="D101" s="63" t="e">
        <f>ЦТО!#REF!</f>
        <v>#REF!</v>
      </c>
      <c r="E101" s="68" t="e">
        <f>SUM(ЦТО!#REF!)</f>
        <v>#REF!</v>
      </c>
      <c r="F101" s="64" t="e">
        <f>IF(E101&lt;10,'вспомогательные данные'!$C$26,IF(E101&lt;19,'вспомогательные данные'!$C$25,'вспомогательные данные'!$C$24))</f>
        <v>#REF!</v>
      </c>
      <c r="G101" s="65" t="e">
        <f>(18-ЦТО!#REF!-ЦТО!#REF!)/(18-ЦТО!#REF!-ЦТО!#REF!)</f>
        <v>#REF!</v>
      </c>
      <c r="H101" s="66" t="e">
        <f>IF(G101&lt;0.51,'вспомогательные данные'!$C$19,IF(G101&lt;0.92,'вспомогательные данные'!$C$20, IF(G101&lt;2,'вспомогательные данные'!$C$21,'вспомогательные данные'!$C$22)))</f>
        <v>#REF!</v>
      </c>
      <c r="I10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2" spans="1:9" s="78" customFormat="1">
      <c r="A102" s="70" t="e">
        <f>ЦТО!#REF!</f>
        <v>#REF!</v>
      </c>
      <c r="B102" s="70" t="e">
        <f>ЦТО!#REF!</f>
        <v>#REF!</v>
      </c>
      <c r="C102" s="71" t="e">
        <f>ЦТО!#REF!</f>
        <v>#REF!</v>
      </c>
      <c r="D102" s="72" t="e">
        <f>ЦТО!#REF!</f>
        <v>#REF!</v>
      </c>
      <c r="E102" s="77" t="e">
        <f>SUM(ЦТО!#REF!)</f>
        <v>#REF!</v>
      </c>
      <c r="F102" s="73" t="e">
        <f>IF(E102&lt;10,'вспомогательные данные'!$C$26,IF(E102&lt;19,'вспомогательные данные'!$C$25,'вспомогательные данные'!$C$24))</f>
        <v>#REF!</v>
      </c>
      <c r="G102" s="74" t="e">
        <f>(18-ЦТО!#REF!-ЦТО!#REF!)/(18-ЦТО!#REF!-ЦТО!#REF!)</f>
        <v>#REF!</v>
      </c>
      <c r="H102" s="75" t="e">
        <f>IF(G102&lt;0.51,'вспомогательные данные'!$C$19,IF(G102&lt;0.92,'вспомогательные данные'!$C$20, IF(G102&lt;2,'вспомогательные данные'!$C$21,'вспомогательные данные'!$C$22)))</f>
        <v>#REF!</v>
      </c>
      <c r="I102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3" spans="1:9">
      <c r="A103" s="62" t="e">
        <f>ЦТО!#REF!</f>
        <v>#REF!</v>
      </c>
      <c r="B103" s="62" t="e">
        <f>ЦТО!#REF!</f>
        <v>#REF!</v>
      </c>
      <c r="C103" s="67" t="e">
        <f>ЦТО!#REF!</f>
        <v>#REF!</v>
      </c>
      <c r="D103" s="63" t="e">
        <f>ЦТО!#REF!</f>
        <v>#REF!</v>
      </c>
      <c r="E103" s="68" t="e">
        <f>SUM(ЦТО!#REF!)</f>
        <v>#REF!</v>
      </c>
      <c r="F103" s="64" t="e">
        <f>IF(E103&lt;10,'вспомогательные данные'!$C$26,IF(E103&lt;19,'вспомогательные данные'!$C$25,'вспомогательные данные'!$C$24))</f>
        <v>#REF!</v>
      </c>
      <c r="G103" s="65" t="e">
        <f>(18-ЦТО!#REF!-ЦТО!#REF!)/(18-ЦТО!#REF!-ЦТО!#REF!)</f>
        <v>#REF!</v>
      </c>
      <c r="H103" s="66" t="e">
        <f>IF(G103&lt;0.51,'вспомогательные данные'!$C$19,IF(G103&lt;0.92,'вспомогательные данные'!$C$20, IF(G103&lt;2,'вспомогательные данные'!$C$21,'вспомогательные данные'!$C$22)))</f>
        <v>#REF!</v>
      </c>
      <c r="I10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4" spans="1:9">
      <c r="A104" s="62" t="e">
        <f>ЦТО!#REF!</f>
        <v>#REF!</v>
      </c>
      <c r="B104" s="62" t="e">
        <f>ЦТО!#REF!</f>
        <v>#REF!</v>
      </c>
      <c r="C104" s="67" t="e">
        <f>ЦТО!#REF!</f>
        <v>#REF!</v>
      </c>
      <c r="D104" s="63" t="e">
        <f>ЦТО!#REF!</f>
        <v>#REF!</v>
      </c>
      <c r="E104" s="68" t="e">
        <f>SUM(ЦТО!#REF!)</f>
        <v>#REF!</v>
      </c>
      <c r="F104" s="64" t="e">
        <f>IF(E104&lt;10,'вспомогательные данные'!$C$26,IF(E104&lt;19,'вспомогательные данные'!$C$25,'вспомогательные данные'!$C$24))</f>
        <v>#REF!</v>
      </c>
      <c r="G104" s="65" t="e">
        <f>(18-ЦТО!#REF!-ЦТО!#REF!)/(18-ЦТО!#REF!-ЦТО!#REF!)</f>
        <v>#REF!</v>
      </c>
      <c r="H104" s="66" t="e">
        <f>IF(G104&lt;0.51,'вспомогательные данные'!$C$19,IF(G104&lt;0.92,'вспомогательные данные'!$C$20, IF(G104&lt;2,'вспомогательные данные'!$C$21,'вспомогательные данные'!$C$22)))</f>
        <v>#REF!</v>
      </c>
      <c r="I10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5" spans="1:9">
      <c r="A105" s="62" t="e">
        <f>ЦТО!#REF!</f>
        <v>#REF!</v>
      </c>
      <c r="B105" s="62" t="e">
        <f>ЦТО!#REF!</f>
        <v>#REF!</v>
      </c>
      <c r="C105" s="67" t="e">
        <f>ЦТО!#REF!</f>
        <v>#REF!</v>
      </c>
      <c r="D105" s="63" t="e">
        <f>ЦТО!#REF!</f>
        <v>#REF!</v>
      </c>
      <c r="E105" s="68" t="e">
        <f>SUM(ЦТО!#REF!)</f>
        <v>#REF!</v>
      </c>
      <c r="F105" s="64" t="e">
        <f>IF(E105&lt;10,'вспомогательные данные'!$C$26,IF(E105&lt;19,'вспомогательные данные'!$C$25,'вспомогательные данные'!$C$24))</f>
        <v>#REF!</v>
      </c>
      <c r="G105" s="65" t="e">
        <f>(18-ЦТО!#REF!-ЦТО!#REF!)/(18-ЦТО!#REF!-ЦТО!#REF!)</f>
        <v>#REF!</v>
      </c>
      <c r="H105" s="66" t="e">
        <f>IF(G105&lt;0.51,'вспомогательные данные'!$C$19,IF(G105&lt;0.92,'вспомогательные данные'!$C$20, IF(G105&lt;2,'вспомогательные данные'!$C$21,'вспомогательные данные'!$C$22)))</f>
        <v>#REF!</v>
      </c>
      <c r="I10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6" spans="1:9">
      <c r="A106" s="62" t="e">
        <f>ЦТО!#REF!</f>
        <v>#REF!</v>
      </c>
      <c r="B106" s="62" t="e">
        <f>ЦТО!#REF!</f>
        <v>#REF!</v>
      </c>
      <c r="C106" s="67" t="e">
        <f>ЦТО!#REF!</f>
        <v>#REF!</v>
      </c>
      <c r="D106" s="63" t="e">
        <f>ЦТО!#REF!</f>
        <v>#REF!</v>
      </c>
      <c r="E106" s="68" t="e">
        <f>SUM(ЦТО!#REF!)</f>
        <v>#REF!</v>
      </c>
      <c r="F106" s="64" t="e">
        <f>IF(E106&lt;10,'вспомогательные данные'!$C$26,IF(E106&lt;19,'вспомогательные данные'!$C$25,'вспомогательные данные'!$C$24))</f>
        <v>#REF!</v>
      </c>
      <c r="G106" s="65" t="e">
        <f>(18-ЦТО!#REF!-ЦТО!#REF!)/(18-ЦТО!#REF!-ЦТО!#REF!)</f>
        <v>#REF!</v>
      </c>
      <c r="H106" s="66" t="e">
        <f>IF(G106&lt;0.51,'вспомогательные данные'!$C$19,IF(G106&lt;0.92,'вспомогательные данные'!$C$20, IF(G106&lt;2,'вспомогательные данные'!$C$21,'вспомогательные данные'!$C$22)))</f>
        <v>#REF!</v>
      </c>
      <c r="I10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7" spans="1:9">
      <c r="A107" s="62" t="e">
        <f>ЦТО!#REF!</f>
        <v>#REF!</v>
      </c>
      <c r="B107" s="62" t="e">
        <f>ЦТО!#REF!</f>
        <v>#REF!</v>
      </c>
      <c r="C107" s="67" t="e">
        <f>ЦТО!#REF!</f>
        <v>#REF!</v>
      </c>
      <c r="D107" s="63" t="e">
        <f>ЦТО!#REF!</f>
        <v>#REF!</v>
      </c>
      <c r="E107" s="68" t="e">
        <f>SUM(ЦТО!#REF!)</f>
        <v>#REF!</v>
      </c>
      <c r="F107" s="64" t="e">
        <f>IF(E107&lt;10,'вспомогательные данные'!$C$26,IF(E107&lt;19,'вспомогательные данные'!$C$25,'вспомогательные данные'!$C$24))</f>
        <v>#REF!</v>
      </c>
      <c r="G107" s="65" t="e">
        <f>(18-ЦТО!#REF!-ЦТО!#REF!)/(18-ЦТО!#REF!-ЦТО!#REF!)</f>
        <v>#REF!</v>
      </c>
      <c r="H107" s="66" t="e">
        <f>IF(G107&lt;0.51,'вспомогательные данные'!$C$19,IF(G107&lt;0.92,'вспомогательные данные'!$C$20, IF(G107&lt;2,'вспомогательные данные'!$C$21,'вспомогательные данные'!$C$22)))</f>
        <v>#REF!</v>
      </c>
      <c r="I10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8" spans="1:9">
      <c r="A108" s="62" t="e">
        <f>ЦТО!#REF!</f>
        <v>#REF!</v>
      </c>
      <c r="B108" s="62" t="e">
        <f>ЦТО!#REF!</f>
        <v>#REF!</v>
      </c>
      <c r="C108" s="67" t="e">
        <f>ЦТО!#REF!</f>
        <v>#REF!</v>
      </c>
      <c r="D108" s="63" t="e">
        <f>ЦТО!#REF!</f>
        <v>#REF!</v>
      </c>
      <c r="E108" s="68" t="e">
        <f>SUM(ЦТО!#REF!)</f>
        <v>#REF!</v>
      </c>
      <c r="F108" s="64" t="e">
        <f>IF(E108&lt;10,'вспомогательные данные'!$C$26,IF(E108&lt;19,'вспомогательные данные'!$C$25,'вспомогательные данные'!$C$24))</f>
        <v>#REF!</v>
      </c>
      <c r="G108" s="65" t="e">
        <f>(18-ЦТО!#REF!-ЦТО!#REF!)/(18-ЦТО!#REF!-ЦТО!#REF!)</f>
        <v>#REF!</v>
      </c>
      <c r="H108" s="66" t="e">
        <f>IF(G108&lt;0.51,'вспомогательные данные'!$C$19,IF(G108&lt;0.92,'вспомогательные данные'!$C$20, IF(G108&lt;2,'вспомогательные данные'!$C$21,'вспомогательные данные'!$C$22)))</f>
        <v>#REF!</v>
      </c>
      <c r="I10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09" spans="1:9" s="78" customFormat="1">
      <c r="A109" s="70" t="e">
        <f>ЦТО!#REF!</f>
        <v>#REF!</v>
      </c>
      <c r="B109" s="70" t="e">
        <f>ЦТО!#REF!</f>
        <v>#REF!</v>
      </c>
      <c r="C109" s="71" t="e">
        <f>ЦТО!#REF!</f>
        <v>#REF!</v>
      </c>
      <c r="D109" s="72" t="e">
        <f>ЦТО!#REF!</f>
        <v>#REF!</v>
      </c>
      <c r="E109" s="77" t="e">
        <f>SUM(ЦТО!#REF!)</f>
        <v>#REF!</v>
      </c>
      <c r="F109" s="73" t="e">
        <f>IF(E109&lt;10,'вспомогательные данные'!$C$26,IF(E109&lt;19,'вспомогательные данные'!$C$25,'вспомогательные данные'!$C$24))</f>
        <v>#REF!</v>
      </c>
      <c r="G109" s="74" t="e">
        <f>(18-ЦТО!#REF!-ЦТО!#REF!)/(18-ЦТО!#REF!-ЦТО!#REF!)</f>
        <v>#REF!</v>
      </c>
      <c r="H109" s="75" t="e">
        <f>IF(G109&lt;0.51,'вспомогательные данные'!$C$19,IF(G109&lt;0.92,'вспомогательные данные'!$C$20, IF(G109&lt;2,'вспомогательные данные'!$C$21,'вспомогательные данные'!$C$22)))</f>
        <v>#REF!</v>
      </c>
      <c r="I109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0" spans="1:9" s="78" customFormat="1">
      <c r="A110" s="70" t="e">
        <f>ЦТО!#REF!</f>
        <v>#REF!</v>
      </c>
      <c r="B110" s="70" t="e">
        <f>ЦТО!#REF!</f>
        <v>#REF!</v>
      </c>
      <c r="C110" s="71" t="e">
        <f>ЦТО!#REF!</f>
        <v>#REF!</v>
      </c>
      <c r="D110" s="72" t="e">
        <f>ЦТО!#REF!</f>
        <v>#REF!</v>
      </c>
      <c r="E110" s="77" t="e">
        <f>SUM(ЦТО!#REF!)</f>
        <v>#REF!</v>
      </c>
      <c r="F110" s="73" t="e">
        <f>IF(E110&lt;10,'вспомогательные данные'!$C$26,IF(E110&lt;19,'вспомогательные данные'!$C$25,'вспомогательные данные'!$C$24))</f>
        <v>#REF!</v>
      </c>
      <c r="G110" s="74" t="e">
        <f>(18-ЦТО!#REF!-ЦТО!#REF!)/(18-ЦТО!#REF!-ЦТО!#REF!)</f>
        <v>#REF!</v>
      </c>
      <c r="H110" s="75" t="e">
        <f>IF(G110&lt;0.51,'вспомогательные данные'!$C$19,IF(G110&lt;0.92,'вспомогательные данные'!$C$20, IF(G110&lt;2,'вспомогательные данные'!$C$21,'вспомогательные данные'!$C$22)))</f>
        <v>#REF!</v>
      </c>
      <c r="I110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1" spans="1:9">
      <c r="A111" s="62" t="e">
        <f>ЦТО!#REF!</f>
        <v>#REF!</v>
      </c>
      <c r="B111" s="62" t="e">
        <f>ЦТО!#REF!</f>
        <v>#REF!</v>
      </c>
      <c r="C111" s="67" t="e">
        <f>ЦТО!#REF!</f>
        <v>#REF!</v>
      </c>
      <c r="D111" s="63" t="e">
        <f>ЦТО!#REF!</f>
        <v>#REF!</v>
      </c>
      <c r="E111" s="68" t="e">
        <f>SUM(ЦТО!#REF!)</f>
        <v>#REF!</v>
      </c>
      <c r="F111" s="64" t="e">
        <f>IF(E111&lt;10,'вспомогательные данные'!$C$26,IF(E111&lt;19,'вспомогательные данные'!$C$25,'вспомогательные данные'!$C$24))</f>
        <v>#REF!</v>
      </c>
      <c r="G111" s="65" t="e">
        <f>(18-ЦТО!#REF!-ЦТО!#REF!)/(18-ЦТО!#REF!-ЦТО!#REF!)</f>
        <v>#REF!</v>
      </c>
      <c r="H111" s="66" t="e">
        <f>IF(G111&lt;0.51,'вспомогательные данные'!$C$19,IF(G111&lt;0.92,'вспомогательные данные'!$C$20, IF(G111&lt;2,'вспомогательные данные'!$C$21,'вспомогательные данные'!$C$22)))</f>
        <v>#REF!</v>
      </c>
      <c r="I11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2" spans="1:9">
      <c r="A112" s="62" t="e">
        <f>ЦТО!#REF!</f>
        <v>#REF!</v>
      </c>
      <c r="B112" s="62" t="e">
        <f>ЦТО!#REF!</f>
        <v>#REF!</v>
      </c>
      <c r="C112" s="67" t="e">
        <f>ЦТО!#REF!</f>
        <v>#REF!</v>
      </c>
      <c r="D112" s="63" t="e">
        <f>ЦТО!#REF!</f>
        <v>#REF!</v>
      </c>
      <c r="E112" s="68" t="e">
        <f>SUM(ЦТО!#REF!)</f>
        <v>#REF!</v>
      </c>
      <c r="F112" s="64" t="e">
        <f>IF(E112&lt;10,'вспомогательные данные'!$C$26,IF(E112&lt;19,'вспомогательные данные'!$C$25,'вспомогательные данные'!$C$24))</f>
        <v>#REF!</v>
      </c>
      <c r="G112" s="65" t="e">
        <f>(18-ЦТО!#REF!-ЦТО!#REF!)/(18-ЦТО!#REF!-ЦТО!#REF!)</f>
        <v>#REF!</v>
      </c>
      <c r="H112" s="66" t="e">
        <f>IF(G112&lt;0.51,'вспомогательные данные'!$C$19,IF(G112&lt;0.92,'вспомогательные данные'!$C$20, IF(G112&lt;2,'вспомогательные данные'!$C$21,'вспомогательные данные'!$C$22)))</f>
        <v>#REF!</v>
      </c>
      <c r="I11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3" spans="1:9">
      <c r="A113" s="62" t="e">
        <f>ЦТО!#REF!</f>
        <v>#REF!</v>
      </c>
      <c r="B113" s="62" t="e">
        <f>ЦТО!#REF!</f>
        <v>#REF!</v>
      </c>
      <c r="C113" s="67" t="e">
        <f>ЦТО!#REF!</f>
        <v>#REF!</v>
      </c>
      <c r="D113" s="63" t="e">
        <f>ЦТО!#REF!</f>
        <v>#REF!</v>
      </c>
      <c r="E113" s="68" t="e">
        <f>SUM(ЦТО!#REF!)</f>
        <v>#REF!</v>
      </c>
      <c r="F113" s="64" t="e">
        <f>IF(E113&lt;10,'вспомогательные данные'!$C$26,IF(E113&lt;19,'вспомогательные данные'!$C$25,'вспомогательные данные'!$C$24))</f>
        <v>#REF!</v>
      </c>
      <c r="G113" s="65" t="e">
        <f>(18-ЦТО!#REF!-ЦТО!#REF!)/(18-ЦТО!#REF!-ЦТО!#REF!)</f>
        <v>#REF!</v>
      </c>
      <c r="H113" s="66" t="e">
        <f>IF(G113&lt;0.51,'вспомогательные данные'!$C$19,IF(G113&lt;0.92,'вспомогательные данные'!$C$20, IF(G113&lt;2,'вспомогательные данные'!$C$21,'вспомогательные данные'!$C$22)))</f>
        <v>#REF!</v>
      </c>
      <c r="I113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4" spans="1:9">
      <c r="A114" s="62" t="e">
        <f>ЦТО!#REF!</f>
        <v>#REF!</v>
      </c>
      <c r="B114" s="62" t="e">
        <f>ЦТО!#REF!</f>
        <v>#REF!</v>
      </c>
      <c r="C114" s="67" t="e">
        <f>ЦТО!#REF!</f>
        <v>#REF!</v>
      </c>
      <c r="D114" s="63" t="e">
        <f>ЦТО!#REF!</f>
        <v>#REF!</v>
      </c>
      <c r="E114" s="68" t="e">
        <f>SUM(ЦТО!#REF!)</f>
        <v>#REF!</v>
      </c>
      <c r="F114" s="64" t="e">
        <f>IF(E114&lt;10,'вспомогательные данные'!$C$26,IF(E114&lt;19,'вспомогательные данные'!$C$25,'вспомогательные данные'!$C$24))</f>
        <v>#REF!</v>
      </c>
      <c r="G114" s="65" t="e">
        <f>(18-ЦТО!#REF!-ЦТО!#REF!)/(18-ЦТО!#REF!-ЦТО!#REF!)</f>
        <v>#REF!</v>
      </c>
      <c r="H114" s="66" t="e">
        <f>IF(G114&lt;0.51,'вспомогательные данные'!$C$19,IF(G114&lt;0.92,'вспомогательные данные'!$C$20, IF(G114&lt;2,'вспомогательные данные'!$C$21,'вспомогательные данные'!$C$22)))</f>
        <v>#REF!</v>
      </c>
      <c r="I114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5" spans="1:9">
      <c r="A115" s="62" t="e">
        <f>ЦТО!#REF!</f>
        <v>#REF!</v>
      </c>
      <c r="B115" s="62" t="e">
        <f>ЦТО!#REF!</f>
        <v>#REF!</v>
      </c>
      <c r="C115" s="67" t="e">
        <f>ЦТО!#REF!</f>
        <v>#REF!</v>
      </c>
      <c r="D115" s="63" t="e">
        <f>ЦТО!#REF!</f>
        <v>#REF!</v>
      </c>
      <c r="E115" s="68" t="e">
        <f>SUM(ЦТО!#REF!)</f>
        <v>#REF!</v>
      </c>
      <c r="F115" s="64" t="e">
        <f>IF(E115&lt;10,'вспомогательные данные'!$C$26,IF(E115&lt;19,'вспомогательные данные'!$C$25,'вспомогательные данные'!$C$24))</f>
        <v>#REF!</v>
      </c>
      <c r="G115" s="65" t="e">
        <f>(18-ЦТО!#REF!-ЦТО!#REF!)/(18-ЦТО!#REF!-ЦТО!#REF!)</f>
        <v>#REF!</v>
      </c>
      <c r="H115" s="66" t="e">
        <f>IF(G115&lt;0.51,'вспомогательные данные'!$C$19,IF(G115&lt;0.92,'вспомогательные данные'!$C$20, IF(G115&lt;2,'вспомогательные данные'!$C$21,'вспомогательные данные'!$C$22)))</f>
        <v>#REF!</v>
      </c>
      <c r="I115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6" spans="1:9">
      <c r="A116" s="62" t="e">
        <f>ЦТО!#REF!</f>
        <v>#REF!</v>
      </c>
      <c r="B116" s="62" t="e">
        <f>ЦТО!#REF!</f>
        <v>#REF!</v>
      </c>
      <c r="C116" s="67" t="e">
        <f>ЦТО!#REF!</f>
        <v>#REF!</v>
      </c>
      <c r="D116" s="63" t="e">
        <f>ЦТО!#REF!</f>
        <v>#REF!</v>
      </c>
      <c r="E116" s="68" t="e">
        <f>SUM(ЦТО!#REF!)</f>
        <v>#REF!</v>
      </c>
      <c r="F116" s="64" t="e">
        <f>IF(E116&lt;10,'вспомогательные данные'!$C$26,IF(E116&lt;19,'вспомогательные данные'!$C$25,'вспомогательные данные'!$C$24))</f>
        <v>#REF!</v>
      </c>
      <c r="G116" s="65" t="e">
        <f>(18-ЦТО!#REF!-ЦТО!#REF!)/(18-ЦТО!#REF!-ЦТО!#REF!)</f>
        <v>#REF!</v>
      </c>
      <c r="H116" s="66" t="e">
        <f>IF(G116&lt;0.51,'вспомогательные данные'!$C$19,IF(G116&lt;0.92,'вспомогательные данные'!$C$20, IF(G116&lt;2,'вспомогательные данные'!$C$21,'вспомогательные данные'!$C$22)))</f>
        <v>#REF!</v>
      </c>
      <c r="I116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7" spans="1:9">
      <c r="A117" s="62" t="e">
        <f>ЦТО!#REF!</f>
        <v>#REF!</v>
      </c>
      <c r="B117" s="62" t="e">
        <f>ЦТО!#REF!</f>
        <v>#REF!</v>
      </c>
      <c r="C117" s="67" t="e">
        <f>ЦТО!#REF!</f>
        <v>#REF!</v>
      </c>
      <c r="D117" s="63" t="e">
        <f>ЦТО!#REF!</f>
        <v>#REF!</v>
      </c>
      <c r="E117" s="68" t="e">
        <f>SUM(ЦТО!#REF!)</f>
        <v>#REF!</v>
      </c>
      <c r="F117" s="64" t="e">
        <f>IF(E117&lt;10,'вспомогательные данные'!$C$26,IF(E117&lt;19,'вспомогательные данные'!$C$25,'вспомогательные данные'!$C$24))</f>
        <v>#REF!</v>
      </c>
      <c r="G117" s="65" t="e">
        <f>(18-ЦТО!#REF!-ЦТО!#REF!)/(18-ЦТО!#REF!-ЦТО!#REF!)</f>
        <v>#REF!</v>
      </c>
      <c r="H117" s="66" t="e">
        <f>IF(G117&lt;0.51,'вспомогательные данные'!$C$19,IF(G117&lt;0.92,'вспомогательные данные'!$C$20, IF(G117&lt;2,'вспомогательные данные'!$C$21,'вспомогательные данные'!$C$22)))</f>
        <v>#REF!</v>
      </c>
      <c r="I117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8" spans="1:9">
      <c r="A118" s="62" t="e">
        <f>ЦТО!#REF!</f>
        <v>#REF!</v>
      </c>
      <c r="B118" s="62" t="e">
        <f>ЦТО!#REF!</f>
        <v>#REF!</v>
      </c>
      <c r="C118" s="67" t="e">
        <f>ЦТО!#REF!</f>
        <v>#REF!</v>
      </c>
      <c r="D118" s="63" t="e">
        <f>ЦТО!#REF!</f>
        <v>#REF!</v>
      </c>
      <c r="E118" s="68" t="e">
        <f>SUM(ЦТО!#REF!)</f>
        <v>#REF!</v>
      </c>
      <c r="F118" s="64" t="e">
        <f>IF(E118&lt;10,'вспомогательные данные'!$C$26,IF(E118&lt;19,'вспомогательные данные'!$C$25,'вспомогательные данные'!$C$24))</f>
        <v>#REF!</v>
      </c>
      <c r="G118" s="65" t="e">
        <f>(18-ЦТО!#REF!-ЦТО!#REF!)/(18-ЦТО!#REF!-ЦТО!#REF!)</f>
        <v>#REF!</v>
      </c>
      <c r="H118" s="66" t="e">
        <f>IF(G118&lt;0.51,'вспомогательные данные'!$C$19,IF(G118&lt;0.92,'вспомогательные данные'!$C$20, IF(G118&lt;2,'вспомогательные данные'!$C$21,'вспомогательные данные'!$C$22)))</f>
        <v>#REF!</v>
      </c>
      <c r="I118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19" spans="1:9">
      <c r="A119" s="62" t="e">
        <f>ЦТО!#REF!</f>
        <v>#REF!</v>
      </c>
      <c r="B119" s="62" t="e">
        <f>ЦТО!#REF!</f>
        <v>#REF!</v>
      </c>
      <c r="C119" s="67" t="e">
        <f>ЦТО!#REF!</f>
        <v>#REF!</v>
      </c>
      <c r="D119" s="63" t="e">
        <f>ЦТО!#REF!</f>
        <v>#REF!</v>
      </c>
      <c r="E119" s="68" t="e">
        <f>SUM(ЦТО!#REF!)</f>
        <v>#REF!</v>
      </c>
      <c r="F119" s="64" t="e">
        <f>IF(E119&lt;10,'вспомогательные данные'!$C$26,IF(E119&lt;19,'вспомогательные данные'!$C$25,'вспомогательные данные'!$C$24))</f>
        <v>#REF!</v>
      </c>
      <c r="G119" s="65" t="e">
        <f>(18-ЦТО!#REF!-ЦТО!#REF!)/(18-ЦТО!#REF!-ЦТО!#REF!)</f>
        <v>#REF!</v>
      </c>
      <c r="H119" s="66" t="e">
        <f>IF(G119&lt;0.51,'вспомогательные данные'!$C$19,IF(G119&lt;0.92,'вспомогательные данные'!$C$20, IF(G119&lt;2,'вспомогательные данные'!$C$21,'вспомогательные данные'!$C$22)))</f>
        <v>#REF!</v>
      </c>
      <c r="I119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20" spans="1:9" s="78" customFormat="1">
      <c r="A120" s="70" t="e">
        <f>ЦТО!#REF!</f>
        <v>#REF!</v>
      </c>
      <c r="B120" s="70" t="e">
        <f>ЦТО!#REF!</f>
        <v>#REF!</v>
      </c>
      <c r="C120" s="71" t="e">
        <f>ЦТО!#REF!</f>
        <v>#REF!</v>
      </c>
      <c r="D120" s="72" t="e">
        <f>ЦТО!#REF!</f>
        <v>#REF!</v>
      </c>
      <c r="E120" s="77" t="e">
        <f>SUM(ЦТО!#REF!)</f>
        <v>#REF!</v>
      </c>
      <c r="F120" s="73" t="e">
        <f>IF(E120&lt;10,'вспомогательные данные'!$C$26,IF(E120&lt;19,'вспомогательные данные'!$C$25,'вспомогательные данные'!$C$24))</f>
        <v>#REF!</v>
      </c>
      <c r="G120" s="74" t="e">
        <f>(18-ЦТО!#REF!-ЦТО!#REF!)/(18-ЦТО!#REF!-ЦТО!#REF!)</f>
        <v>#REF!</v>
      </c>
      <c r="H120" s="75" t="e">
        <f>IF(G120&lt;0.51,'вспомогательные данные'!$C$19,IF(G120&lt;0.92,'вспомогательные данные'!$C$20, IF(G120&lt;2,'вспомогательные данные'!$C$21,'вспомогательные данные'!$C$22)))</f>
        <v>#REF!</v>
      </c>
      <c r="I120" s="76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21" spans="1:9">
      <c r="A121" s="62" t="e">
        <f>ЦТО!#REF!</f>
        <v>#REF!</v>
      </c>
      <c r="B121" s="62" t="e">
        <f>ЦТО!#REF!</f>
        <v>#REF!</v>
      </c>
      <c r="C121" s="67" t="e">
        <f>ЦТО!#REF!</f>
        <v>#REF!</v>
      </c>
      <c r="D121" s="63" t="e">
        <f>ЦТО!#REF!</f>
        <v>#REF!</v>
      </c>
      <c r="E121" s="68" t="e">
        <f>SUM(ЦТО!#REF!)</f>
        <v>#REF!</v>
      </c>
      <c r="F121" s="64" t="e">
        <f>IF(E121&lt;10,'вспомогательные данные'!$C$26,IF(E121&lt;19,'вспомогательные данные'!$C$25,'вспомогательные данные'!$C$24))</f>
        <v>#REF!</v>
      </c>
      <c r="G121" s="65" t="e">
        <f>(18-ЦТО!#REF!-ЦТО!#REF!)/(18-ЦТО!#REF!-ЦТО!#REF!)</f>
        <v>#REF!</v>
      </c>
      <c r="H121" s="66" t="e">
        <f>IF(G121&lt;0.51,'вспомогательные данные'!$C$19,IF(G121&lt;0.92,'вспомогательные данные'!$C$20, IF(G121&lt;2,'вспомогательные данные'!$C$21,'вспомогательные данные'!$C$22)))</f>
        <v>#REF!</v>
      </c>
      <c r="I121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22" spans="1:9">
      <c r="A122" s="62" t="e">
        <f>ЦТО!#REF!</f>
        <v>#REF!</v>
      </c>
      <c r="B122" s="62" t="e">
        <f>ЦТО!#REF!</f>
        <v>#REF!</v>
      </c>
      <c r="D122" s="63" t="e">
        <f>ЦТО!#REF!</f>
        <v>#REF!</v>
      </c>
      <c r="E122" s="68" t="e">
        <f>SUM(ЦТО!#REF!)</f>
        <v>#REF!</v>
      </c>
      <c r="F122" s="64" t="e">
        <f>IF(E122&lt;10,'вспомогательные данные'!$C$26,IF(E122&lt;19,'вспомогательные данные'!$C$25,'вспомогательные данные'!$C$24))</f>
        <v>#REF!</v>
      </c>
      <c r="G122" s="65" t="e">
        <f>(18-ЦТО!#REF!-ЦТО!#REF!)/(18-ЦТО!#REF!-ЦТО!#REF!)</f>
        <v>#REF!</v>
      </c>
      <c r="H122" s="66" t="e">
        <f>IF(G122&lt;0.51,'вспомогательные данные'!$C$19,IF(G122&lt;0.92,'вспомогательные данные'!$C$20, IF(G122&lt;2,'вспомогательные данные'!$C$21,'вспомогательные данные'!$C$22)))</f>
        <v>#REF!</v>
      </c>
      <c r="I122" s="61" t="e">
        <f>IF(OR(ЦТО!#REF!=1,ЦТО!#REF!=1,ЦТО!#REF!=1,ЦТО!#REF!=1),"Положительная",IF(OR(ЦТО!#REF!=1,ЦТО!#REF!=1,ЦТО!#REF!=1),"Отрицательная",IF(OR(ЦТО!#REF!=1),"Инфантильная")))</f>
        <v>#REF!</v>
      </c>
    </row>
    <row r="123" spans="1:9">
      <c r="A123" s="62" t="e">
        <f>ЦТО!#REF!</f>
        <v>#REF!</v>
      </c>
      <c r="B123" s="62">
        <f>ЦТО!B29</f>
        <v>0</v>
      </c>
      <c r="C123" s="67" t="e">
        <f>ЦТО!#REF!</f>
        <v>#REF!</v>
      </c>
      <c r="D123" s="63" t="e">
        <f>ЦТО!#REF!</f>
        <v>#REF!</v>
      </c>
      <c r="E123" s="68" t="e">
        <f>SUM(ЦТО!#REF!)</f>
        <v>#REF!</v>
      </c>
      <c r="F123" s="64" t="e">
        <f>IF(E123&lt;10,'вспомогательные данные'!$C$26,IF(E123&lt;19,'вспомогательные данные'!$C$25,'вспомогательные данные'!$C$24))</f>
        <v>#REF!</v>
      </c>
      <c r="G123" s="65">
        <f>(18-ЦТО!AM28-ЦТО!AL28)/(18-ЦТО!AL28-ЦТО!AP28)</f>
        <v>1</v>
      </c>
      <c r="H123" s="66" t="str">
        <f>IF(G123&lt;0.51,'вспомогательные данные'!$C$19,IF(G123&lt;0.92,'вспомогательные данные'!$C$20, IF(G123&lt;2,'вспомогательные данные'!$C$21,'вспомогательные данные'!$C$22)))</f>
        <v>оптимальная работоспособность</v>
      </c>
      <c r="I123" s="61" t="b">
        <f>IF(OR(ЦТО!AT28=1,ЦТО!AU28=1,ЦТО!AV28=1,ЦТО!AX28=1),"Положительная",IF(OR(ЦТО!AY28=1,ЦТО!AZ28=1,ЦТО!BA28=1),"Отрицательная",IF(OR(ЦТО!AW28=1),"Инфантильная")))</f>
        <v>0</v>
      </c>
    </row>
    <row r="124" spans="1:9">
      <c r="A124" s="62">
        <f>ЦТО!A28</f>
        <v>0</v>
      </c>
      <c r="B124" s="62">
        <f>ЦТО!B30</f>
        <v>0</v>
      </c>
      <c r="C124" s="67">
        <f>ЦТО!C28</f>
        <v>0</v>
      </c>
      <c r="D124" s="63">
        <f>ЦТО!D28</f>
        <v>0</v>
      </c>
      <c r="E124" s="68">
        <f>SUM(ЦТО!BB28:BI28)</f>
        <v>0</v>
      </c>
      <c r="F124" s="64" t="str">
        <f>IF(E124&lt;10,'вспомогательные данные'!$C$26,IF(E124&lt;19,'вспомогательные данные'!$C$25,'вспомогательные данные'!$C$24))</f>
        <v>положительный</v>
      </c>
      <c r="G124" s="65">
        <f>(18-ЦТО!AM29-ЦТО!AL29)/(18-ЦТО!AL29-ЦТО!AP29)</f>
        <v>1</v>
      </c>
      <c r="H124" s="66" t="str">
        <f>IF(G124&lt;0.51,'вспомогательные данные'!$C$19,IF(G124&lt;0.92,'вспомогательные данные'!$C$20, IF(G124&lt;2,'вспомогательные данные'!$C$21,'вспомогательные данные'!$C$22)))</f>
        <v>оптимальная работоспособность</v>
      </c>
      <c r="I124" s="61" t="b">
        <f>IF(OR(ЦТО!AT29=1,ЦТО!AU29=1,ЦТО!AV29=1,ЦТО!AX29=1),"Положительная",IF(OR(ЦТО!AY29=1,ЦТО!AZ29=1,ЦТО!BA29=1),"Отрицательная",IF(OR(ЦТО!AW29=1),"Инфантильная")))</f>
        <v>0</v>
      </c>
    </row>
    <row r="125" spans="1:9">
      <c r="A125" s="62">
        <f>ЦТО!A29</f>
        <v>0</v>
      </c>
      <c r="B125" s="62">
        <f>ЦТО!B31</f>
        <v>0</v>
      </c>
      <c r="C125" s="67">
        <f>ЦТО!C29</f>
        <v>0</v>
      </c>
      <c r="D125" s="63">
        <f>ЦТО!D29</f>
        <v>0</v>
      </c>
      <c r="E125" s="68">
        <f>SUM(ЦТО!BB29:BI29)</f>
        <v>0</v>
      </c>
      <c r="F125" s="64" t="str">
        <f>IF(E125&lt;10,'вспомогательные данные'!$C$26,IF(E125&lt;19,'вспомогательные данные'!$C$25,'вспомогательные данные'!$C$24))</f>
        <v>положительный</v>
      </c>
      <c r="G125" s="65">
        <f>(18-ЦТО!AM30-ЦТО!AL30)/(18-ЦТО!AL30-ЦТО!AP30)</f>
        <v>1</v>
      </c>
      <c r="H125" s="66" t="str">
        <f>IF(G125&lt;0.51,'вспомогательные данные'!$C$19,IF(G125&lt;0.92,'вспомогательные данные'!$C$20, IF(G125&lt;2,'вспомогательные данные'!$C$21,'вспомогательные данные'!$C$22)))</f>
        <v>оптимальная работоспособность</v>
      </c>
      <c r="I125" s="61" t="b">
        <f>IF(OR(ЦТО!AT30=1,ЦТО!AU30=1,ЦТО!AV30=1,ЦТО!AX30=1),"Положительная",IF(OR(ЦТО!AY30=1,ЦТО!AZ30=1,ЦТО!BA30=1),"Отрицательная",IF(OR(ЦТО!AW30=1),"Инфантильная")))</f>
        <v>0</v>
      </c>
    </row>
    <row r="126" spans="1:9">
      <c r="A126" s="62">
        <f>ЦТО!A30</f>
        <v>0</v>
      </c>
      <c r="B126" s="62">
        <f>ЦТО!B32</f>
        <v>0</v>
      </c>
      <c r="C126" s="67">
        <f>ЦТО!C30</f>
        <v>0</v>
      </c>
      <c r="D126" s="63">
        <f>ЦТО!D30</f>
        <v>0</v>
      </c>
      <c r="E126" s="68">
        <f>SUM(ЦТО!BB30:BI30)</f>
        <v>0</v>
      </c>
      <c r="F126" s="64" t="str">
        <f>IF(E126&lt;10,'вспомогательные данные'!$C$26,IF(E126&lt;19,'вспомогательные данные'!$C$25,'вспомогательные данные'!$C$24))</f>
        <v>положительный</v>
      </c>
      <c r="G126" s="65">
        <f>(18-ЦТО!AM31-ЦТО!AL31)/(18-ЦТО!AL31-ЦТО!AP31)</f>
        <v>1</v>
      </c>
      <c r="H126" s="66" t="str">
        <f>IF(G126&lt;0.51,'вспомогательные данные'!$C$19,IF(G126&lt;0.92,'вспомогательные данные'!$C$20, IF(G126&lt;2,'вспомогательные данные'!$C$21,'вспомогательные данные'!$C$22)))</f>
        <v>оптимальная работоспособность</v>
      </c>
      <c r="I126" s="61" t="b">
        <f>IF(OR(ЦТО!AT31=1,ЦТО!AU31=1,ЦТО!AV31=1,ЦТО!AX31=1),"Положительная",IF(OR(ЦТО!AY31=1,ЦТО!AZ31=1,ЦТО!BA31=1),"Отрицательная",IF(OR(ЦТО!AW31=1),"Инфантильная")))</f>
        <v>0</v>
      </c>
    </row>
    <row r="127" spans="1:9">
      <c r="A127" s="62">
        <f>ЦТО!A31</f>
        <v>0</v>
      </c>
      <c r="B127" s="62">
        <f>ЦТО!B33</f>
        <v>0</v>
      </c>
      <c r="C127" s="67">
        <f>ЦТО!C31</f>
        <v>0</v>
      </c>
      <c r="D127" s="63">
        <f>ЦТО!D31</f>
        <v>0</v>
      </c>
      <c r="E127" s="68">
        <f>SUM(ЦТО!BB31:BI31)</f>
        <v>0</v>
      </c>
      <c r="F127" s="64" t="str">
        <f>IF(E127&lt;10,'вспомогательные данные'!$C$26,IF(E127&lt;19,'вспомогательные данные'!$C$25,'вспомогательные данные'!$C$24))</f>
        <v>положительный</v>
      </c>
      <c r="G127" s="65">
        <f>(18-ЦТО!AM32-ЦТО!AL32)/(18-ЦТО!AL32-ЦТО!AP32)</f>
        <v>1</v>
      </c>
      <c r="H127" s="66" t="str">
        <f>IF(G127&lt;0.51,'вспомогательные данные'!$C$19,IF(G127&lt;0.92,'вспомогательные данные'!$C$20, IF(G127&lt;2,'вспомогательные данные'!$C$21,'вспомогательные данные'!$C$22)))</f>
        <v>оптимальная работоспособность</v>
      </c>
      <c r="I127" s="61" t="b">
        <f>IF(OR(ЦТО!AT32=1,ЦТО!AU32=1,ЦТО!AV32=1,ЦТО!AX32=1),"Положительная",IF(OR(ЦТО!AY32=1,ЦТО!AZ32=1,ЦТО!BA32=1),"Отрицательная",IF(OR(ЦТО!AW32=1),"Инфантильная")))</f>
        <v>0</v>
      </c>
    </row>
    <row r="128" spans="1:9">
      <c r="A128" s="62">
        <f>ЦТО!A32</f>
        <v>0</v>
      </c>
      <c r="B128" s="62">
        <f>ЦТО!B34</f>
        <v>0</v>
      </c>
      <c r="C128" s="67">
        <f>ЦТО!C32</f>
        <v>0</v>
      </c>
      <c r="D128" s="63">
        <f>ЦТО!D32</f>
        <v>0</v>
      </c>
      <c r="E128" s="68">
        <f>SUM(ЦТО!BB32:BI32)</f>
        <v>0</v>
      </c>
      <c r="F128" s="64" t="str">
        <f>IF(E128&lt;10,'вспомогательные данные'!$C$26,IF(E128&lt;19,'вспомогательные данные'!$C$25,'вспомогательные данные'!$C$24))</f>
        <v>положительный</v>
      </c>
      <c r="G128" s="65">
        <f>(18-ЦТО!AM33-ЦТО!AL33)/(18-ЦТО!AL33-ЦТО!AP33)</f>
        <v>1</v>
      </c>
      <c r="H128" s="66" t="str">
        <f>IF(G128&lt;0.51,'вспомогательные данные'!$C$19,IF(G128&lt;0.92,'вспомогательные данные'!$C$20, IF(G128&lt;2,'вспомогательные данные'!$C$21,'вспомогательные данные'!$C$22)))</f>
        <v>оптимальная работоспособность</v>
      </c>
      <c r="I128" s="61" t="b">
        <f>IF(OR(ЦТО!AT33=1,ЦТО!AU33=1,ЦТО!AV33=1,ЦТО!AX33=1),"Положительная",IF(OR(ЦТО!AY33=1,ЦТО!AZ33=1,ЦТО!BA33=1),"Отрицательная",IF(OR(ЦТО!AW33=1),"Инфантильная")))</f>
        <v>0</v>
      </c>
    </row>
    <row r="129" spans="1:9">
      <c r="A129" s="62">
        <f>ЦТО!A33</f>
        <v>0</v>
      </c>
      <c r="B129" s="62">
        <f>ЦТО!B35</f>
        <v>0</v>
      </c>
      <c r="C129" s="67">
        <f>ЦТО!C33</f>
        <v>0</v>
      </c>
      <c r="D129" s="63">
        <f>ЦТО!D33</f>
        <v>0</v>
      </c>
      <c r="E129" s="68">
        <f>SUM(ЦТО!BB33:BI33)</f>
        <v>0</v>
      </c>
      <c r="F129" s="64" t="str">
        <f>IF(E129&lt;10,'вспомогательные данные'!$C$26,IF(E129&lt;19,'вспомогательные данные'!$C$25,'вспомогательные данные'!$C$24))</f>
        <v>положительный</v>
      </c>
      <c r="G129" s="65">
        <f>(18-ЦТО!AM34-ЦТО!AL34)/(18-ЦТО!AL34-ЦТО!AP34)</f>
        <v>1</v>
      </c>
      <c r="H129" s="66" t="str">
        <f>IF(G129&lt;0.51,'вспомогательные данные'!$C$19,IF(G129&lt;0.92,'вспомогательные данные'!$C$20, IF(G129&lt;2,'вспомогательные данные'!$C$21,'вспомогательные данные'!$C$22)))</f>
        <v>оптимальная работоспособность</v>
      </c>
      <c r="I129" s="61" t="b">
        <f>IF(OR(ЦТО!AT34=1,ЦТО!AU34=1,ЦТО!AV34=1,ЦТО!AX34=1),"Положительная",IF(OR(ЦТО!AY34=1,ЦТО!AZ34=1,ЦТО!BA34=1),"Отрицательная",IF(OR(ЦТО!AW34=1),"Инфантильная")))</f>
        <v>0</v>
      </c>
    </row>
    <row r="130" spans="1:9">
      <c r="A130" s="62">
        <f>ЦТО!A34</f>
        <v>0</v>
      </c>
      <c r="B130" s="62">
        <f>ЦТО!B36</f>
        <v>0</v>
      </c>
      <c r="C130" s="67">
        <f>ЦТО!C34</f>
        <v>0</v>
      </c>
      <c r="D130" s="63">
        <f>ЦТО!D34</f>
        <v>0</v>
      </c>
      <c r="E130" s="68">
        <f>SUM(ЦТО!BB34:BI34)</f>
        <v>0</v>
      </c>
      <c r="F130" s="64" t="str">
        <f>IF(E130&lt;10,'вспомогательные данные'!$C$26,IF(E130&lt;19,'вспомогательные данные'!$C$25,'вспомогательные данные'!$C$24))</f>
        <v>положительный</v>
      </c>
      <c r="G130" s="65">
        <f>(18-ЦТО!AM35-ЦТО!AL35)/(18-ЦТО!AL35-ЦТО!AP35)</f>
        <v>1</v>
      </c>
      <c r="H130" s="66" t="str">
        <f>IF(G130&lt;0.51,'вспомогательные данные'!$C$19,IF(G130&lt;0.92,'вспомогательные данные'!$C$20, IF(G130&lt;2,'вспомогательные данные'!$C$21,'вспомогательные данные'!$C$22)))</f>
        <v>оптимальная работоспособность</v>
      </c>
      <c r="I130" s="61" t="b">
        <f>IF(OR(ЦТО!AT35=1,ЦТО!AU35=1,ЦТО!AV35=1,ЦТО!AX35=1),"Положительная",IF(OR(ЦТО!AY35=1,ЦТО!AZ35=1,ЦТО!BA35=1),"Отрицательная",IF(OR(ЦТО!AW35=1),"Инфантильная")))</f>
        <v>0</v>
      </c>
    </row>
    <row r="131" spans="1:9">
      <c r="A131" s="62">
        <f>ЦТО!A35</f>
        <v>0</v>
      </c>
      <c r="B131" s="62">
        <f>ЦТО!B37</f>
        <v>0</v>
      </c>
      <c r="C131" s="67">
        <f>ЦТО!C35</f>
        <v>0</v>
      </c>
      <c r="D131" s="63">
        <f>ЦТО!D35</f>
        <v>0</v>
      </c>
      <c r="E131" s="68">
        <f>SUM(ЦТО!BB35:BI35)</f>
        <v>0</v>
      </c>
      <c r="F131" s="64" t="str">
        <f>IF(E131&lt;10,'вспомогательные данные'!$C$26,IF(E131&lt;19,'вспомогательные данные'!$C$25,'вспомогательные данные'!$C$24))</f>
        <v>положительный</v>
      </c>
      <c r="G131" s="65">
        <f>(18-ЦТО!AM36-ЦТО!AL36)/(18-ЦТО!AL36-ЦТО!AP36)</f>
        <v>1</v>
      </c>
      <c r="H131" s="66" t="str">
        <f>IF(G131&lt;0.51,'вспомогательные данные'!$C$19,IF(G131&lt;0.92,'вспомогательные данные'!$C$20, IF(G131&lt;2,'вспомогательные данные'!$C$21,'вспомогательные данные'!$C$22)))</f>
        <v>оптимальная работоспособность</v>
      </c>
      <c r="I131" s="61" t="b">
        <f>IF(OR(ЦТО!AT36=1,ЦТО!AU36=1,ЦТО!AV36=1,ЦТО!AX36=1),"Положительная",IF(OR(ЦТО!AY36=1,ЦТО!AZ36=1,ЦТО!BA36=1),"Отрицательная",IF(OR(ЦТО!AW36=1),"Инфантильная")))</f>
        <v>0</v>
      </c>
    </row>
    <row r="132" spans="1:9">
      <c r="A132" s="62">
        <f>ЦТО!A36</f>
        <v>0</v>
      </c>
      <c r="B132" s="62">
        <f>ЦТО!B38</f>
        <v>0</v>
      </c>
      <c r="C132" s="67">
        <f>ЦТО!C36</f>
        <v>0</v>
      </c>
      <c r="D132" s="63">
        <f>ЦТО!D36</f>
        <v>0</v>
      </c>
      <c r="E132" s="68">
        <f>SUM(ЦТО!BB36:BI36)</f>
        <v>0</v>
      </c>
      <c r="F132" s="64" t="str">
        <f>IF(E132&lt;10,'вспомогательные данные'!$C$26,IF(E132&lt;19,'вспомогательные данные'!$C$25,'вспомогательные данные'!$C$24))</f>
        <v>положительный</v>
      </c>
      <c r="G132" s="65">
        <f>(18-ЦТО!AM37-ЦТО!AL37)/(18-ЦТО!AL37-ЦТО!AP37)</f>
        <v>1</v>
      </c>
      <c r="H132" s="66" t="str">
        <f>IF(G132&lt;0.51,'вспомогательные данные'!$C$19,IF(G132&lt;0.92,'вспомогательные данные'!$C$20, IF(G132&lt;2,'вспомогательные данные'!$C$21,'вспомогательные данные'!$C$22)))</f>
        <v>оптимальная работоспособность</v>
      </c>
      <c r="I132" s="61" t="b">
        <f>IF(OR(ЦТО!AT37=1,ЦТО!AU37=1,ЦТО!AV37=1,ЦТО!AX37=1),"Положительная",IF(OR(ЦТО!AY37=1,ЦТО!AZ37=1,ЦТО!BA37=1),"Отрицательная",IF(OR(ЦТО!AW37=1),"Инфантильная")))</f>
        <v>0</v>
      </c>
    </row>
    <row r="133" spans="1:9">
      <c r="A133" s="62">
        <f>ЦТО!A37</f>
        <v>0</v>
      </c>
      <c r="B133" s="62">
        <f>ЦТО!B39</f>
        <v>0</v>
      </c>
      <c r="C133" s="67">
        <f>ЦТО!C37</f>
        <v>0</v>
      </c>
      <c r="D133" s="63">
        <f>ЦТО!D37</f>
        <v>0</v>
      </c>
      <c r="E133" s="68">
        <f>SUM(ЦТО!BB37:BI37)</f>
        <v>0</v>
      </c>
      <c r="F133" s="64" t="str">
        <f>IF(E133&lt;10,'вспомогательные данные'!$C$26,IF(E133&lt;19,'вспомогательные данные'!$C$25,'вспомогательные данные'!$C$24))</f>
        <v>положительный</v>
      </c>
      <c r="G133" s="65">
        <f>(18-ЦТО!AM38-ЦТО!AL38)/(18-ЦТО!AL38-ЦТО!AP38)</f>
        <v>1</v>
      </c>
      <c r="H133" s="66" t="str">
        <f>IF(G133&lt;0.51,'вспомогательные данные'!$C$19,IF(G133&lt;0.92,'вспомогательные данные'!$C$20, IF(G133&lt;2,'вспомогательные данные'!$C$21,'вспомогательные данные'!$C$22)))</f>
        <v>оптимальная работоспособность</v>
      </c>
      <c r="I133" s="61" t="b">
        <f>IF(OR(ЦТО!AT38=1,ЦТО!AU38=1,ЦТО!AV38=1,ЦТО!AX38=1),"Положительная",IF(OR(ЦТО!AY38=1,ЦТО!AZ38=1,ЦТО!BA38=1),"Отрицательная",IF(OR(ЦТО!AW38=1),"Инфантильная")))</f>
        <v>0</v>
      </c>
    </row>
    <row r="134" spans="1:9">
      <c r="A134" s="62">
        <f>ЦТО!A38</f>
        <v>0</v>
      </c>
      <c r="B134" s="62">
        <f>ЦТО!B40</f>
        <v>0</v>
      </c>
      <c r="C134" s="67">
        <f>ЦТО!C38</f>
        <v>0</v>
      </c>
      <c r="D134" s="63">
        <f>ЦТО!D38</f>
        <v>0</v>
      </c>
      <c r="E134" s="68">
        <f>SUM(ЦТО!BB38:BI38)</f>
        <v>0</v>
      </c>
      <c r="F134" s="64" t="str">
        <f>IF(E134&lt;10,'вспомогательные данные'!$C$26,IF(E134&lt;19,'вспомогательные данные'!$C$25,'вспомогательные данные'!$C$24))</f>
        <v>положительный</v>
      </c>
      <c r="G134" s="65">
        <f>(18-ЦТО!AM39-ЦТО!AL39)/(18-ЦТО!AL39-ЦТО!AP39)</f>
        <v>1</v>
      </c>
      <c r="H134" s="66" t="str">
        <f>IF(G134&lt;0.51,'вспомогательные данные'!$C$19,IF(G134&lt;0.92,'вспомогательные данные'!$C$20, IF(G134&lt;2,'вспомогательные данные'!$C$21,'вспомогательные данные'!$C$22)))</f>
        <v>оптимальная работоспособность</v>
      </c>
      <c r="I134" s="61" t="b">
        <f>IF(OR(ЦТО!AT39=1,ЦТО!AU39=1,ЦТО!AV39=1,ЦТО!AX39=1),"Положительная",IF(OR(ЦТО!AY39=1,ЦТО!AZ39=1,ЦТО!BA39=1),"Отрицательная",IF(OR(ЦТО!AW39=1),"Инфантильная")))</f>
        <v>0</v>
      </c>
    </row>
    <row r="135" spans="1:9">
      <c r="A135" s="62">
        <f>ЦТО!A39</f>
        <v>0</v>
      </c>
      <c r="B135" s="62">
        <f>ЦТО!B41</f>
        <v>0</v>
      </c>
      <c r="C135" s="67">
        <f>ЦТО!C39</f>
        <v>0</v>
      </c>
      <c r="D135" s="63">
        <f>ЦТО!D39</f>
        <v>0</v>
      </c>
      <c r="E135" s="68">
        <f>SUM(ЦТО!BB39:BI39)</f>
        <v>0</v>
      </c>
      <c r="F135" s="64" t="str">
        <f>IF(E135&lt;10,'вспомогательные данные'!$C$26,IF(E135&lt;19,'вспомогательные данные'!$C$25,'вспомогательные данные'!$C$24))</f>
        <v>положительный</v>
      </c>
      <c r="G135" s="65">
        <f>(18-ЦТО!AM40-ЦТО!AL40)/(18-ЦТО!AL40-ЦТО!AP40)</f>
        <v>1</v>
      </c>
      <c r="H135" s="66" t="str">
        <f>IF(G135&lt;0.51,'вспомогательные данные'!$C$19,IF(G135&lt;0.92,'вспомогательные данные'!$C$20, IF(G135&lt;2,'вспомогательные данные'!$C$21,'вспомогательные данные'!$C$22)))</f>
        <v>оптимальная работоспособность</v>
      </c>
      <c r="I135" s="61" t="b">
        <f>IF(OR(ЦТО!AT40=1,ЦТО!AU40=1,ЦТО!AV40=1,ЦТО!AX40=1),"Положительная",IF(OR(ЦТО!AY40=1,ЦТО!AZ40=1,ЦТО!BA40=1),"Отрицательная",IF(OR(ЦТО!AW40=1),"Инфантильная")))</f>
        <v>0</v>
      </c>
    </row>
    <row r="136" spans="1:9">
      <c r="A136" s="62">
        <f>ЦТО!A40</f>
        <v>0</v>
      </c>
      <c r="B136" s="62">
        <f>ЦТО!B42</f>
        <v>0</v>
      </c>
      <c r="C136" s="67">
        <f>ЦТО!C40</f>
        <v>0</v>
      </c>
      <c r="D136" s="63">
        <f>ЦТО!D40</f>
        <v>0</v>
      </c>
      <c r="E136" s="68">
        <f>SUM(ЦТО!BB40:BI40)</f>
        <v>0</v>
      </c>
      <c r="F136" s="64" t="str">
        <f>IF(E136&lt;10,'вспомогательные данные'!$C$26,IF(E136&lt;19,'вспомогательные данные'!$C$25,'вспомогательные данные'!$C$24))</f>
        <v>положительный</v>
      </c>
      <c r="G136" s="65">
        <f>(18-ЦТО!AM41-ЦТО!AL41)/(18-ЦТО!AL41-ЦТО!AP41)</f>
        <v>1</v>
      </c>
      <c r="H136" s="66" t="str">
        <f>IF(G136&lt;0.51,'вспомогательные данные'!$C$19,IF(G136&lt;0.92,'вспомогательные данные'!$C$20, IF(G136&lt;2,'вспомогательные данные'!$C$21,'вспомогательные данные'!$C$22)))</f>
        <v>оптимальная работоспособность</v>
      </c>
      <c r="I136" s="61" t="b">
        <f>IF(OR(ЦТО!AT41=1,ЦТО!AU41=1,ЦТО!AV41=1,ЦТО!AX41=1),"Положительная",IF(OR(ЦТО!AY41=1,ЦТО!AZ41=1,ЦТО!BA41=1),"Отрицательная",IF(OR(ЦТО!AW41=1),"Инфантильная")))</f>
        <v>0</v>
      </c>
    </row>
    <row r="137" spans="1:9">
      <c r="A137" s="62">
        <f>ЦТО!A41</f>
        <v>0</v>
      </c>
      <c r="B137" s="62">
        <f>ЦТО!B43</f>
        <v>0</v>
      </c>
      <c r="C137" s="67">
        <f>ЦТО!C41</f>
        <v>0</v>
      </c>
      <c r="D137" s="63">
        <f>ЦТО!D41</f>
        <v>0</v>
      </c>
      <c r="E137" s="68">
        <f>SUM(ЦТО!BB41:BI41)</f>
        <v>0</v>
      </c>
      <c r="F137" s="64" t="str">
        <f>IF(E137&lt;10,'вспомогательные данные'!$C$26,IF(E137&lt;19,'вспомогательные данные'!$C$25,'вспомогательные данные'!$C$24))</f>
        <v>положительный</v>
      </c>
      <c r="G137" s="65">
        <f>(18-ЦТО!AM42-ЦТО!AL42)/(18-ЦТО!AL42-ЦТО!AP42)</f>
        <v>1</v>
      </c>
      <c r="H137" s="66" t="str">
        <f>IF(G137&lt;0.51,'вспомогательные данные'!$C$19,IF(G137&lt;0.92,'вспомогательные данные'!$C$20, IF(G137&lt;2,'вспомогательные данные'!$C$21,'вспомогательные данные'!$C$22)))</f>
        <v>оптимальная работоспособность</v>
      </c>
      <c r="I137" s="61" t="b">
        <f>IF(OR(ЦТО!AT42=1,ЦТО!AU42=1,ЦТО!AV42=1,ЦТО!AX42=1),"Положительная",IF(OR(ЦТО!AY42=1,ЦТО!AZ42=1,ЦТО!BA42=1),"Отрицательная",IF(OR(ЦТО!AW42=1),"Инфантильная")))</f>
        <v>0</v>
      </c>
    </row>
    <row r="138" spans="1:9">
      <c r="A138" s="62">
        <f>ЦТО!A42</f>
        <v>0</v>
      </c>
      <c r="B138" s="62">
        <f>ЦТО!B44</f>
        <v>0</v>
      </c>
      <c r="C138" s="67">
        <f>ЦТО!C42</f>
        <v>0</v>
      </c>
      <c r="D138" s="63">
        <f>ЦТО!D42</f>
        <v>0</v>
      </c>
      <c r="E138" s="68">
        <f>SUM(ЦТО!BB42:BI42)</f>
        <v>0</v>
      </c>
      <c r="F138" s="64" t="str">
        <f>IF(E138&lt;10,'вспомогательные данные'!$C$26,IF(E138&lt;19,'вспомогательные данные'!$C$25,'вспомогательные данные'!$C$24))</f>
        <v>положительный</v>
      </c>
      <c r="G138" s="65">
        <f>(18-ЦТО!AM43-ЦТО!AL43)/(18-ЦТО!AL43-ЦТО!AP43)</f>
        <v>1</v>
      </c>
      <c r="H138" s="66" t="str">
        <f>IF(G138&lt;0.51,'вспомогательные данные'!$C$19,IF(G138&lt;0.92,'вспомогательные данные'!$C$20, IF(G138&lt;2,'вспомогательные данные'!$C$21,'вспомогательные данные'!$C$22)))</f>
        <v>оптимальная работоспособность</v>
      </c>
      <c r="I138" s="61" t="b">
        <f>IF(OR(ЦТО!AT43=1,ЦТО!AU43=1,ЦТО!AV43=1,ЦТО!AX43=1),"Положительная",IF(OR(ЦТО!AY43=1,ЦТО!AZ43=1,ЦТО!BA43=1),"Отрицательная",IF(OR(ЦТО!AW43=1),"Инфантильная")))</f>
        <v>0</v>
      </c>
    </row>
    <row r="139" spans="1:9">
      <c r="A139" s="62">
        <f>ЦТО!A43</f>
        <v>0</v>
      </c>
      <c r="B139" s="62">
        <f>ЦТО!B45</f>
        <v>0</v>
      </c>
      <c r="C139" s="67">
        <f>ЦТО!C43</f>
        <v>0</v>
      </c>
      <c r="D139" s="63">
        <f>ЦТО!D43</f>
        <v>0</v>
      </c>
      <c r="E139" s="68">
        <f>SUM(ЦТО!BB43:BI43)</f>
        <v>0</v>
      </c>
      <c r="F139" s="64" t="str">
        <f>IF(E139&lt;10,'вспомогательные данные'!$C$26,IF(E139&lt;19,'вспомогательные данные'!$C$25,'вспомогательные данные'!$C$24))</f>
        <v>положительный</v>
      </c>
      <c r="G139" s="65">
        <f>(18-ЦТО!AM44-ЦТО!AL44)/(18-ЦТО!AL44-ЦТО!AP44)</f>
        <v>1</v>
      </c>
      <c r="H139" s="66" t="str">
        <f>IF(G139&lt;0.51,'вспомогательные данные'!$C$19,IF(G139&lt;0.92,'вспомогательные данные'!$C$20, IF(G139&lt;2,'вспомогательные данные'!$C$21,'вспомогательные данные'!$C$22)))</f>
        <v>оптимальная работоспособность</v>
      </c>
      <c r="I139" s="61" t="b">
        <f>IF(OR(ЦТО!AT44=1,ЦТО!AU44=1,ЦТО!AV44=1,ЦТО!AX44=1),"Положительная",IF(OR(ЦТО!AY44=1,ЦТО!AZ44=1,ЦТО!BA44=1),"Отрицательная",IF(OR(ЦТО!AW44=1),"Инфантильная")))</f>
        <v>0</v>
      </c>
    </row>
    <row r="140" spans="1:9">
      <c r="A140" s="62">
        <f>ЦТО!A44</f>
        <v>0</v>
      </c>
      <c r="B140" s="62">
        <f>ЦТО!B46</f>
        <v>0</v>
      </c>
      <c r="C140" s="67">
        <f>ЦТО!C44</f>
        <v>0</v>
      </c>
      <c r="D140" s="63">
        <f>ЦТО!D44</f>
        <v>0</v>
      </c>
      <c r="E140" s="68">
        <f>SUM(ЦТО!BB44:BI44)</f>
        <v>0</v>
      </c>
      <c r="F140" s="64" t="str">
        <f>IF(E140&lt;10,'вспомогательные данные'!$C$26,IF(E140&lt;19,'вспомогательные данные'!$C$25,'вспомогательные данные'!$C$24))</f>
        <v>положительный</v>
      </c>
      <c r="G140" s="65">
        <f>(18-ЦТО!AM45-ЦТО!AL45)/(18-ЦТО!AL45-ЦТО!AP45)</f>
        <v>1</v>
      </c>
      <c r="H140" s="66" t="str">
        <f>IF(G140&lt;0.51,'вспомогательные данные'!$C$19,IF(G140&lt;0.92,'вспомогательные данные'!$C$20, IF(G140&lt;2,'вспомогательные данные'!$C$21,'вспомогательные данные'!$C$22)))</f>
        <v>оптимальная работоспособность</v>
      </c>
      <c r="I140" s="61" t="b">
        <f>IF(OR(ЦТО!AT45=1,ЦТО!AU45=1,ЦТО!AV45=1,ЦТО!AX45=1),"Положительная",IF(OR(ЦТО!AY45=1,ЦТО!AZ45=1,ЦТО!BA45=1),"Отрицательная",IF(OR(ЦТО!AW45=1),"Инфантильная")))</f>
        <v>0</v>
      </c>
    </row>
    <row r="141" spans="1:9">
      <c r="A141" s="62">
        <f>ЦТО!A45</f>
        <v>0</v>
      </c>
      <c r="B141" s="62">
        <f>ЦТО!B47</f>
        <v>0</v>
      </c>
      <c r="C141" s="67">
        <f>ЦТО!C45</f>
        <v>0</v>
      </c>
      <c r="D141" s="63">
        <f>ЦТО!D45</f>
        <v>0</v>
      </c>
      <c r="E141" s="68">
        <f>SUM(ЦТО!BB45:BI45)</f>
        <v>0</v>
      </c>
      <c r="F141" s="64" t="str">
        <f>IF(E141&lt;10,'вспомогательные данные'!$C$26,IF(E141&lt;19,'вспомогательные данные'!$C$25,'вспомогательные данные'!$C$24))</f>
        <v>положительный</v>
      </c>
      <c r="G141" s="65">
        <f>(18-ЦТО!AM46-ЦТО!AL46)/(18-ЦТО!AL46-ЦТО!AP46)</f>
        <v>1</v>
      </c>
      <c r="H141" s="66" t="str">
        <f>IF(G141&lt;0.51,'вспомогательные данные'!$C$19,IF(G141&lt;0.92,'вспомогательные данные'!$C$20, IF(G141&lt;2,'вспомогательные данные'!$C$21,'вспомогательные данные'!$C$22)))</f>
        <v>оптимальная работоспособность</v>
      </c>
      <c r="I141" s="61" t="b">
        <f>IF(OR(ЦТО!AT46=1,ЦТО!AU46=1,ЦТО!AV46=1,ЦТО!AX46=1),"Положительная",IF(OR(ЦТО!AY46=1,ЦТО!AZ46=1,ЦТО!BA46=1),"Отрицательная",IF(OR(ЦТО!AW46=1),"Инфантильная")))</f>
        <v>0</v>
      </c>
    </row>
    <row r="142" spans="1:9">
      <c r="A142" s="62">
        <f>ЦТО!A46</f>
        <v>0</v>
      </c>
      <c r="B142" s="62">
        <f>ЦТО!B48</f>
        <v>0</v>
      </c>
      <c r="C142" s="67">
        <f>ЦТО!C46</f>
        <v>0</v>
      </c>
      <c r="D142" s="63">
        <f>ЦТО!D46</f>
        <v>0</v>
      </c>
      <c r="E142" s="68">
        <f>SUM(ЦТО!BB46:BI46)</f>
        <v>0</v>
      </c>
      <c r="F142" s="64" t="str">
        <f>IF(E142&lt;10,'вспомогательные данные'!$C$26,IF(E142&lt;19,'вспомогательные данные'!$C$25,'вспомогательные данные'!$C$24))</f>
        <v>положительный</v>
      </c>
      <c r="G142" s="65">
        <f>(18-ЦТО!AM47-ЦТО!AL47)/(18-ЦТО!AL47-ЦТО!AP47)</f>
        <v>1</v>
      </c>
      <c r="H142" s="66" t="str">
        <f>IF(G142&lt;0.51,'вспомогательные данные'!$C$19,IF(G142&lt;0.92,'вспомогательные данные'!$C$20, IF(G142&lt;2,'вспомогательные данные'!$C$21,'вспомогательные данные'!$C$22)))</f>
        <v>оптимальная работоспособность</v>
      </c>
      <c r="I142" s="61" t="b">
        <f>IF(OR(ЦТО!AT47=1,ЦТО!AU47=1,ЦТО!AV47=1,ЦТО!AX47=1),"Положительная",IF(OR(ЦТО!AY47=1,ЦТО!AZ47=1,ЦТО!BA47=1),"Отрицательная",IF(OR(ЦТО!AW47=1),"Инфантильная")))</f>
        <v>0</v>
      </c>
    </row>
    <row r="143" spans="1:9">
      <c r="A143" s="62">
        <f>ЦТО!A47</f>
        <v>0</v>
      </c>
      <c r="B143" s="62">
        <f>ЦТО!B49</f>
        <v>0</v>
      </c>
      <c r="C143" s="67">
        <f>ЦТО!C47</f>
        <v>0</v>
      </c>
      <c r="D143" s="63">
        <f>ЦТО!D47</f>
        <v>0</v>
      </c>
      <c r="E143" s="68">
        <f>SUM(ЦТО!BB47:BI47)</f>
        <v>0</v>
      </c>
      <c r="F143" s="64" t="str">
        <f>IF(E143&lt;10,'вспомогательные данные'!$C$26,IF(E143&lt;19,'вспомогательные данные'!$C$25,'вспомогательные данные'!$C$24))</f>
        <v>положительный</v>
      </c>
      <c r="G143" s="65">
        <f>(18-ЦТО!AM48-ЦТО!AL48)/(18-ЦТО!AL48-ЦТО!AP48)</f>
        <v>1</v>
      </c>
      <c r="H143" s="66" t="str">
        <f>IF(G143&lt;0.51,'вспомогательные данные'!$C$19,IF(G143&lt;0.92,'вспомогательные данные'!$C$20, IF(G143&lt;2,'вспомогательные данные'!$C$21,'вспомогательные данные'!$C$22)))</f>
        <v>оптимальная работоспособность</v>
      </c>
      <c r="I143" s="61" t="b">
        <f>IF(OR(ЦТО!AT48=1,ЦТО!AU48=1,ЦТО!AV48=1,ЦТО!AX48=1),"Положительная",IF(OR(ЦТО!AY48=1,ЦТО!AZ48=1,ЦТО!BA48=1),"Отрицательная",IF(OR(ЦТО!AW48=1),"Инфантильная")))</f>
        <v>0</v>
      </c>
    </row>
    <row r="144" spans="1:9">
      <c r="A144" s="62">
        <f>ЦТО!A48</f>
        <v>0</v>
      </c>
      <c r="B144" s="62">
        <f>ЦТО!B50</f>
        <v>0</v>
      </c>
      <c r="C144" s="67">
        <f>ЦТО!C48</f>
        <v>0</v>
      </c>
      <c r="D144" s="63">
        <f>ЦТО!D48</f>
        <v>0</v>
      </c>
      <c r="E144" s="68">
        <f>SUM(ЦТО!BB48:BI48)</f>
        <v>0</v>
      </c>
      <c r="F144" s="64" t="str">
        <f>IF(E144&lt;10,'вспомогательные данные'!$C$26,IF(E144&lt;19,'вспомогательные данные'!$C$25,'вспомогательные данные'!$C$24))</f>
        <v>положительный</v>
      </c>
      <c r="G144" s="65">
        <f>(18-ЦТО!AM49-ЦТО!AL49)/(18-ЦТО!AL49-ЦТО!AP49)</f>
        <v>1</v>
      </c>
      <c r="H144" s="66" t="str">
        <f>IF(G144&lt;0.51,'вспомогательные данные'!$C$19,IF(G144&lt;0.92,'вспомогательные данные'!$C$20, IF(G144&lt;2,'вспомогательные данные'!$C$21,'вспомогательные данные'!$C$22)))</f>
        <v>оптимальная работоспособность</v>
      </c>
      <c r="I144" s="61" t="b">
        <f>IF(OR(ЦТО!AT49=1,ЦТО!AU49=1,ЦТО!AV49=1,ЦТО!AX49=1),"Положительная",IF(OR(ЦТО!AY49=1,ЦТО!AZ49=1,ЦТО!BA49=1),"Отрицательная",IF(OR(ЦТО!AW49=1),"Инфантильная")))</f>
        <v>0</v>
      </c>
    </row>
    <row r="145" spans="1:9">
      <c r="A145" s="62">
        <f>ЦТО!A49</f>
        <v>0</v>
      </c>
      <c r="B145" s="62">
        <f>ЦТО!B51</f>
        <v>0</v>
      </c>
      <c r="C145" s="67">
        <f>ЦТО!C49</f>
        <v>0</v>
      </c>
      <c r="D145" s="63">
        <f>ЦТО!D49</f>
        <v>0</v>
      </c>
      <c r="E145" s="68">
        <f>SUM(ЦТО!BB49:BI49)</f>
        <v>0</v>
      </c>
      <c r="F145" s="64" t="str">
        <f>IF(E145&lt;10,'вспомогательные данные'!$C$26,IF(E145&lt;19,'вспомогательные данные'!$C$25,'вспомогательные данные'!$C$24))</f>
        <v>положительный</v>
      </c>
      <c r="G145" s="65">
        <f>(18-ЦТО!AM50-ЦТО!AL50)/(18-ЦТО!AL50-ЦТО!AP50)</f>
        <v>1</v>
      </c>
      <c r="H145" s="66" t="str">
        <f>IF(G145&lt;0.51,'вспомогательные данные'!$C$19,IF(G145&lt;0.92,'вспомогательные данные'!$C$20, IF(G145&lt;2,'вспомогательные данные'!$C$21,'вспомогательные данные'!$C$22)))</f>
        <v>оптимальная работоспособность</v>
      </c>
      <c r="I145" s="61" t="b">
        <f>IF(OR(ЦТО!AT50=1,ЦТО!AU50=1,ЦТО!AV50=1,ЦТО!AX50=1),"Положительная",IF(OR(ЦТО!AY50=1,ЦТО!AZ50=1,ЦТО!BA50=1),"Отрицательная",IF(OR(ЦТО!AW50=1),"Инфантильная")))</f>
        <v>0</v>
      </c>
    </row>
    <row r="146" spans="1:9">
      <c r="A146" s="62">
        <f>ЦТО!A50</f>
        <v>0</v>
      </c>
      <c r="B146" s="62">
        <f>ЦТО!B52</f>
        <v>0</v>
      </c>
      <c r="C146" s="67">
        <f>ЦТО!C50</f>
        <v>0</v>
      </c>
      <c r="D146" s="63">
        <f>ЦТО!D50</f>
        <v>0</v>
      </c>
      <c r="E146" s="68">
        <f>SUM(ЦТО!BB50:BI50)</f>
        <v>0</v>
      </c>
      <c r="F146" s="64" t="str">
        <f>IF(E146&lt;10,'вспомогательные данные'!$C$26,IF(E146&lt;19,'вспомогательные данные'!$C$25,'вспомогательные данные'!$C$24))</f>
        <v>положительный</v>
      </c>
      <c r="G146" s="65">
        <f>(18-ЦТО!AM51-ЦТО!AL51)/(18-ЦТО!AL51-ЦТО!AP51)</f>
        <v>1</v>
      </c>
      <c r="H146" s="66" t="str">
        <f>IF(G146&lt;0.51,'вспомогательные данные'!$C$19,IF(G146&lt;0.92,'вспомогательные данные'!$C$20, IF(G146&lt;2,'вспомогательные данные'!$C$21,'вспомогательные данные'!$C$22)))</f>
        <v>оптимальная работоспособность</v>
      </c>
      <c r="I146" s="61" t="b">
        <f>IF(OR(ЦТО!AT51=1,ЦТО!AU51=1,ЦТО!AV51=1,ЦТО!AX51=1),"Положительная",IF(OR(ЦТО!AY51=1,ЦТО!AZ51=1,ЦТО!BA51=1),"Отрицательная",IF(OR(ЦТО!AW51=1),"Инфантильная")))</f>
        <v>0</v>
      </c>
    </row>
    <row r="147" spans="1:9">
      <c r="A147" s="62">
        <f>ЦТО!A51</f>
        <v>0</v>
      </c>
      <c r="B147" s="62">
        <f>ЦТО!B53</f>
        <v>0</v>
      </c>
      <c r="C147" s="67">
        <f>ЦТО!C51</f>
        <v>0</v>
      </c>
      <c r="D147" s="63">
        <f>ЦТО!D51</f>
        <v>0</v>
      </c>
      <c r="E147" s="68">
        <f>SUM(ЦТО!BB51:BI51)</f>
        <v>0</v>
      </c>
      <c r="F147" s="64" t="str">
        <f>IF(E147&lt;10,'вспомогательные данные'!$C$26,IF(E147&lt;19,'вспомогательные данные'!$C$25,'вспомогательные данные'!$C$24))</f>
        <v>положительный</v>
      </c>
      <c r="G147" s="65">
        <f>(18-ЦТО!AM52-ЦТО!AL52)/(18-ЦТО!AL52-ЦТО!AP52)</f>
        <v>1</v>
      </c>
      <c r="H147" s="66" t="str">
        <f>IF(G147&lt;0.51,'вспомогательные данные'!$C$19,IF(G147&lt;0.92,'вспомогательные данные'!$C$20, IF(G147&lt;2,'вспомогательные данные'!$C$21,'вспомогательные данные'!$C$22)))</f>
        <v>оптимальная работоспособность</v>
      </c>
      <c r="I147" s="61" t="b">
        <f>IF(OR(ЦТО!AT52=1,ЦТО!AU52=1,ЦТО!AV52=1,ЦТО!AX52=1),"Положительная",IF(OR(ЦТО!AY52=1,ЦТО!AZ52=1,ЦТО!BA52=1),"Отрицательная",IF(OR(ЦТО!AW52=1),"Инфантильная")))</f>
        <v>0</v>
      </c>
    </row>
    <row r="148" spans="1:9">
      <c r="A148" s="62">
        <f>ЦТО!A52</f>
        <v>0</v>
      </c>
      <c r="B148" s="62">
        <f>ЦТО!B54</f>
        <v>0</v>
      </c>
      <c r="C148" s="67">
        <f>ЦТО!C52</f>
        <v>0</v>
      </c>
      <c r="D148" s="63">
        <f>ЦТО!D52</f>
        <v>0</v>
      </c>
      <c r="E148" s="68">
        <f>SUM(ЦТО!BB52:BI52)</f>
        <v>0</v>
      </c>
      <c r="F148" s="64" t="str">
        <f>IF(E148&lt;10,'вспомогательные данные'!$C$26,IF(E148&lt;19,'вспомогательные данные'!$C$25,'вспомогательные данные'!$C$24))</f>
        <v>положительный</v>
      </c>
      <c r="G148" s="65">
        <f>(18-ЦТО!AM53-ЦТО!AL53)/(18-ЦТО!AL53-ЦТО!AP53)</f>
        <v>1</v>
      </c>
      <c r="H148" s="66" t="str">
        <f>IF(G148&lt;0.51,'вспомогательные данные'!$C$19,IF(G148&lt;0.92,'вспомогательные данные'!$C$20, IF(G148&lt;2,'вспомогательные данные'!$C$21,'вспомогательные данные'!$C$22)))</f>
        <v>оптимальная работоспособность</v>
      </c>
      <c r="I148" s="61" t="b">
        <f>IF(OR(ЦТО!AT53=1,ЦТО!AU53=1,ЦТО!AV53=1,ЦТО!AX53=1),"Положительная",IF(OR(ЦТО!AY53=1,ЦТО!AZ53=1,ЦТО!BA53=1),"Отрицательная",IF(OR(ЦТО!AW53=1),"Инфантильная")))</f>
        <v>0</v>
      </c>
    </row>
    <row r="149" spans="1:9">
      <c r="A149" s="62">
        <f>ЦТО!A53</f>
        <v>0</v>
      </c>
      <c r="B149" s="62">
        <f>ЦТО!B55</f>
        <v>0</v>
      </c>
      <c r="C149" s="67">
        <f>ЦТО!C53</f>
        <v>0</v>
      </c>
      <c r="D149" s="63">
        <f>ЦТО!D53</f>
        <v>0</v>
      </c>
      <c r="E149" s="68">
        <f>SUM(ЦТО!BB53:BI53)</f>
        <v>0</v>
      </c>
      <c r="F149" s="64" t="str">
        <f>IF(E149&lt;10,'вспомогательные данные'!$C$26,IF(E149&lt;19,'вспомогательные данные'!$C$25,'вспомогательные данные'!$C$24))</f>
        <v>положительный</v>
      </c>
      <c r="G149" s="65">
        <f>(18-ЦТО!AM54-ЦТО!AL54)/(18-ЦТО!AL54-ЦТО!AP54)</f>
        <v>1</v>
      </c>
      <c r="H149" s="66" t="str">
        <f>IF(G149&lt;0.51,'вспомогательные данные'!$C$19,IF(G149&lt;0.92,'вспомогательные данные'!$C$20, IF(G149&lt;2,'вспомогательные данные'!$C$21,'вспомогательные данные'!$C$22)))</f>
        <v>оптимальная работоспособность</v>
      </c>
      <c r="I149" s="61" t="b">
        <f>IF(OR(ЦТО!AT54=1,ЦТО!AU54=1,ЦТО!AV54=1,ЦТО!AX54=1),"Положительная",IF(OR(ЦТО!AY54=1,ЦТО!AZ54=1,ЦТО!BA54=1),"Отрицательная",IF(OR(ЦТО!AW54=1),"Инфантильная")))</f>
        <v>0</v>
      </c>
    </row>
    <row r="150" spans="1:9">
      <c r="A150" s="62">
        <f>ЦТО!A54</f>
        <v>0</v>
      </c>
      <c r="B150" s="62">
        <f>ЦТО!B56</f>
        <v>0</v>
      </c>
      <c r="C150" s="67">
        <f>ЦТО!C54</f>
        <v>0</v>
      </c>
      <c r="D150" s="63">
        <f>ЦТО!D54</f>
        <v>0</v>
      </c>
      <c r="E150" s="68">
        <f>SUM(ЦТО!BB54:BI54)</f>
        <v>0</v>
      </c>
      <c r="F150" s="64" t="str">
        <f>IF(E150&lt;10,'вспомогательные данные'!$C$26,IF(E150&lt;19,'вспомогательные данные'!$C$25,'вспомогательные данные'!$C$24))</f>
        <v>положительный</v>
      </c>
      <c r="G150" s="65">
        <f>(18-ЦТО!AM55-ЦТО!AL55)/(18-ЦТО!AL55-ЦТО!AP55)</f>
        <v>1</v>
      </c>
      <c r="H150" s="66" t="str">
        <f>IF(G150&lt;0.51,'вспомогательные данные'!$C$19,IF(G150&lt;0.92,'вспомогательные данные'!$C$20, IF(G150&lt;2,'вспомогательные данные'!$C$21,'вспомогательные данные'!$C$22)))</f>
        <v>оптимальная работоспособность</v>
      </c>
      <c r="I150" s="61" t="b">
        <f>IF(OR(ЦТО!AT55=1,ЦТО!AU55=1,ЦТО!AV55=1,ЦТО!AX55=1),"Положительная",IF(OR(ЦТО!AY55=1,ЦТО!AZ55=1,ЦТО!BA55=1),"Отрицательная",IF(OR(ЦТО!AW55=1),"Инфантильная")))</f>
        <v>0</v>
      </c>
    </row>
    <row r="151" spans="1:9">
      <c r="A151" s="62">
        <f>ЦТО!A55</f>
        <v>0</v>
      </c>
      <c r="B151" s="62">
        <f>ЦТО!B57</f>
        <v>0</v>
      </c>
      <c r="C151" s="67">
        <f>ЦТО!C55</f>
        <v>0</v>
      </c>
      <c r="D151" s="63">
        <f>ЦТО!D55</f>
        <v>0</v>
      </c>
      <c r="E151" s="68">
        <f>SUM(ЦТО!BB55:BI55)</f>
        <v>0</v>
      </c>
      <c r="F151" s="64" t="str">
        <f>IF(E151&lt;10,'вспомогательные данные'!$C$26,IF(E151&lt;19,'вспомогательные данные'!$C$25,'вспомогательные данные'!$C$24))</f>
        <v>положительный</v>
      </c>
      <c r="G151" s="65">
        <f>(18-ЦТО!AM56-ЦТО!AL56)/(18-ЦТО!AL56-ЦТО!AP56)</f>
        <v>1</v>
      </c>
      <c r="H151" s="66" t="str">
        <f>IF(G151&lt;0.51,'вспомогательные данные'!$C$19,IF(G151&lt;0.92,'вспомогательные данные'!$C$20, IF(G151&lt;2,'вспомогательные данные'!$C$21,'вспомогательные данные'!$C$22)))</f>
        <v>оптимальная работоспособность</v>
      </c>
      <c r="I151" s="61" t="b">
        <f>IF(OR(ЦТО!AT56=1,ЦТО!AU56=1,ЦТО!AV56=1,ЦТО!AX56=1),"Положительная",IF(OR(ЦТО!AY56=1,ЦТО!AZ56=1,ЦТО!BA56=1),"Отрицательная",IF(OR(ЦТО!AW56=1),"Инфантильная")))</f>
        <v>0</v>
      </c>
    </row>
    <row r="152" spans="1:9">
      <c r="A152" s="62">
        <f>ЦТО!A56</f>
        <v>0</v>
      </c>
      <c r="B152" s="62">
        <f>ЦТО!B58</f>
        <v>0</v>
      </c>
      <c r="C152" s="67">
        <f>ЦТО!C56</f>
        <v>0</v>
      </c>
      <c r="D152" s="63">
        <f>ЦТО!D56</f>
        <v>0</v>
      </c>
      <c r="E152" s="68">
        <f>SUM(ЦТО!BB56:BI56)</f>
        <v>0</v>
      </c>
      <c r="F152" s="64" t="str">
        <f>IF(E152&lt;10,'вспомогательные данные'!$C$26,IF(E152&lt;19,'вспомогательные данные'!$C$25,'вспомогательные данные'!$C$24))</f>
        <v>положительный</v>
      </c>
      <c r="G152" s="65">
        <f>(18-ЦТО!AM57-ЦТО!AL57)/(18-ЦТО!AL57-ЦТО!AP57)</f>
        <v>1</v>
      </c>
      <c r="H152" s="66" t="str">
        <f>IF(G152&lt;0.51,'вспомогательные данные'!$C$19,IF(G152&lt;0.92,'вспомогательные данные'!$C$20, IF(G152&lt;2,'вспомогательные данные'!$C$21,'вспомогательные данные'!$C$22)))</f>
        <v>оптимальная работоспособность</v>
      </c>
      <c r="I152" s="61" t="b">
        <f>IF(OR(ЦТО!AT57=1,ЦТО!AU57=1,ЦТО!AV57=1,ЦТО!AX57=1),"Положительная",IF(OR(ЦТО!AY57=1,ЦТО!AZ57=1,ЦТО!BA57=1),"Отрицательная",IF(OR(ЦТО!AW57=1),"Инфантильная")))</f>
        <v>0</v>
      </c>
    </row>
    <row r="153" spans="1:9">
      <c r="A153" s="62">
        <f>ЦТО!A57</f>
        <v>0</v>
      </c>
      <c r="B153" s="62">
        <f>ЦТО!B59</f>
        <v>0</v>
      </c>
      <c r="C153" s="67">
        <f>ЦТО!C57</f>
        <v>0</v>
      </c>
      <c r="D153" s="63">
        <f>ЦТО!D57</f>
        <v>0</v>
      </c>
      <c r="E153" s="68">
        <f>SUM(ЦТО!BB57:BI57)</f>
        <v>0</v>
      </c>
      <c r="F153" s="64" t="str">
        <f>IF(E153&lt;10,'вспомогательные данные'!$C$26,IF(E153&lt;19,'вспомогательные данные'!$C$25,'вспомогательные данные'!$C$24))</f>
        <v>положительный</v>
      </c>
      <c r="G153" s="65">
        <f>(18-ЦТО!AM58-ЦТО!AL58)/(18-ЦТО!AL58-ЦТО!AP58)</f>
        <v>1</v>
      </c>
      <c r="H153" s="66" t="str">
        <f>IF(G153&lt;0.51,'вспомогательные данные'!$C$19,IF(G153&lt;0.92,'вспомогательные данные'!$C$20, IF(G153&lt;2,'вспомогательные данные'!$C$21,'вспомогательные данные'!$C$22)))</f>
        <v>оптимальная работоспособность</v>
      </c>
      <c r="I153" s="61" t="b">
        <f>IF(OR(ЦТО!AT58=1,ЦТО!AU58=1,ЦТО!AV58=1,ЦТО!AX58=1),"Положительная",IF(OR(ЦТО!AY58=1,ЦТО!AZ58=1,ЦТО!BA58=1),"Отрицательная",IF(OR(ЦТО!AW58=1),"Инфантильная")))</f>
        <v>0</v>
      </c>
    </row>
    <row r="154" spans="1:9">
      <c r="A154" s="62">
        <f>ЦТО!A58</f>
        <v>0</v>
      </c>
      <c r="B154" s="62">
        <f>ЦТО!B60</f>
        <v>0</v>
      </c>
      <c r="C154" s="67">
        <f>ЦТО!C58</f>
        <v>0</v>
      </c>
      <c r="D154" s="63">
        <f>ЦТО!D58</f>
        <v>0</v>
      </c>
      <c r="E154" s="68">
        <f>SUM(ЦТО!BB58:BI58)</f>
        <v>0</v>
      </c>
      <c r="F154" s="64" t="str">
        <f>IF(E154&lt;10,'вспомогательные данные'!$C$26,IF(E154&lt;19,'вспомогательные данные'!$C$25,'вспомогательные данные'!$C$24))</f>
        <v>положительный</v>
      </c>
      <c r="G154" s="65">
        <f>(18-ЦТО!AM59-ЦТО!AL59)/(18-ЦТО!AL59-ЦТО!AP59)</f>
        <v>1</v>
      </c>
      <c r="H154" s="66" t="str">
        <f>IF(G154&lt;0.51,'вспомогательные данные'!$C$19,IF(G154&lt;0.92,'вспомогательные данные'!$C$20, IF(G154&lt;2,'вспомогательные данные'!$C$21,'вспомогательные данные'!$C$22)))</f>
        <v>оптимальная работоспособность</v>
      </c>
      <c r="I154" s="61" t="b">
        <f>IF(OR(ЦТО!AT59=1,ЦТО!AU59=1,ЦТО!AV59=1,ЦТО!AX59=1),"Положительная",IF(OR(ЦТО!AY59=1,ЦТО!AZ59=1,ЦТО!BA59=1),"Отрицательная",IF(OR(ЦТО!AW59=1),"Инфантильная")))</f>
        <v>0</v>
      </c>
    </row>
    <row r="155" spans="1:9">
      <c r="A155" s="62">
        <f>ЦТО!A59</f>
        <v>0</v>
      </c>
      <c r="B155" s="62">
        <f>ЦТО!B61</f>
        <v>0</v>
      </c>
      <c r="C155" s="67">
        <f>ЦТО!C59</f>
        <v>0</v>
      </c>
      <c r="D155" s="63">
        <f>ЦТО!D59</f>
        <v>0</v>
      </c>
      <c r="E155" s="68">
        <f>SUM(ЦТО!BB59:BI59)</f>
        <v>0</v>
      </c>
      <c r="F155" s="64" t="str">
        <f>IF(E155&lt;10,'вспомогательные данные'!$C$26,IF(E155&lt;19,'вспомогательные данные'!$C$25,'вспомогательные данные'!$C$24))</f>
        <v>положительный</v>
      </c>
      <c r="G155" s="65">
        <f>(18-ЦТО!AM60-ЦТО!AL60)/(18-ЦТО!AL60-ЦТО!AP60)</f>
        <v>1</v>
      </c>
      <c r="H155" s="66" t="str">
        <f>IF(G155&lt;0.51,'вспомогательные данные'!$C$19,IF(G155&lt;0.92,'вспомогательные данные'!$C$20, IF(G155&lt;2,'вспомогательные данные'!$C$21,'вспомогательные данные'!$C$22)))</f>
        <v>оптимальная работоспособность</v>
      </c>
      <c r="I155" s="61" t="b">
        <f>IF(OR(ЦТО!AT60=1,ЦТО!AU60=1,ЦТО!AV60=1,ЦТО!AX60=1),"Положительная",IF(OR(ЦТО!AY60=1,ЦТО!AZ60=1,ЦТО!BA60=1),"Отрицательная",IF(OR(ЦТО!AW60=1),"Инфантильная")))</f>
        <v>0</v>
      </c>
    </row>
    <row r="156" spans="1:9">
      <c r="A156" s="62">
        <f>ЦТО!A60</f>
        <v>0</v>
      </c>
      <c r="B156" s="62">
        <f>ЦТО!B62</f>
        <v>0</v>
      </c>
      <c r="C156" s="67">
        <f>ЦТО!C60</f>
        <v>0</v>
      </c>
      <c r="D156" s="63">
        <f>ЦТО!D60</f>
        <v>0</v>
      </c>
      <c r="E156" s="68">
        <f>SUM(ЦТО!BB60:BI60)</f>
        <v>0</v>
      </c>
      <c r="F156" s="64" t="str">
        <f>IF(E156&lt;10,'вспомогательные данные'!$C$26,IF(E156&lt;19,'вспомогательные данные'!$C$25,'вспомогательные данные'!$C$24))</f>
        <v>положительный</v>
      </c>
      <c r="G156" s="65">
        <f>(18-ЦТО!AM61-ЦТО!AL61)/(18-ЦТО!AL61-ЦТО!AP61)</f>
        <v>1</v>
      </c>
      <c r="H156" s="66" t="str">
        <f>IF(G156&lt;0.51,'вспомогательные данные'!$C$19,IF(G156&lt;0.92,'вспомогательные данные'!$C$20, IF(G156&lt;2,'вспомогательные данные'!$C$21,'вспомогательные данные'!$C$22)))</f>
        <v>оптимальная работоспособность</v>
      </c>
      <c r="I156" s="61" t="b">
        <f>IF(OR(ЦТО!AT61=1,ЦТО!AU61=1,ЦТО!AV61=1,ЦТО!AX61=1),"Положительная",IF(OR(ЦТО!AY61=1,ЦТО!AZ61=1,ЦТО!BA61=1),"Отрицательная",IF(OR(ЦТО!AW61=1),"Инфантильная")))</f>
        <v>0</v>
      </c>
    </row>
    <row r="157" spans="1:9">
      <c r="A157" s="62">
        <f>ЦТО!A61</f>
        <v>0</v>
      </c>
      <c r="B157" s="62">
        <f>ЦТО!B63</f>
        <v>0</v>
      </c>
      <c r="C157" s="67">
        <f>ЦТО!C61</f>
        <v>0</v>
      </c>
      <c r="D157" s="63">
        <f>ЦТО!D61</f>
        <v>0</v>
      </c>
      <c r="E157" s="68">
        <f>SUM(ЦТО!BB61:BI61)</f>
        <v>0</v>
      </c>
      <c r="F157" s="64" t="str">
        <f>IF(E157&lt;10,'вспомогательные данные'!$C$26,IF(E157&lt;19,'вспомогательные данные'!$C$25,'вспомогательные данные'!$C$24))</f>
        <v>положительный</v>
      </c>
      <c r="G157" s="65">
        <f>(18-ЦТО!AM62-ЦТО!AL62)/(18-ЦТО!AL62-ЦТО!AP62)</f>
        <v>1</v>
      </c>
      <c r="H157" s="66" t="str">
        <f>IF(G157&lt;0.51,'вспомогательные данные'!$C$19,IF(G157&lt;0.92,'вспомогательные данные'!$C$20, IF(G157&lt;2,'вспомогательные данные'!$C$21,'вспомогательные данные'!$C$22)))</f>
        <v>оптимальная работоспособность</v>
      </c>
      <c r="I157" s="61" t="b">
        <f>IF(OR(ЦТО!AT62=1,ЦТО!AU62=1,ЦТО!AV62=1,ЦТО!AX62=1),"Положительная",IF(OR(ЦТО!AY62=1,ЦТО!AZ62=1,ЦТО!BA62=1),"Отрицательная",IF(OR(ЦТО!AW62=1),"Инфантильная")))</f>
        <v>0</v>
      </c>
    </row>
    <row r="158" spans="1:9">
      <c r="A158" s="62">
        <f>ЦТО!A62</f>
        <v>0</v>
      </c>
      <c r="B158" s="62">
        <f>ЦТО!B64</f>
        <v>0</v>
      </c>
      <c r="C158" s="67">
        <f>ЦТО!C62</f>
        <v>0</v>
      </c>
      <c r="D158" s="63">
        <f>ЦТО!D62</f>
        <v>0</v>
      </c>
      <c r="E158" s="68">
        <f>SUM(ЦТО!BB62:BI62)</f>
        <v>0</v>
      </c>
      <c r="F158" s="64" t="str">
        <f>IF(E158&lt;10,'вспомогательные данные'!$C$26,IF(E158&lt;19,'вспомогательные данные'!$C$25,'вспомогательные данные'!$C$24))</f>
        <v>положительный</v>
      </c>
      <c r="G158" s="65">
        <f>(18-ЦТО!AM63-ЦТО!AL63)/(18-ЦТО!AL63-ЦТО!AP63)</f>
        <v>1</v>
      </c>
      <c r="H158" s="66" t="str">
        <f>IF(G158&lt;0.51,'вспомогательные данные'!$C$19,IF(G158&lt;0.92,'вспомогательные данные'!$C$20, IF(G158&lt;2,'вспомогательные данные'!$C$21,'вспомогательные данные'!$C$22)))</f>
        <v>оптимальная работоспособность</v>
      </c>
      <c r="I158" s="61" t="b">
        <f>IF(OR(ЦТО!AT63=1,ЦТО!AU63=1,ЦТО!AV63=1,ЦТО!AX63=1),"Положительная",IF(OR(ЦТО!AY63=1,ЦТО!AZ63=1,ЦТО!BA63=1),"Отрицательная",IF(OR(ЦТО!AW63=1),"Инфантильная")))</f>
        <v>0</v>
      </c>
    </row>
    <row r="159" spans="1:9">
      <c r="A159" s="62">
        <f>ЦТО!A63</f>
        <v>0</v>
      </c>
      <c r="B159" s="62">
        <f>ЦТО!B65</f>
        <v>0</v>
      </c>
      <c r="C159" s="67">
        <f>ЦТО!C63</f>
        <v>0</v>
      </c>
      <c r="D159" s="63">
        <f>ЦТО!D63</f>
        <v>0</v>
      </c>
      <c r="E159" s="68">
        <f>SUM(ЦТО!BB63:BI63)</f>
        <v>0</v>
      </c>
      <c r="F159" s="64" t="str">
        <f>IF(E159&lt;10,'вспомогательные данные'!$C$26,IF(E159&lt;19,'вспомогательные данные'!$C$25,'вспомогательные данные'!$C$24))</f>
        <v>положительный</v>
      </c>
      <c r="G159" s="65">
        <f>(18-ЦТО!AM64-ЦТО!AL64)/(18-ЦТО!AL64-ЦТО!AP64)</f>
        <v>1</v>
      </c>
      <c r="H159" s="66" t="str">
        <f>IF(G159&lt;0.51,'вспомогательные данные'!$C$19,IF(G159&lt;0.92,'вспомогательные данные'!$C$20, IF(G159&lt;2,'вспомогательные данные'!$C$21,'вспомогательные данные'!$C$22)))</f>
        <v>оптимальная работоспособность</v>
      </c>
      <c r="I159" s="61" t="b">
        <f>IF(OR(ЦТО!AT64=1,ЦТО!AU64=1,ЦТО!AV64=1,ЦТО!AX64=1),"Положительная",IF(OR(ЦТО!AY64=1,ЦТО!AZ64=1,ЦТО!BA64=1),"Отрицательная",IF(OR(ЦТО!AW64=1),"Инфантильная")))</f>
        <v>0</v>
      </c>
    </row>
    <row r="160" spans="1:9">
      <c r="A160" s="62">
        <f>ЦТО!A64</f>
        <v>0</v>
      </c>
      <c r="B160" s="62">
        <f>ЦТО!B66</f>
        <v>0</v>
      </c>
      <c r="C160" s="67">
        <f>ЦТО!C64</f>
        <v>0</v>
      </c>
      <c r="D160" s="63">
        <f>ЦТО!D64</f>
        <v>0</v>
      </c>
      <c r="E160" s="68">
        <f>SUM(ЦТО!BB64:BI64)</f>
        <v>0</v>
      </c>
      <c r="F160" s="64" t="str">
        <f>IF(E160&lt;10,'вспомогательные данные'!$C$26,IF(E160&lt;19,'вспомогательные данные'!$C$25,'вспомогательные данные'!$C$24))</f>
        <v>положительный</v>
      </c>
      <c r="G160" s="65">
        <f>(18-ЦТО!AM65-ЦТО!AL65)/(18-ЦТО!AL65-ЦТО!AP65)</f>
        <v>1</v>
      </c>
      <c r="H160" s="66" t="str">
        <f>IF(G160&lt;0.51,'вспомогательные данные'!$C$19,IF(G160&lt;0.92,'вспомогательные данные'!$C$20, IF(G160&lt;2,'вспомогательные данные'!$C$21,'вспомогательные данные'!$C$22)))</f>
        <v>оптимальная работоспособность</v>
      </c>
      <c r="I160" s="61" t="b">
        <f>IF(OR(ЦТО!AT65=1,ЦТО!AU65=1,ЦТО!AV65=1,ЦТО!AX65=1),"Положительная",IF(OR(ЦТО!AY65=1,ЦТО!AZ65=1,ЦТО!BA65=1),"Отрицательная",IF(OR(ЦТО!AW65=1),"Инфантильная")))</f>
        <v>0</v>
      </c>
    </row>
    <row r="161" spans="1:9">
      <c r="A161" s="62">
        <f>ЦТО!A65</f>
        <v>0</v>
      </c>
      <c r="B161" s="62">
        <f>ЦТО!B67</f>
        <v>0</v>
      </c>
      <c r="C161" s="67">
        <f>ЦТО!C65</f>
        <v>0</v>
      </c>
      <c r="D161" s="63">
        <f>ЦТО!D65</f>
        <v>0</v>
      </c>
      <c r="E161" s="68">
        <f>SUM(ЦТО!BB65:BI65)</f>
        <v>0</v>
      </c>
      <c r="F161" s="64" t="str">
        <f>IF(E161&lt;10,'вспомогательные данные'!$C$26,IF(E161&lt;19,'вспомогательные данные'!$C$25,'вспомогательные данные'!$C$24))</f>
        <v>положительный</v>
      </c>
      <c r="G161" s="65">
        <f>(18-ЦТО!AM66-ЦТО!AL66)/(18-ЦТО!AL66-ЦТО!AP66)</f>
        <v>1</v>
      </c>
      <c r="H161" s="66" t="str">
        <f>IF(G161&lt;0.51,'вспомогательные данные'!$C$19,IF(G161&lt;0.92,'вспомогательные данные'!$C$20, IF(G161&lt;2,'вспомогательные данные'!$C$21,'вспомогательные данные'!$C$22)))</f>
        <v>оптимальная работоспособность</v>
      </c>
      <c r="I161" s="61" t="b">
        <f>IF(OR(ЦТО!AT66=1,ЦТО!AU66=1,ЦТО!AV66=1,ЦТО!AX66=1),"Положительная",IF(OR(ЦТО!AY66=1,ЦТО!AZ66=1,ЦТО!BA66=1),"Отрицательная",IF(OR(ЦТО!AW66=1),"Инфантильная")))</f>
        <v>0</v>
      </c>
    </row>
    <row r="162" spans="1:9">
      <c r="A162" s="62">
        <f>ЦТО!A66</f>
        <v>0</v>
      </c>
      <c r="B162" s="62">
        <f>ЦТО!B68</f>
        <v>0</v>
      </c>
      <c r="C162" s="67">
        <f>ЦТО!C66</f>
        <v>0</v>
      </c>
      <c r="D162" s="63">
        <f>ЦТО!D66</f>
        <v>0</v>
      </c>
      <c r="E162" s="68">
        <f>SUM(ЦТО!BB66:BI66)</f>
        <v>0</v>
      </c>
      <c r="F162" s="64" t="str">
        <f>IF(E162&lt;10,'вспомогательные данные'!$C$26,IF(E162&lt;19,'вспомогательные данные'!$C$25,'вспомогательные данные'!$C$24))</f>
        <v>положительный</v>
      </c>
      <c r="G162" s="65">
        <f>(18-ЦТО!AM67-ЦТО!AL67)/(18-ЦТО!AL67-ЦТО!AP67)</f>
        <v>1</v>
      </c>
      <c r="H162" s="66" t="str">
        <f>IF(G162&lt;0.51,'вспомогательные данные'!$C$19,IF(G162&lt;0.92,'вспомогательные данные'!$C$20, IF(G162&lt;2,'вспомогательные данные'!$C$21,'вспомогательные данные'!$C$22)))</f>
        <v>оптимальная работоспособность</v>
      </c>
      <c r="I162" s="61" t="b">
        <f>IF(OR(ЦТО!AT67=1,ЦТО!AU67=1,ЦТО!AV67=1,ЦТО!AX67=1),"Положительная",IF(OR(ЦТО!AY67=1,ЦТО!AZ67=1,ЦТО!BA67=1),"Отрицательная",IF(OR(ЦТО!AW67=1),"Инфантильная")))</f>
        <v>0</v>
      </c>
    </row>
    <row r="163" spans="1:9">
      <c r="A163" s="62">
        <f>ЦТО!A67</f>
        <v>0</v>
      </c>
      <c r="B163" s="62">
        <f>ЦТО!B69</f>
        <v>0</v>
      </c>
      <c r="C163" s="67">
        <f>ЦТО!C67</f>
        <v>0</v>
      </c>
      <c r="D163" s="63">
        <f>ЦТО!D67</f>
        <v>0</v>
      </c>
      <c r="E163" s="68">
        <f>SUM(ЦТО!BB67:BI67)</f>
        <v>0</v>
      </c>
      <c r="F163" s="64" t="str">
        <f>IF(E163&lt;10,'вспомогательные данные'!$C$26,IF(E163&lt;19,'вспомогательные данные'!$C$25,'вспомогательные данные'!$C$24))</f>
        <v>положительный</v>
      </c>
      <c r="G163" s="65">
        <f>(18-ЦТО!AM68-ЦТО!AL68)/(18-ЦТО!AL68-ЦТО!AP68)</f>
        <v>1</v>
      </c>
      <c r="H163" s="66" t="str">
        <f>IF(G163&lt;0.51,'вспомогательные данные'!$C$19,IF(G163&lt;0.92,'вспомогательные данные'!$C$20, IF(G163&lt;2,'вспомогательные данные'!$C$21,'вспомогательные данные'!$C$22)))</f>
        <v>оптимальная работоспособность</v>
      </c>
      <c r="I163" s="61" t="b">
        <f>IF(OR(ЦТО!AT68=1,ЦТО!AU68=1,ЦТО!AV68=1,ЦТО!AX68=1),"Положительная",IF(OR(ЦТО!AY68=1,ЦТО!AZ68=1,ЦТО!BA68=1),"Отрицательная",IF(OR(ЦТО!AW68=1),"Инфантильная")))</f>
        <v>0</v>
      </c>
    </row>
    <row r="164" spans="1:9">
      <c r="A164" s="62">
        <f>ЦТО!A68</f>
        <v>0</v>
      </c>
      <c r="B164" s="62">
        <f>ЦТО!B70</f>
        <v>0</v>
      </c>
      <c r="C164" s="67">
        <f>ЦТО!C68</f>
        <v>0</v>
      </c>
      <c r="D164" s="63">
        <f>ЦТО!D68</f>
        <v>0</v>
      </c>
      <c r="E164" s="68">
        <f>SUM(ЦТО!BB68:BI68)</f>
        <v>0</v>
      </c>
      <c r="F164" s="64" t="str">
        <f>IF(E164&lt;10,'вспомогательные данные'!$C$26,IF(E164&lt;19,'вспомогательные данные'!$C$25,'вспомогательные данные'!$C$24))</f>
        <v>положительный</v>
      </c>
      <c r="G164" s="65">
        <f>(18-ЦТО!AM69-ЦТО!AL69)/(18-ЦТО!AL69-ЦТО!AP69)</f>
        <v>1</v>
      </c>
      <c r="H164" s="66" t="str">
        <f>IF(G164&lt;0.51,'вспомогательные данные'!$C$19,IF(G164&lt;0.92,'вспомогательные данные'!$C$20, IF(G164&lt;2,'вспомогательные данные'!$C$21,'вспомогательные данные'!$C$22)))</f>
        <v>оптимальная работоспособность</v>
      </c>
      <c r="I164" s="61" t="b">
        <f>IF(OR(ЦТО!AT69=1,ЦТО!AU69=1,ЦТО!AV69=1,ЦТО!AX69=1),"Положительная",IF(OR(ЦТО!AY69=1,ЦТО!AZ69=1,ЦТО!BA69=1),"Отрицательная",IF(OR(ЦТО!AW69=1),"Инфантильная")))</f>
        <v>0</v>
      </c>
    </row>
    <row r="165" spans="1:9">
      <c r="A165" s="62">
        <f>ЦТО!A69</f>
        <v>0</v>
      </c>
      <c r="B165" s="62">
        <f>ЦТО!B71</f>
        <v>0</v>
      </c>
      <c r="C165" s="67">
        <f>ЦТО!C69</f>
        <v>0</v>
      </c>
      <c r="D165" s="63">
        <f>ЦТО!D69</f>
        <v>0</v>
      </c>
      <c r="E165" s="68">
        <f>SUM(ЦТО!BB69:BI69)</f>
        <v>0</v>
      </c>
      <c r="F165" s="64" t="str">
        <f>IF(E165&lt;10,'вспомогательные данные'!$C$26,IF(E165&lt;19,'вспомогательные данные'!$C$25,'вспомогательные данные'!$C$24))</f>
        <v>положительный</v>
      </c>
      <c r="G165" s="65">
        <f>(18-ЦТО!AM70-ЦТО!AL70)/(18-ЦТО!AL70-ЦТО!AP70)</f>
        <v>1</v>
      </c>
      <c r="H165" s="66" t="str">
        <f>IF(G165&lt;0.51,'вспомогательные данные'!$C$19,IF(G165&lt;0.92,'вспомогательные данные'!$C$20, IF(G165&lt;2,'вспомогательные данные'!$C$21,'вспомогательные данные'!$C$22)))</f>
        <v>оптимальная работоспособность</v>
      </c>
      <c r="I165" s="61" t="b">
        <f>IF(OR(ЦТО!AT70=1,ЦТО!AU70=1,ЦТО!AV70=1,ЦТО!AX70=1),"Положительная",IF(OR(ЦТО!AY70=1,ЦТО!AZ70=1,ЦТО!BA70=1),"Отрицательная",IF(OR(ЦТО!AW70=1),"Инфантильная")))</f>
        <v>0</v>
      </c>
    </row>
    <row r="166" spans="1:9">
      <c r="A166" s="62">
        <f>ЦТО!A70</f>
        <v>0</v>
      </c>
      <c r="B166" s="62">
        <f>ЦТО!B72</f>
        <v>0</v>
      </c>
      <c r="C166" s="67">
        <f>ЦТО!C70</f>
        <v>0</v>
      </c>
      <c r="D166" s="63">
        <f>ЦТО!D70</f>
        <v>0</v>
      </c>
      <c r="E166" s="68">
        <f>SUM(ЦТО!BB70:BI70)</f>
        <v>0</v>
      </c>
      <c r="F166" s="64" t="str">
        <f>IF(E166&lt;10,'вспомогательные данные'!$C$26,IF(E166&lt;19,'вспомогательные данные'!$C$25,'вспомогательные данные'!$C$24))</f>
        <v>положительный</v>
      </c>
      <c r="G166" s="65">
        <f>(18-ЦТО!AM71-ЦТО!AL71)/(18-ЦТО!AL71-ЦТО!AP71)</f>
        <v>1</v>
      </c>
      <c r="H166" s="66" t="str">
        <f>IF(G166&lt;0.51,'вспомогательные данные'!$C$19,IF(G166&lt;0.92,'вспомогательные данные'!$C$20, IF(G166&lt;2,'вспомогательные данные'!$C$21,'вспомогательные данные'!$C$22)))</f>
        <v>оптимальная работоспособность</v>
      </c>
      <c r="I166" s="61" t="b">
        <f>IF(OR(ЦТО!AT71=1,ЦТО!AU71=1,ЦТО!AV71=1,ЦТО!AX71=1),"Положительная",IF(OR(ЦТО!AY71=1,ЦТО!AZ71=1,ЦТО!BA71=1),"Отрицательная",IF(OR(ЦТО!AW71=1),"Инфантильная")))</f>
        <v>0</v>
      </c>
    </row>
    <row r="167" spans="1:9">
      <c r="A167" s="62">
        <f>ЦТО!A71</f>
        <v>0</v>
      </c>
      <c r="B167" s="62">
        <f>ЦТО!B73</f>
        <v>0</v>
      </c>
      <c r="C167" s="67">
        <f>ЦТО!C71</f>
        <v>0</v>
      </c>
      <c r="D167" s="63">
        <f>ЦТО!D71</f>
        <v>0</v>
      </c>
      <c r="E167" s="68">
        <f>SUM(ЦТО!BB71:BI71)</f>
        <v>0</v>
      </c>
      <c r="F167" s="64" t="str">
        <f>IF(E167&lt;10,'вспомогательные данные'!$C$26,IF(E167&lt;19,'вспомогательные данные'!$C$25,'вспомогательные данные'!$C$24))</f>
        <v>положительный</v>
      </c>
      <c r="G167" s="65">
        <f>(18-ЦТО!AM72-ЦТО!AL72)/(18-ЦТО!AL72-ЦТО!AP72)</f>
        <v>1</v>
      </c>
      <c r="H167" s="66" t="str">
        <f>IF(G167&lt;0.51,'вспомогательные данные'!$C$19,IF(G167&lt;0.92,'вспомогательные данные'!$C$20, IF(G167&lt;2,'вспомогательные данные'!$C$21,'вспомогательные данные'!$C$22)))</f>
        <v>оптимальная работоспособность</v>
      </c>
      <c r="I167" s="61" t="b">
        <f>IF(OR(ЦТО!AT72=1,ЦТО!AU72=1,ЦТО!AV72=1,ЦТО!AX72=1),"Положительная",IF(OR(ЦТО!AY72=1,ЦТО!AZ72=1,ЦТО!BA72=1),"Отрицательная",IF(OR(ЦТО!AW72=1),"Инфантильная")))</f>
        <v>0</v>
      </c>
    </row>
    <row r="168" spans="1:9">
      <c r="A168" s="62">
        <f>ЦТО!A72</f>
        <v>0</v>
      </c>
      <c r="B168" s="62">
        <f>ЦТО!B74</f>
        <v>0</v>
      </c>
      <c r="C168" s="67">
        <f>ЦТО!C72</f>
        <v>0</v>
      </c>
      <c r="D168" s="63">
        <f>ЦТО!D72</f>
        <v>0</v>
      </c>
      <c r="E168" s="68">
        <f>SUM(ЦТО!BB72:BI72)</f>
        <v>0</v>
      </c>
      <c r="F168" s="64" t="str">
        <f>IF(E168&lt;10,'вспомогательные данные'!$C$26,IF(E168&lt;19,'вспомогательные данные'!$C$25,'вспомогательные данные'!$C$24))</f>
        <v>положительный</v>
      </c>
      <c r="G168" s="65">
        <f>(18-ЦТО!AM73-ЦТО!AL73)/(18-ЦТО!AL73-ЦТО!AP73)</f>
        <v>1</v>
      </c>
      <c r="H168" s="66" t="str">
        <f>IF(G168&lt;0.51,'вспомогательные данные'!$C$19,IF(G168&lt;0.92,'вспомогательные данные'!$C$20, IF(G168&lt;2,'вспомогательные данные'!$C$21,'вспомогательные данные'!$C$22)))</f>
        <v>оптимальная работоспособность</v>
      </c>
      <c r="I168" s="61" t="b">
        <f>IF(OR(ЦТО!AT73=1,ЦТО!AU73=1,ЦТО!AV73=1,ЦТО!AX73=1),"Положительная",IF(OR(ЦТО!AY73=1,ЦТО!AZ73=1,ЦТО!BA73=1),"Отрицательная",IF(OR(ЦТО!AW73=1),"Инфантильная")))</f>
        <v>0</v>
      </c>
    </row>
    <row r="169" spans="1:9">
      <c r="A169" s="62">
        <f>ЦТО!A73</f>
        <v>0</v>
      </c>
      <c r="B169" s="62">
        <f>ЦТО!B75</f>
        <v>0</v>
      </c>
      <c r="C169" s="67">
        <f>ЦТО!C73</f>
        <v>0</v>
      </c>
      <c r="D169" s="63">
        <f>ЦТО!D73</f>
        <v>0</v>
      </c>
      <c r="E169" s="68">
        <f>SUM(ЦТО!BB73:BI73)</f>
        <v>0</v>
      </c>
      <c r="F169" s="64" t="str">
        <f>IF(E169&lt;10,'вспомогательные данные'!$C$26,IF(E169&lt;19,'вспомогательные данные'!$C$25,'вспомогательные данные'!$C$24))</f>
        <v>положительный</v>
      </c>
      <c r="G169" s="65">
        <f>(18-ЦТО!AM74-ЦТО!AL74)/(18-ЦТО!AL74-ЦТО!AP74)</f>
        <v>1</v>
      </c>
      <c r="H169" s="66" t="str">
        <f>IF(G169&lt;0.51,'вспомогательные данные'!$C$19,IF(G169&lt;0.92,'вспомогательные данные'!$C$20, IF(G169&lt;2,'вспомогательные данные'!$C$21,'вспомогательные данные'!$C$22)))</f>
        <v>оптимальная работоспособность</v>
      </c>
      <c r="I169" s="61" t="b">
        <f>IF(OR(ЦТО!AT74=1,ЦТО!AU74=1,ЦТО!AV74=1,ЦТО!AX74=1),"Положительная",IF(OR(ЦТО!AY74=1,ЦТО!AZ74=1,ЦТО!BA74=1),"Отрицательная",IF(OR(ЦТО!AW74=1),"Инфантильная")))</f>
        <v>0</v>
      </c>
    </row>
    <row r="170" spans="1:9">
      <c r="A170" s="62">
        <f>ЦТО!A74</f>
        <v>0</v>
      </c>
      <c r="B170" s="62">
        <f>ЦТО!B76</f>
        <v>0</v>
      </c>
      <c r="C170" s="67">
        <f>ЦТО!C74</f>
        <v>0</v>
      </c>
      <c r="D170" s="63">
        <f>ЦТО!D74</f>
        <v>0</v>
      </c>
      <c r="E170" s="68">
        <f>SUM(ЦТО!BB74:BI74)</f>
        <v>0</v>
      </c>
      <c r="F170" s="64" t="str">
        <f>IF(E170&lt;10,'вспомогательные данные'!$C$26,IF(E170&lt;19,'вспомогательные данные'!$C$25,'вспомогательные данные'!$C$24))</f>
        <v>положительный</v>
      </c>
      <c r="G170" s="65">
        <f>(18-ЦТО!AM75-ЦТО!AL75)/(18-ЦТО!AL75-ЦТО!AP75)</f>
        <v>1</v>
      </c>
      <c r="H170" s="66" t="str">
        <f>IF(G170&lt;0.51,'вспомогательные данные'!$C$19,IF(G170&lt;0.92,'вспомогательные данные'!$C$20, IF(G170&lt;2,'вспомогательные данные'!$C$21,'вспомогательные данные'!$C$22)))</f>
        <v>оптимальная работоспособность</v>
      </c>
      <c r="I170" s="61" t="b">
        <f>IF(OR(ЦТО!AT75=1,ЦТО!AU75=1,ЦТО!AV75=1,ЦТО!AX75=1),"Положительная",IF(OR(ЦТО!AY75=1,ЦТО!AZ75=1,ЦТО!BA75=1),"Отрицательная",IF(OR(ЦТО!AW75=1),"Инфантильная")))</f>
        <v>0</v>
      </c>
    </row>
    <row r="171" spans="1:9">
      <c r="A171" s="62">
        <f>ЦТО!A75</f>
        <v>0</v>
      </c>
      <c r="B171" s="62">
        <f>ЦТО!B77</f>
        <v>0</v>
      </c>
      <c r="C171" s="67">
        <f>ЦТО!C75</f>
        <v>0</v>
      </c>
      <c r="D171" s="63">
        <f>ЦТО!D75</f>
        <v>0</v>
      </c>
      <c r="E171" s="68">
        <f>SUM(ЦТО!BB75:BI75)</f>
        <v>0</v>
      </c>
      <c r="F171" s="64" t="str">
        <f>IF(E171&lt;10,'вспомогательные данные'!$C$26,IF(E171&lt;19,'вспомогательные данные'!$C$25,'вспомогательные данные'!$C$24))</f>
        <v>положительный</v>
      </c>
      <c r="G171" s="65">
        <f>(18-ЦТО!AM76-ЦТО!AL76)/(18-ЦТО!AL76-ЦТО!AP76)</f>
        <v>1</v>
      </c>
      <c r="H171" s="66" t="str">
        <f>IF(G171&lt;0.51,'вспомогательные данные'!$C$19,IF(G171&lt;0.92,'вспомогательные данные'!$C$20, IF(G171&lt;2,'вспомогательные данные'!$C$21,'вспомогательные данные'!$C$22)))</f>
        <v>оптимальная работоспособность</v>
      </c>
      <c r="I171" s="61" t="b">
        <f>IF(OR(ЦТО!AT76=1,ЦТО!AU76=1,ЦТО!AV76=1,ЦТО!AX76=1),"Положительная",IF(OR(ЦТО!AY76=1,ЦТО!AZ76=1,ЦТО!BA76=1),"Отрицательная",IF(OR(ЦТО!AW76=1),"Инфантильная")))</f>
        <v>0</v>
      </c>
    </row>
    <row r="172" spans="1:9">
      <c r="A172" s="62">
        <f>ЦТО!A76</f>
        <v>0</v>
      </c>
      <c r="B172" s="62">
        <f>ЦТО!B78</f>
        <v>0</v>
      </c>
      <c r="C172" s="67">
        <f>ЦТО!C76</f>
        <v>0</v>
      </c>
      <c r="D172" s="63">
        <f>ЦТО!D76</f>
        <v>0</v>
      </c>
      <c r="E172" s="68">
        <f>SUM(ЦТО!BB76:BI76)</f>
        <v>0</v>
      </c>
      <c r="F172" s="64" t="str">
        <f>IF(E172&lt;10,'вспомогательные данные'!$C$26,IF(E172&lt;19,'вспомогательные данные'!$C$25,'вспомогательные данные'!$C$24))</f>
        <v>положительный</v>
      </c>
      <c r="G172" s="65">
        <f>(18-ЦТО!AM77-ЦТО!AL77)/(18-ЦТО!AL77-ЦТО!AP77)</f>
        <v>1</v>
      </c>
      <c r="H172" s="66" t="str">
        <f>IF(G172&lt;0.51,'вспомогательные данные'!$C$19,IF(G172&lt;0.92,'вспомогательные данные'!$C$20, IF(G172&lt;2,'вспомогательные данные'!$C$21,'вспомогательные данные'!$C$22)))</f>
        <v>оптимальная работоспособность</v>
      </c>
      <c r="I172" s="61" t="b">
        <f>IF(OR(ЦТО!AT77=1,ЦТО!AU77=1,ЦТО!AV77=1,ЦТО!AX77=1),"Положительная",IF(OR(ЦТО!AY77=1,ЦТО!AZ77=1,ЦТО!BA77=1),"Отрицательная",IF(OR(ЦТО!AW77=1),"Инфантильная")))</f>
        <v>0</v>
      </c>
    </row>
    <row r="173" spans="1:9">
      <c r="A173" s="62">
        <f>ЦТО!A77</f>
        <v>0</v>
      </c>
      <c r="B173" s="62">
        <f>ЦТО!B79</f>
        <v>0</v>
      </c>
      <c r="C173" s="67">
        <f>ЦТО!C77</f>
        <v>0</v>
      </c>
      <c r="D173" s="63">
        <f>ЦТО!D77</f>
        <v>0</v>
      </c>
      <c r="E173" s="68">
        <f>SUM(ЦТО!BB77:BI77)</f>
        <v>0</v>
      </c>
      <c r="F173" s="64" t="str">
        <f>IF(E173&lt;10,'вспомогательные данные'!$C$26,IF(E173&lt;19,'вспомогательные данные'!$C$25,'вспомогательные данные'!$C$24))</f>
        <v>положительный</v>
      </c>
      <c r="G173" s="65">
        <f>(18-ЦТО!AM78-ЦТО!AL78)/(18-ЦТО!AL78-ЦТО!AP78)</f>
        <v>1</v>
      </c>
      <c r="H173" s="66" t="str">
        <f>IF(G173&lt;0.51,'вспомогательные данные'!$C$19,IF(G173&lt;0.92,'вспомогательные данные'!$C$20, IF(G173&lt;2,'вспомогательные данные'!$C$21,'вспомогательные данные'!$C$22)))</f>
        <v>оптимальная работоспособность</v>
      </c>
      <c r="I173" s="61" t="b">
        <f>IF(OR(ЦТО!AT78=1,ЦТО!AU78=1,ЦТО!AV78=1,ЦТО!AX78=1),"Положительная",IF(OR(ЦТО!AY78=1,ЦТО!AZ78=1,ЦТО!BA78=1),"Отрицательная",IF(OR(ЦТО!AW78=1),"Инфантильная")))</f>
        <v>0</v>
      </c>
    </row>
    <row r="174" spans="1:9">
      <c r="A174" s="62">
        <f>ЦТО!A78</f>
        <v>0</v>
      </c>
      <c r="B174" s="62">
        <f>ЦТО!B80</f>
        <v>0</v>
      </c>
      <c r="C174" s="67">
        <f>ЦТО!C78</f>
        <v>0</v>
      </c>
      <c r="D174" s="63">
        <f>ЦТО!D78</f>
        <v>0</v>
      </c>
      <c r="E174" s="68">
        <f>SUM(ЦТО!BB78:BI78)</f>
        <v>0</v>
      </c>
      <c r="F174" s="64" t="str">
        <f>IF(E174&lt;10,'вспомогательные данные'!$C$26,IF(E174&lt;19,'вспомогательные данные'!$C$25,'вспомогательные данные'!$C$24))</f>
        <v>положительный</v>
      </c>
      <c r="G174" s="65">
        <f>(18-ЦТО!AM79-ЦТО!AL79)/(18-ЦТО!AL79-ЦТО!AP79)</f>
        <v>1</v>
      </c>
      <c r="H174" s="66" t="str">
        <f>IF(G174&lt;0.51,'вспомогательные данные'!$C$19,IF(G174&lt;0.92,'вспомогательные данные'!$C$20, IF(G174&lt;2,'вспомогательные данные'!$C$21,'вспомогательные данные'!$C$22)))</f>
        <v>оптимальная работоспособность</v>
      </c>
      <c r="I174" s="61" t="b">
        <f>IF(OR(ЦТО!AT79=1,ЦТО!AU79=1,ЦТО!AV79=1,ЦТО!AX79=1),"Положительная",IF(OR(ЦТО!AY79=1,ЦТО!AZ79=1,ЦТО!BA79=1),"Отрицательная",IF(OR(ЦТО!AW79=1),"Инфантильная")))</f>
        <v>0</v>
      </c>
    </row>
    <row r="175" spans="1:9">
      <c r="A175" s="62">
        <f>ЦТО!A79</f>
        <v>0</v>
      </c>
      <c r="B175" s="62">
        <f>ЦТО!B81</f>
        <v>0</v>
      </c>
      <c r="C175" s="67">
        <f>ЦТО!C79</f>
        <v>0</v>
      </c>
      <c r="D175" s="63">
        <f>ЦТО!D79</f>
        <v>0</v>
      </c>
      <c r="E175" s="68">
        <f>SUM(ЦТО!BB79:BI79)</f>
        <v>0</v>
      </c>
      <c r="F175" s="64" t="str">
        <f>IF(E175&lt;10,'вспомогательные данные'!$C$26,IF(E175&lt;19,'вспомогательные данные'!$C$25,'вспомогательные данные'!$C$24))</f>
        <v>положительный</v>
      </c>
      <c r="G175" s="65">
        <f>(18-ЦТО!AM80-ЦТО!AL80)/(18-ЦТО!AL80-ЦТО!AP80)</f>
        <v>1</v>
      </c>
      <c r="H175" s="66" t="str">
        <f>IF(G175&lt;0.51,'вспомогательные данные'!$C$19,IF(G175&lt;0.92,'вспомогательные данные'!$C$20, IF(G175&lt;2,'вспомогательные данные'!$C$21,'вспомогательные данные'!$C$22)))</f>
        <v>оптимальная работоспособность</v>
      </c>
      <c r="I175" s="61" t="b">
        <f>IF(OR(ЦТО!AT80=1,ЦТО!AU80=1,ЦТО!AV80=1,ЦТО!AX80=1),"Положительная",IF(OR(ЦТО!AY80=1,ЦТО!AZ80=1,ЦТО!BA80=1),"Отрицательная",IF(OR(ЦТО!AW80=1),"Инфантильная")))</f>
        <v>0</v>
      </c>
    </row>
    <row r="176" spans="1:9">
      <c r="A176" s="62">
        <f>ЦТО!A80</f>
        <v>0</v>
      </c>
      <c r="B176" s="62">
        <f>ЦТО!B82</f>
        <v>0</v>
      </c>
      <c r="C176" s="67">
        <f>ЦТО!C80</f>
        <v>0</v>
      </c>
      <c r="D176" s="63">
        <f>ЦТО!D80</f>
        <v>0</v>
      </c>
      <c r="E176" s="68">
        <f>SUM(ЦТО!BB80:BI80)</f>
        <v>0</v>
      </c>
      <c r="F176" s="64" t="str">
        <f>IF(E176&lt;10,'вспомогательные данные'!$C$26,IF(E176&lt;19,'вспомогательные данные'!$C$25,'вспомогательные данные'!$C$24))</f>
        <v>положительный</v>
      </c>
      <c r="G176" s="65">
        <f>(18-ЦТО!AM81-ЦТО!AL81)/(18-ЦТО!AL81-ЦТО!AP81)</f>
        <v>1</v>
      </c>
      <c r="H176" s="66" t="str">
        <f>IF(G176&lt;0.51,'вспомогательные данные'!$C$19,IF(G176&lt;0.92,'вспомогательные данные'!$C$20, IF(G176&lt;2,'вспомогательные данные'!$C$21,'вспомогательные данные'!$C$22)))</f>
        <v>оптимальная работоспособность</v>
      </c>
      <c r="I176" s="61" t="b">
        <f>IF(OR(ЦТО!AT81=1,ЦТО!AU81=1,ЦТО!AV81=1,ЦТО!AX81=1),"Положительная",IF(OR(ЦТО!AY81=1,ЦТО!AZ81=1,ЦТО!BA81=1),"Отрицательная",IF(OR(ЦТО!AW81=1),"Инфантильная")))</f>
        <v>0</v>
      </c>
    </row>
    <row r="177" spans="1:9">
      <c r="A177" s="62">
        <f>ЦТО!A81</f>
        <v>0</v>
      </c>
      <c r="B177" s="62">
        <f>ЦТО!B83</f>
        <v>0</v>
      </c>
      <c r="C177" s="67">
        <f>ЦТО!C81</f>
        <v>0</v>
      </c>
      <c r="D177" s="63">
        <f>ЦТО!D81</f>
        <v>0</v>
      </c>
      <c r="E177" s="68">
        <f>SUM(ЦТО!BB81:BI81)</f>
        <v>0</v>
      </c>
      <c r="F177" s="64" t="str">
        <f>IF(E177&lt;10,'вспомогательные данные'!$C$26,IF(E177&lt;19,'вспомогательные данные'!$C$25,'вспомогательные данные'!$C$24))</f>
        <v>положительный</v>
      </c>
      <c r="G177" s="65">
        <f>(18-ЦТО!AM82-ЦТО!AL82)/(18-ЦТО!AL82-ЦТО!AP82)</f>
        <v>1</v>
      </c>
      <c r="H177" s="66" t="str">
        <f>IF(G177&lt;0.51,'вспомогательные данные'!$C$19,IF(G177&lt;0.92,'вспомогательные данные'!$C$20, IF(G177&lt;2,'вспомогательные данные'!$C$21,'вспомогательные данные'!$C$22)))</f>
        <v>оптимальная работоспособность</v>
      </c>
      <c r="I177" s="61" t="b">
        <f>IF(OR(ЦТО!AT82=1,ЦТО!AU82=1,ЦТО!AV82=1,ЦТО!AX82=1),"Положительная",IF(OR(ЦТО!AY82=1,ЦТО!AZ82=1,ЦТО!BA82=1),"Отрицательная",IF(OR(ЦТО!AW82=1),"Инфантильная")))</f>
        <v>0</v>
      </c>
    </row>
    <row r="178" spans="1:9">
      <c r="A178" s="62">
        <f>ЦТО!A82</f>
        <v>0</v>
      </c>
      <c r="B178" s="62">
        <f>ЦТО!B84</f>
        <v>0</v>
      </c>
      <c r="C178" s="67">
        <f>ЦТО!C82</f>
        <v>0</v>
      </c>
      <c r="D178" s="63">
        <f>ЦТО!D82</f>
        <v>0</v>
      </c>
      <c r="E178" s="68">
        <f>SUM(ЦТО!BB82:BI82)</f>
        <v>0</v>
      </c>
      <c r="F178" s="64" t="str">
        <f>IF(E178&lt;10,'вспомогательные данные'!$C$26,IF(E178&lt;19,'вспомогательные данные'!$C$25,'вспомогательные данные'!$C$24))</f>
        <v>положительный</v>
      </c>
      <c r="G178" s="65">
        <f>(18-ЦТО!AM83-ЦТО!AL83)/(18-ЦТО!AL83-ЦТО!AP83)</f>
        <v>1</v>
      </c>
      <c r="H178" s="66" t="str">
        <f>IF(G178&lt;0.51,'вспомогательные данные'!$C$19,IF(G178&lt;0.92,'вспомогательные данные'!$C$20, IF(G178&lt;2,'вспомогательные данные'!$C$21,'вспомогательные данные'!$C$22)))</f>
        <v>оптимальная работоспособность</v>
      </c>
      <c r="I178" s="61" t="b">
        <f>IF(OR(ЦТО!AT83=1,ЦТО!AU83=1,ЦТО!AV83=1,ЦТО!AX83=1),"Положительная",IF(OR(ЦТО!AY83=1,ЦТО!AZ83=1,ЦТО!BA83=1),"Отрицательная",IF(OR(ЦТО!AW83=1),"Инфантильная")))</f>
        <v>0</v>
      </c>
    </row>
    <row r="179" spans="1:9">
      <c r="A179" s="62">
        <f>ЦТО!A83</f>
        <v>0</v>
      </c>
      <c r="B179" s="62">
        <f>ЦТО!B85</f>
        <v>0</v>
      </c>
      <c r="C179" s="67">
        <f>ЦТО!C83</f>
        <v>0</v>
      </c>
      <c r="D179" s="63">
        <f>ЦТО!D83</f>
        <v>0</v>
      </c>
      <c r="E179" s="68">
        <f>SUM(ЦТО!BB83:BI83)</f>
        <v>0</v>
      </c>
      <c r="F179" s="64" t="str">
        <f>IF(E179&lt;10,'вспомогательные данные'!$C$26,IF(E179&lt;19,'вспомогательные данные'!$C$25,'вспомогательные данные'!$C$24))</f>
        <v>положительный</v>
      </c>
      <c r="G179" s="65">
        <f>(18-ЦТО!AM84-ЦТО!AL84)/(18-ЦТО!AL84-ЦТО!AP84)</f>
        <v>1</v>
      </c>
      <c r="H179" s="66" t="str">
        <f>IF(G179&lt;0.51,'вспомогательные данные'!$C$19,IF(G179&lt;0.92,'вспомогательные данные'!$C$20, IF(G179&lt;2,'вспомогательные данные'!$C$21,'вспомогательные данные'!$C$22)))</f>
        <v>оптимальная работоспособность</v>
      </c>
      <c r="I179" s="61" t="b">
        <f>IF(OR(ЦТО!AT84=1,ЦТО!AU84=1,ЦТО!AV84=1,ЦТО!AX84=1),"Положительная",IF(OR(ЦТО!AY84=1,ЦТО!AZ84=1,ЦТО!BA84=1),"Отрицательная",IF(OR(ЦТО!AW84=1),"Инфантильная")))</f>
        <v>0</v>
      </c>
    </row>
    <row r="180" spans="1:9">
      <c r="A180" s="62">
        <f>ЦТО!A84</f>
        <v>0</v>
      </c>
      <c r="B180" s="62">
        <f>ЦТО!B86</f>
        <v>0</v>
      </c>
      <c r="C180" s="67">
        <f>ЦТО!C84</f>
        <v>0</v>
      </c>
      <c r="D180" s="63">
        <f>ЦТО!D84</f>
        <v>0</v>
      </c>
      <c r="E180" s="68">
        <f>SUM(ЦТО!BB84:BI84)</f>
        <v>0</v>
      </c>
      <c r="F180" s="64" t="str">
        <f>IF(E180&lt;10,'вспомогательные данные'!$C$26,IF(E180&lt;19,'вспомогательные данные'!$C$25,'вспомогательные данные'!$C$24))</f>
        <v>положительный</v>
      </c>
      <c r="G180" s="65">
        <f>(18-ЦТО!AM85-ЦТО!AL85)/(18-ЦТО!AL85-ЦТО!AP85)</f>
        <v>1</v>
      </c>
      <c r="H180" s="66" t="str">
        <f>IF(G180&lt;0.51,'вспомогательные данные'!$C$19,IF(G180&lt;0.92,'вспомогательные данные'!$C$20, IF(G180&lt;2,'вспомогательные данные'!$C$21,'вспомогательные данные'!$C$22)))</f>
        <v>оптимальная работоспособность</v>
      </c>
      <c r="I180" s="61" t="b">
        <f>IF(OR(ЦТО!AT85=1,ЦТО!AU85=1,ЦТО!AV85=1,ЦТО!AX85=1),"Положительная",IF(OR(ЦТО!AY85=1,ЦТО!AZ85=1,ЦТО!BA85=1),"Отрицательная",IF(OR(ЦТО!AW85=1),"Инфантильная")))</f>
        <v>0</v>
      </c>
    </row>
    <row r="181" spans="1:9">
      <c r="A181" s="62">
        <f>ЦТО!A85</f>
        <v>0</v>
      </c>
      <c r="B181" s="62">
        <f>ЦТО!B87</f>
        <v>0</v>
      </c>
      <c r="C181" s="67">
        <f>ЦТО!C85</f>
        <v>0</v>
      </c>
      <c r="D181" s="63">
        <f>ЦТО!D85</f>
        <v>0</v>
      </c>
      <c r="E181" s="68">
        <f>SUM(ЦТО!BB85:BI85)</f>
        <v>0</v>
      </c>
      <c r="F181" s="64" t="str">
        <f>IF(E181&lt;10,'вспомогательные данные'!$C$26,IF(E181&lt;19,'вспомогательные данные'!$C$25,'вспомогательные данные'!$C$24))</f>
        <v>положительный</v>
      </c>
      <c r="G181" s="65">
        <f>(18-ЦТО!AM86-ЦТО!AL86)/(18-ЦТО!AL86-ЦТО!AP86)</f>
        <v>1</v>
      </c>
      <c r="H181" s="66" t="str">
        <f>IF(G181&lt;0.51,'вспомогательные данные'!$C$19,IF(G181&lt;0.92,'вспомогательные данные'!$C$20, IF(G181&lt;2,'вспомогательные данные'!$C$21,'вспомогательные данные'!$C$22)))</f>
        <v>оптимальная работоспособность</v>
      </c>
      <c r="I181" s="61" t="b">
        <f>IF(OR(ЦТО!AT86=1,ЦТО!AU86=1,ЦТО!AV86=1,ЦТО!AX86=1),"Положительная",IF(OR(ЦТО!AY86=1,ЦТО!AZ86=1,ЦТО!BA86=1),"Отрицательная",IF(OR(ЦТО!AW86=1),"Инфантильная")))</f>
        <v>0</v>
      </c>
    </row>
    <row r="182" spans="1:9">
      <c r="A182" s="62">
        <f>ЦТО!A86</f>
        <v>0</v>
      </c>
      <c r="B182" s="62">
        <f>ЦТО!B88</f>
        <v>0</v>
      </c>
      <c r="C182" s="67">
        <f>ЦТО!C86</f>
        <v>0</v>
      </c>
      <c r="D182" s="63">
        <f>ЦТО!D86</f>
        <v>0</v>
      </c>
      <c r="E182" s="68">
        <f>SUM(ЦТО!BB86:BI86)</f>
        <v>0</v>
      </c>
      <c r="F182" s="64" t="str">
        <f>IF(E182&lt;10,'вспомогательные данные'!$C$26,IF(E182&lt;19,'вспомогательные данные'!$C$25,'вспомогательные данные'!$C$24))</f>
        <v>положительный</v>
      </c>
      <c r="G182" s="65">
        <f>(18-ЦТО!AM87-ЦТО!AL87)/(18-ЦТО!AL87-ЦТО!AP87)</f>
        <v>1</v>
      </c>
      <c r="H182" s="66" t="str">
        <f>IF(G182&lt;0.51,'вспомогательные данные'!$C$19,IF(G182&lt;0.92,'вспомогательные данные'!$C$20, IF(G182&lt;2,'вспомогательные данные'!$C$21,'вспомогательные данные'!$C$22)))</f>
        <v>оптимальная работоспособность</v>
      </c>
      <c r="I182" s="61" t="b">
        <f>IF(OR(ЦТО!AT87=1,ЦТО!AU87=1,ЦТО!AV87=1,ЦТО!AX87=1),"Положительная",IF(OR(ЦТО!AY87=1,ЦТО!AZ87=1,ЦТО!BA87=1),"Отрицательная",IF(OR(ЦТО!AW87=1),"Инфантильная")))</f>
        <v>0</v>
      </c>
    </row>
    <row r="183" spans="1:9">
      <c r="A183" s="62">
        <f>ЦТО!A87</f>
        <v>0</v>
      </c>
      <c r="B183" s="62">
        <f>ЦТО!B89</f>
        <v>0</v>
      </c>
      <c r="C183" s="67">
        <f>ЦТО!C87</f>
        <v>0</v>
      </c>
      <c r="D183" s="63">
        <f>ЦТО!D87</f>
        <v>0</v>
      </c>
      <c r="E183" s="68">
        <f>SUM(ЦТО!BB87:BI87)</f>
        <v>0</v>
      </c>
      <c r="F183" s="64" t="str">
        <f>IF(E183&lt;10,'вспомогательные данные'!$C$26,IF(E183&lt;19,'вспомогательные данные'!$C$25,'вспомогательные данные'!$C$24))</f>
        <v>положительный</v>
      </c>
      <c r="G183" s="65">
        <f>(18-ЦТО!AM88-ЦТО!AL88)/(18-ЦТО!AL88-ЦТО!AP88)</f>
        <v>1</v>
      </c>
      <c r="H183" s="66" t="str">
        <f>IF(G183&lt;0.51,'вспомогательные данные'!$C$19,IF(G183&lt;0.92,'вспомогательные данные'!$C$20, IF(G183&lt;2,'вспомогательные данные'!$C$21,'вспомогательные данные'!$C$22)))</f>
        <v>оптимальная работоспособность</v>
      </c>
      <c r="I183" s="61" t="b">
        <f>IF(OR(ЦТО!AT88=1,ЦТО!AU88=1,ЦТО!AV88=1,ЦТО!AX88=1),"Положительная",IF(OR(ЦТО!AY88=1,ЦТО!AZ88=1,ЦТО!BA88=1),"Отрицательная",IF(OR(ЦТО!AW88=1),"Инфантильная")))</f>
        <v>0</v>
      </c>
    </row>
    <row r="184" spans="1:9">
      <c r="A184" s="62">
        <f>ЦТО!A88</f>
        <v>0</v>
      </c>
      <c r="B184" s="62">
        <f>ЦТО!B90</f>
        <v>0</v>
      </c>
      <c r="C184" s="67">
        <f>ЦТО!C88</f>
        <v>0</v>
      </c>
      <c r="D184" s="63">
        <f>ЦТО!D88</f>
        <v>0</v>
      </c>
      <c r="E184" s="68">
        <f>SUM(ЦТО!BB88:BI88)</f>
        <v>0</v>
      </c>
      <c r="F184" s="64" t="str">
        <f>IF(E184&lt;10,'вспомогательные данные'!$C$26,IF(E184&lt;19,'вспомогательные данные'!$C$25,'вспомогательные данные'!$C$24))</f>
        <v>положительный</v>
      </c>
      <c r="G184" s="65">
        <f>(18-ЦТО!AM89-ЦТО!AL89)/(18-ЦТО!AL89-ЦТО!AP89)</f>
        <v>1</v>
      </c>
      <c r="H184" s="66" t="str">
        <f>IF(G184&lt;0.51,'вспомогательные данные'!$C$19,IF(G184&lt;0.92,'вспомогательные данные'!$C$20, IF(G184&lt;2,'вспомогательные данные'!$C$21,'вспомогательные данные'!$C$22)))</f>
        <v>оптимальная работоспособность</v>
      </c>
      <c r="I184" s="61" t="b">
        <f>IF(OR(ЦТО!AT89=1,ЦТО!AU89=1,ЦТО!AV89=1,ЦТО!AX89=1),"Положительная",IF(OR(ЦТО!AY89=1,ЦТО!AZ89=1,ЦТО!BA89=1),"Отрицательная",IF(OR(ЦТО!AW89=1),"Инфантильная")))</f>
        <v>0</v>
      </c>
    </row>
    <row r="185" spans="1:9">
      <c r="A185" s="62">
        <f>ЦТО!A89</f>
        <v>0</v>
      </c>
      <c r="B185" s="62">
        <f>ЦТО!B91</f>
        <v>0</v>
      </c>
      <c r="C185" s="67">
        <f>ЦТО!C89</f>
        <v>0</v>
      </c>
      <c r="D185" s="63">
        <f>ЦТО!D89</f>
        <v>0</v>
      </c>
      <c r="E185" s="68">
        <f>SUM(ЦТО!BB89:BI89)</f>
        <v>0</v>
      </c>
      <c r="F185" s="64" t="str">
        <f>IF(E185&lt;10,'вспомогательные данные'!$C$26,IF(E185&lt;19,'вспомогательные данные'!$C$25,'вспомогательные данные'!$C$24))</f>
        <v>положительный</v>
      </c>
      <c r="G185" s="65">
        <f>(18-ЦТО!AM90-ЦТО!AL90)/(18-ЦТО!AL90-ЦТО!AP90)</f>
        <v>1</v>
      </c>
      <c r="H185" s="66" t="str">
        <f>IF(G185&lt;0.51,'вспомогательные данные'!$C$19,IF(G185&lt;0.92,'вспомогательные данные'!$C$20, IF(G185&lt;2,'вспомогательные данные'!$C$21,'вспомогательные данные'!$C$22)))</f>
        <v>оптимальная работоспособность</v>
      </c>
      <c r="I185" s="61" t="b">
        <f>IF(OR(ЦТО!AT90=1,ЦТО!AU90=1,ЦТО!AV90=1,ЦТО!AX90=1),"Положительная",IF(OR(ЦТО!AY90=1,ЦТО!AZ90=1,ЦТО!BA90=1),"Отрицательная",IF(OR(ЦТО!AW90=1),"Инфантильная")))</f>
        <v>0</v>
      </c>
    </row>
    <row r="186" spans="1:9">
      <c r="A186" s="62">
        <f>ЦТО!A90</f>
        <v>0</v>
      </c>
      <c r="B186" s="62">
        <f>ЦТО!B92</f>
        <v>0</v>
      </c>
      <c r="C186" s="67">
        <f>ЦТО!C90</f>
        <v>0</v>
      </c>
      <c r="D186" s="63">
        <f>ЦТО!D90</f>
        <v>0</v>
      </c>
      <c r="E186" s="68">
        <f>SUM(ЦТО!BB90:BI90)</f>
        <v>0</v>
      </c>
      <c r="F186" s="64" t="str">
        <f>IF(E186&lt;10,'вспомогательные данные'!$C$26,IF(E186&lt;19,'вспомогательные данные'!$C$25,'вспомогательные данные'!$C$24))</f>
        <v>положительный</v>
      </c>
      <c r="G186" s="65">
        <f>(18-ЦТО!AM91-ЦТО!AL91)/(18-ЦТО!AL91-ЦТО!AP91)</f>
        <v>1</v>
      </c>
      <c r="H186" s="66" t="str">
        <f>IF(G186&lt;0.51,'вспомогательные данные'!$C$19,IF(G186&lt;0.92,'вспомогательные данные'!$C$20, IF(G186&lt;2,'вспомогательные данные'!$C$21,'вспомогательные данные'!$C$22)))</f>
        <v>оптимальная работоспособность</v>
      </c>
      <c r="I186" s="61" t="b">
        <f>IF(OR(ЦТО!AT91=1,ЦТО!AU91=1,ЦТО!AV91=1,ЦТО!AX91=1),"Положительная",IF(OR(ЦТО!AY91=1,ЦТО!AZ91=1,ЦТО!BA91=1),"Отрицательная",IF(OR(ЦТО!AW91=1),"Инфантильная")))</f>
        <v>0</v>
      </c>
    </row>
    <row r="187" spans="1:9">
      <c r="A187" s="62">
        <f>ЦТО!A91</f>
        <v>0</v>
      </c>
      <c r="B187" s="62">
        <f>ЦТО!B93</f>
        <v>0</v>
      </c>
      <c r="C187" s="67">
        <f>ЦТО!C91</f>
        <v>0</v>
      </c>
      <c r="D187" s="63">
        <f>ЦТО!D91</f>
        <v>0</v>
      </c>
      <c r="E187" s="68">
        <f>SUM(ЦТО!BB91:BI91)</f>
        <v>0</v>
      </c>
      <c r="F187" s="64" t="str">
        <f>IF(E187&lt;10,'вспомогательные данные'!$C$26,IF(E187&lt;19,'вспомогательные данные'!$C$25,'вспомогательные данные'!$C$24))</f>
        <v>положительный</v>
      </c>
      <c r="G187" s="65">
        <f>(18-ЦТО!AM92-ЦТО!AL92)/(18-ЦТО!AL92-ЦТО!AP92)</f>
        <v>1</v>
      </c>
      <c r="H187" s="66" t="str">
        <f>IF(G187&lt;0.51,'вспомогательные данные'!$C$19,IF(G187&lt;0.92,'вспомогательные данные'!$C$20, IF(G187&lt;2,'вспомогательные данные'!$C$21,'вспомогательные данные'!$C$22)))</f>
        <v>оптимальная работоспособность</v>
      </c>
      <c r="I187" s="61" t="b">
        <f>IF(OR(ЦТО!AT92=1,ЦТО!AU92=1,ЦТО!AV92=1,ЦТО!AX92=1),"Положительная",IF(OR(ЦТО!AY92=1,ЦТО!AZ92=1,ЦТО!BA92=1),"Отрицательная",IF(OR(ЦТО!AW92=1),"Инфантильная")))</f>
        <v>0</v>
      </c>
    </row>
    <row r="188" spans="1:9">
      <c r="A188" s="62">
        <f>ЦТО!A92</f>
        <v>0</v>
      </c>
      <c r="B188" s="62">
        <f>ЦТО!B94</f>
        <v>0</v>
      </c>
      <c r="C188" s="67">
        <f>ЦТО!C92</f>
        <v>0</v>
      </c>
      <c r="D188" s="63">
        <f>ЦТО!D92</f>
        <v>0</v>
      </c>
      <c r="E188" s="68">
        <f>SUM(ЦТО!BB92:BI92)</f>
        <v>0</v>
      </c>
      <c r="F188" s="64" t="str">
        <f>IF(E188&lt;10,'вспомогательные данные'!$C$26,IF(E188&lt;19,'вспомогательные данные'!$C$25,'вспомогательные данные'!$C$24))</f>
        <v>положительный</v>
      </c>
      <c r="G188" s="65">
        <f>(18-ЦТО!AM93-ЦТО!AL93)/(18-ЦТО!AL93-ЦТО!AP93)</f>
        <v>1</v>
      </c>
      <c r="H188" s="66" t="str">
        <f>IF(G188&lt;0.51,'вспомогательные данные'!$C$19,IF(G188&lt;0.92,'вспомогательные данные'!$C$20, IF(G188&lt;2,'вспомогательные данные'!$C$21,'вспомогательные данные'!$C$22)))</f>
        <v>оптимальная работоспособность</v>
      </c>
      <c r="I188" s="61" t="b">
        <f>IF(OR(ЦТО!AT93=1,ЦТО!AU93=1,ЦТО!AV93=1,ЦТО!AX93=1),"Положительная",IF(OR(ЦТО!AY93=1,ЦТО!AZ93=1,ЦТО!BA93=1),"Отрицательная",IF(OR(ЦТО!AW93=1),"Инфантильная")))</f>
        <v>0</v>
      </c>
    </row>
    <row r="189" spans="1:9">
      <c r="A189" s="62">
        <f>ЦТО!A93</f>
        <v>0</v>
      </c>
      <c r="B189" s="62">
        <f>ЦТО!B95</f>
        <v>0</v>
      </c>
      <c r="C189" s="67">
        <f>ЦТО!C93</f>
        <v>0</v>
      </c>
      <c r="D189" s="63">
        <f>ЦТО!D93</f>
        <v>0</v>
      </c>
      <c r="E189" s="68">
        <f>SUM(ЦТО!BB93:BI93)</f>
        <v>0</v>
      </c>
      <c r="F189" s="64" t="str">
        <f>IF(E189&lt;10,'вспомогательные данные'!$C$26,IF(E189&lt;19,'вспомогательные данные'!$C$25,'вспомогательные данные'!$C$24))</f>
        <v>положительный</v>
      </c>
      <c r="G189" s="65">
        <f>(18-ЦТО!AM94-ЦТО!AL94)/(18-ЦТО!AL94-ЦТО!AP94)</f>
        <v>1</v>
      </c>
      <c r="H189" s="66" t="str">
        <f>IF(G189&lt;0.51,'вспомогательные данные'!$C$19,IF(G189&lt;0.92,'вспомогательные данные'!$C$20, IF(G189&lt;2,'вспомогательные данные'!$C$21,'вспомогательные данные'!$C$22)))</f>
        <v>оптимальная работоспособность</v>
      </c>
      <c r="I189" s="61" t="b">
        <f>IF(OR(ЦТО!AT94=1,ЦТО!AU94=1,ЦТО!AV94=1,ЦТО!AX94=1),"Положительная",IF(OR(ЦТО!AY94=1,ЦТО!AZ94=1,ЦТО!BA94=1),"Отрицательная",IF(OR(ЦТО!AW94=1),"Инфантильная")))</f>
        <v>0</v>
      </c>
    </row>
    <row r="190" spans="1:9">
      <c r="A190" s="62">
        <f>ЦТО!A94</f>
        <v>0</v>
      </c>
      <c r="B190" s="62">
        <f>ЦТО!B96</f>
        <v>0</v>
      </c>
      <c r="C190" s="67">
        <f>ЦТО!C94</f>
        <v>0</v>
      </c>
      <c r="D190" s="63">
        <f>ЦТО!D94</f>
        <v>0</v>
      </c>
      <c r="E190" s="68">
        <f>SUM(ЦТО!BB94:BI94)</f>
        <v>0</v>
      </c>
      <c r="F190" s="64" t="str">
        <f>IF(E190&lt;10,'вспомогательные данные'!$C$26,IF(E190&lt;19,'вспомогательные данные'!$C$25,'вспомогательные данные'!$C$24))</f>
        <v>положительный</v>
      </c>
      <c r="G190" s="65">
        <f>(18-ЦТО!AM95-ЦТО!AL95)/(18-ЦТО!AL95-ЦТО!AP95)</f>
        <v>1</v>
      </c>
      <c r="H190" s="66" t="str">
        <f>IF(G190&lt;0.51,'вспомогательные данные'!$C$19,IF(G190&lt;0.92,'вспомогательные данные'!$C$20, IF(G190&lt;2,'вспомогательные данные'!$C$21,'вспомогательные данные'!$C$22)))</f>
        <v>оптимальная работоспособность</v>
      </c>
      <c r="I190" s="61" t="b">
        <f>IF(OR(ЦТО!AT95=1,ЦТО!AU95=1,ЦТО!AV95=1,ЦТО!AX95=1),"Положительная",IF(OR(ЦТО!AY95=1,ЦТО!AZ95=1,ЦТО!BA95=1),"Отрицательная",IF(OR(ЦТО!AW95=1),"Инфантильная")))</f>
        <v>0</v>
      </c>
    </row>
    <row r="191" spans="1:9">
      <c r="A191" s="62">
        <f>ЦТО!A95</f>
        <v>0</v>
      </c>
      <c r="B191" s="62">
        <f>ЦТО!B97</f>
        <v>0</v>
      </c>
      <c r="C191" s="67">
        <f>ЦТО!C95</f>
        <v>0</v>
      </c>
      <c r="D191" s="63">
        <f>ЦТО!D95</f>
        <v>0</v>
      </c>
      <c r="E191" s="68">
        <f>SUM(ЦТО!BB95:BI95)</f>
        <v>0</v>
      </c>
      <c r="F191" s="64" t="str">
        <f>IF(E191&lt;10,'вспомогательные данные'!$C$26,IF(E191&lt;19,'вспомогательные данные'!$C$25,'вспомогательные данные'!$C$24))</f>
        <v>положительный</v>
      </c>
      <c r="G191" s="65">
        <f>(18-ЦТО!AM96-ЦТО!AL96)/(18-ЦТО!AL96-ЦТО!AP96)</f>
        <v>1</v>
      </c>
      <c r="H191" s="66" t="str">
        <f>IF(G191&lt;0.51,'вспомогательные данные'!$C$19,IF(G191&lt;0.92,'вспомогательные данные'!$C$20, IF(G191&lt;2,'вспомогательные данные'!$C$21,'вспомогательные данные'!$C$22)))</f>
        <v>оптимальная работоспособность</v>
      </c>
      <c r="I191" s="61" t="b">
        <f>IF(OR(ЦТО!AT96=1,ЦТО!AU96=1,ЦТО!AV96=1,ЦТО!AX96=1),"Положительная",IF(OR(ЦТО!AY96=1,ЦТО!AZ96=1,ЦТО!BA96=1),"Отрицательная",IF(OR(ЦТО!AW96=1),"Инфантильная")))</f>
        <v>0</v>
      </c>
    </row>
    <row r="192" spans="1:9">
      <c r="A192" s="62">
        <f>ЦТО!A96</f>
        <v>0</v>
      </c>
      <c r="B192" s="62">
        <f>ЦТО!B98</f>
        <v>0</v>
      </c>
      <c r="C192" s="67">
        <f>ЦТО!C96</f>
        <v>0</v>
      </c>
      <c r="D192" s="63">
        <f>ЦТО!D96</f>
        <v>0</v>
      </c>
      <c r="E192" s="68">
        <f>SUM(ЦТО!BB96:BI96)</f>
        <v>0</v>
      </c>
      <c r="F192" s="64" t="str">
        <f>IF(E192&lt;10,'вспомогательные данные'!$C$26,IF(E192&lt;19,'вспомогательные данные'!$C$25,'вспомогательные данные'!$C$24))</f>
        <v>положительный</v>
      </c>
      <c r="G192" s="65">
        <f>(18-ЦТО!AM97-ЦТО!AL97)/(18-ЦТО!AL97-ЦТО!AP97)</f>
        <v>1</v>
      </c>
      <c r="H192" s="66" t="str">
        <f>IF(G192&lt;0.51,'вспомогательные данные'!$C$19,IF(G192&lt;0.92,'вспомогательные данные'!$C$20, IF(G192&lt;2,'вспомогательные данные'!$C$21,'вспомогательные данные'!$C$22)))</f>
        <v>оптимальная работоспособность</v>
      </c>
      <c r="I192" s="61" t="b">
        <f>IF(OR(ЦТО!AT97=1,ЦТО!AU97=1,ЦТО!AV97=1,ЦТО!AX97=1),"Положительная",IF(OR(ЦТО!AY97=1,ЦТО!AZ97=1,ЦТО!BA97=1),"Отрицательная",IF(OR(ЦТО!AW97=1),"Инфантильная")))</f>
        <v>0</v>
      </c>
    </row>
    <row r="193" spans="1:9">
      <c r="A193" s="62">
        <f>ЦТО!A97</f>
        <v>0</v>
      </c>
      <c r="B193" s="62">
        <f>ЦТО!B99</f>
        <v>0</v>
      </c>
      <c r="C193" s="67">
        <f>ЦТО!C97</f>
        <v>0</v>
      </c>
      <c r="D193" s="63">
        <f>ЦТО!D97</f>
        <v>0</v>
      </c>
      <c r="E193" s="68">
        <f>SUM(ЦТО!BB97:BI97)</f>
        <v>0</v>
      </c>
      <c r="F193" s="64" t="str">
        <f>IF(E193&lt;10,'вспомогательные данные'!$C$26,IF(E193&lt;19,'вспомогательные данные'!$C$25,'вспомогательные данные'!$C$24))</f>
        <v>положительный</v>
      </c>
      <c r="G193" s="65">
        <f>(18-ЦТО!AM98-ЦТО!AL98)/(18-ЦТО!AL98-ЦТО!AP98)</f>
        <v>1</v>
      </c>
      <c r="H193" s="66" t="str">
        <f>IF(G193&lt;0.51,'вспомогательные данные'!$C$19,IF(G193&lt;0.92,'вспомогательные данные'!$C$20, IF(G193&lt;2,'вспомогательные данные'!$C$21,'вспомогательные данные'!$C$22)))</f>
        <v>оптимальная работоспособность</v>
      </c>
      <c r="I193" s="61" t="b">
        <f>IF(OR(ЦТО!AT98=1,ЦТО!AU98=1,ЦТО!AV98=1,ЦТО!AX98=1),"Положительная",IF(OR(ЦТО!AY98=1,ЦТО!AZ98=1,ЦТО!BA98=1),"Отрицательная",IF(OR(ЦТО!AW98=1),"Инфантильная")))</f>
        <v>0</v>
      </c>
    </row>
    <row r="194" spans="1:9">
      <c r="A194" s="62">
        <f>ЦТО!A98</f>
        <v>0</v>
      </c>
      <c r="B194" s="62">
        <f>ЦТО!B100</f>
        <v>0</v>
      </c>
      <c r="C194" s="67">
        <f>ЦТО!C98</f>
        <v>0</v>
      </c>
      <c r="D194" s="63">
        <f>ЦТО!D98</f>
        <v>0</v>
      </c>
      <c r="E194" s="68">
        <f>SUM(ЦТО!BB98:BI98)</f>
        <v>0</v>
      </c>
      <c r="F194" s="64" t="str">
        <f>IF(E194&lt;10,'вспомогательные данные'!$C$26,IF(E194&lt;19,'вспомогательные данные'!$C$25,'вспомогательные данные'!$C$24))</f>
        <v>положительный</v>
      </c>
      <c r="G194" s="65">
        <f>(18-ЦТО!AM99-ЦТО!AL99)/(18-ЦТО!AL99-ЦТО!AP99)</f>
        <v>1</v>
      </c>
      <c r="H194" s="66" t="str">
        <f>IF(G194&lt;0.51,'вспомогательные данные'!$C$19,IF(G194&lt;0.92,'вспомогательные данные'!$C$20, IF(G194&lt;2,'вспомогательные данные'!$C$21,'вспомогательные данные'!$C$22)))</f>
        <v>оптимальная работоспособность</v>
      </c>
      <c r="I194" s="61" t="b">
        <f>IF(OR(ЦТО!AT99=1,ЦТО!AU99=1,ЦТО!AV99=1,ЦТО!AX99=1),"Положительная",IF(OR(ЦТО!AY99=1,ЦТО!AZ99=1,ЦТО!BA99=1),"Отрицательная",IF(OR(ЦТО!AW99=1),"Инфантильная")))</f>
        <v>0</v>
      </c>
    </row>
    <row r="195" spans="1:9">
      <c r="A195" s="62">
        <f>ЦТО!A99</f>
        <v>0</v>
      </c>
      <c r="B195" s="62">
        <f>ЦТО!B101</f>
        <v>0</v>
      </c>
      <c r="C195" s="67">
        <f>ЦТО!C99</f>
        <v>0</v>
      </c>
      <c r="D195" s="63">
        <f>ЦТО!D99</f>
        <v>0</v>
      </c>
      <c r="E195" s="68">
        <f>SUM(ЦТО!BB99:BI99)</f>
        <v>0</v>
      </c>
      <c r="F195" s="64" t="str">
        <f>IF(E195&lt;10,'вспомогательные данные'!$C$26,IF(E195&lt;19,'вспомогательные данные'!$C$25,'вспомогательные данные'!$C$24))</f>
        <v>положительный</v>
      </c>
      <c r="G195" s="65">
        <f>(18-ЦТО!AM99-ЦТО!AL99)/(18-ЦТО!AL99-ЦТО!AP99)</f>
        <v>1</v>
      </c>
      <c r="H195" s="66" t="str">
        <f>IF(G195&lt;0.51,'вспомогательные данные'!$C$19,IF(G195&lt;0.92,'вспомогательные данные'!$C$20, IF(G195&lt;2,'вспомогательные данные'!$C$21,'вспомогательные данные'!$C$22)))</f>
        <v>оптимальная работоспособность</v>
      </c>
      <c r="I195" s="61" t="b">
        <f>IF(OR(ЦТО!AT100=1,ЦТО!AU100=1,ЦТО!AV100=1,ЦТО!AX100=1),"Положительная",IF(OR(ЦТО!AY100=1,ЦТО!AZ100=1,ЦТО!BA100=1),"Отрицательная",IF(OR(ЦТО!AW100=1),"Инфантильная")))</f>
        <v>0</v>
      </c>
    </row>
    <row r="196" spans="1:9">
      <c r="A196" s="62">
        <f>ЦТО!A100</f>
        <v>0</v>
      </c>
      <c r="B196" s="62">
        <f>ЦТО!B102</f>
        <v>0</v>
      </c>
      <c r="C196" s="67">
        <f>ЦТО!C100</f>
        <v>0</v>
      </c>
      <c r="D196" s="63">
        <f>ЦТО!D100</f>
        <v>0</v>
      </c>
      <c r="E196" s="68">
        <f>SUM(ЦТО!BB100:BI100)</f>
        <v>0</v>
      </c>
      <c r="F196" s="64" t="str">
        <f>IF(E196&lt;10,'вспомогательные данные'!$C$26,IF(E196&lt;19,'вспомогательные данные'!$C$25,'вспомогательные данные'!$C$24))</f>
        <v>положительный</v>
      </c>
      <c r="G196" s="65">
        <f>(18-ЦТО!AM100-ЦТО!AL100)/(18-ЦТО!AL100-ЦТО!AP100)</f>
        <v>1</v>
      </c>
      <c r="H196" s="66" t="str">
        <f>IF(G196&lt;0.51,'вспомогательные данные'!$C$19,IF(G196&lt;0.92,'вспомогательные данные'!$C$20, IF(G196&lt;2,'вспомогательные данные'!$C$21,'вспомогательные данные'!$C$22)))</f>
        <v>оптимальная работоспособность</v>
      </c>
      <c r="I196" s="61" t="b">
        <f>IF(OR(ЦТО!AT101=1,ЦТО!AU101=1,ЦТО!AV101=1,ЦТО!AX101=1),"Положительная",IF(OR(ЦТО!AY101=1,ЦТО!AZ101=1,ЦТО!BA101=1),"Отрицательная",IF(OR(ЦТО!AW101=1),"Инфантильная")))</f>
        <v>0</v>
      </c>
    </row>
    <row r="197" spans="1:9">
      <c r="A197" s="62">
        <f>ЦТО!A101</f>
        <v>0</v>
      </c>
      <c r="B197" s="62">
        <f>ЦТО!B103</f>
        <v>0</v>
      </c>
      <c r="C197" s="67">
        <f>ЦТО!C101</f>
        <v>0</v>
      </c>
      <c r="D197" s="63">
        <f>ЦТО!D101</f>
        <v>0</v>
      </c>
      <c r="E197" s="68">
        <f>SUM(ЦТО!BB101:BI101)</f>
        <v>0</v>
      </c>
      <c r="F197" s="64" t="str">
        <f>IF(E197&lt;10,'вспомогательные данные'!$C$26,IF(E197&lt;19,'вспомогательные данные'!$C$25,'вспомогательные данные'!$C$24))</f>
        <v>положительный</v>
      </c>
      <c r="G197" s="65">
        <f>(18-ЦТО!AM101-ЦТО!AL101)/(18-ЦТО!AL101-ЦТО!AP101)</f>
        <v>1</v>
      </c>
      <c r="H197" s="66" t="str">
        <f>IF(G197&lt;0.51,'вспомогательные данные'!$C$19,IF(G197&lt;0.92,'вспомогательные данные'!$C$20, IF(G197&lt;2,'вспомогательные данные'!$C$21,'вспомогательные данные'!$C$22)))</f>
        <v>оптимальная работоспособность</v>
      </c>
      <c r="I197" s="61" t="b">
        <f>IF(OR(ЦТО!AT102=1,ЦТО!AU102=1,ЦТО!AV102=1,ЦТО!AX102=1),"Положительная",IF(OR(ЦТО!AY102=1,ЦТО!AZ102=1,ЦТО!BA102=1),"Отрицательная",IF(OR(ЦТО!AW102=1),"Инфантильная")))</f>
        <v>0</v>
      </c>
    </row>
    <row r="198" spans="1:9">
      <c r="A198" s="62">
        <f>ЦТО!A102</f>
        <v>0</v>
      </c>
      <c r="B198" s="62">
        <f>ЦТО!B104</f>
        <v>0</v>
      </c>
      <c r="C198" s="67">
        <f>ЦТО!C102</f>
        <v>0</v>
      </c>
      <c r="D198" s="63">
        <f>ЦТО!D102</f>
        <v>0</v>
      </c>
      <c r="E198" s="68">
        <f>SUM(ЦТО!BB102:BI102)</f>
        <v>0</v>
      </c>
      <c r="F198" s="64" t="str">
        <f>IF(E198&lt;10,'вспомогательные данные'!$C$26,IF(E198&lt;19,'вспомогательные данные'!$C$25,'вспомогательные данные'!$C$24))</f>
        <v>положительный</v>
      </c>
      <c r="G198" s="65">
        <f>(18-ЦТО!AM102-ЦТО!AL102)/(18-ЦТО!AL102-ЦТО!AP102)</f>
        <v>1</v>
      </c>
      <c r="H198" s="66" t="str">
        <f>IF(G198&lt;0.51,'вспомогательные данные'!$C$19,IF(G198&lt;0.92,'вспомогательные данные'!$C$20, IF(G198&lt;2,'вспомогательные данные'!$C$21,'вспомогательные данные'!$C$22)))</f>
        <v>оптимальная работоспособность</v>
      </c>
      <c r="I198" s="61" t="b">
        <f>IF(OR(ЦТО!AT103=1,ЦТО!AU103=1,ЦТО!AV103=1,ЦТО!AX103=1),"Положительная",IF(OR(ЦТО!AY103=1,ЦТО!AZ103=1,ЦТО!BA103=1),"Отрицательная",IF(OR(ЦТО!AW103=1),"Инфантильная")))</f>
        <v>0</v>
      </c>
    </row>
    <row r="199" spans="1:9">
      <c r="A199" s="62">
        <f>ЦТО!A103</f>
        <v>0</v>
      </c>
      <c r="B199" s="62">
        <f>ЦТО!B105</f>
        <v>0</v>
      </c>
      <c r="C199" s="67">
        <f>ЦТО!C103</f>
        <v>0</v>
      </c>
      <c r="D199" s="63">
        <f>ЦТО!D103</f>
        <v>0</v>
      </c>
      <c r="E199" s="68">
        <f>SUM(ЦТО!BB103:BI103)</f>
        <v>0</v>
      </c>
      <c r="F199" s="64" t="str">
        <f>IF(E199&lt;10,'вспомогательные данные'!$C$26,IF(E199&lt;19,'вспомогательные данные'!$C$25,'вспомогательные данные'!$C$24))</f>
        <v>положительный</v>
      </c>
      <c r="G199" s="65">
        <f>(18-ЦТО!AM103-ЦТО!AL103)/(18-ЦТО!AL103-ЦТО!AP103)</f>
        <v>1</v>
      </c>
      <c r="H199" s="66" t="str">
        <f>IF(G199&lt;0.51,'вспомогательные данные'!$C$19,IF(G199&lt;0.92,'вспомогательные данные'!$C$20, IF(G199&lt;2,'вспомогательные данные'!$C$21,'вспомогательные данные'!$C$22)))</f>
        <v>оптимальная работоспособность</v>
      </c>
      <c r="I199" s="61" t="b">
        <f>IF(OR(ЦТО!AT104=1,ЦТО!AU104=1,ЦТО!AV104=1,ЦТО!AX104=1),"Положительная",IF(OR(ЦТО!AY104=1,ЦТО!AZ104=1,ЦТО!BA104=1),"Отрицательная",IF(OR(ЦТО!AW104=1),"Инфантильная")))</f>
        <v>0</v>
      </c>
    </row>
    <row r="200" spans="1:9">
      <c r="A200" s="62">
        <f>ЦТО!A104</f>
        <v>0</v>
      </c>
      <c r="B200" s="62">
        <f>ЦТО!B106</f>
        <v>0</v>
      </c>
      <c r="C200" s="67">
        <f>ЦТО!C104</f>
        <v>0</v>
      </c>
      <c r="D200" s="63">
        <f>ЦТО!D104</f>
        <v>0</v>
      </c>
      <c r="E200" s="68">
        <f>SUM(ЦТО!BB104:BI104)</f>
        <v>0</v>
      </c>
      <c r="F200" s="64" t="str">
        <f>IF(E200&lt;10,'вспомогательные данные'!$C$26,IF(E200&lt;19,'вспомогательные данные'!$C$25,'вспомогательные данные'!$C$24))</f>
        <v>положительный</v>
      </c>
      <c r="G200" s="65">
        <f>(18-ЦТО!AM104-ЦТО!AL104)/(18-ЦТО!AL104-ЦТО!AP104)</f>
        <v>1</v>
      </c>
      <c r="H200" s="66" t="str">
        <f>IF(G200&lt;0.51,'вспомогательные данные'!$C$19,IF(G200&lt;0.92,'вспомогательные данные'!$C$20, IF(G200&lt;2,'вспомогательные данные'!$C$21,'вспомогательные данные'!$C$22)))</f>
        <v>оптимальная работоспособность</v>
      </c>
      <c r="I200" s="61" t="b">
        <f>IF(OR(ЦТО!AT105=1,ЦТО!AU105=1,ЦТО!AV105=1,ЦТО!AX105=1),"Положительная",IF(OR(ЦТО!AY105=1,ЦТО!AZ105=1,ЦТО!BA105=1),"Отрицательная",IF(OR(ЦТО!AW105=1),"Инфантильная")))</f>
        <v>0</v>
      </c>
    </row>
    <row r="201" spans="1:9">
      <c r="A201" s="62">
        <f>ЦТО!A105</f>
        <v>0</v>
      </c>
      <c r="B201" s="62">
        <f>ЦТО!B107</f>
        <v>0</v>
      </c>
      <c r="C201" s="67">
        <f>ЦТО!C105</f>
        <v>0</v>
      </c>
      <c r="D201" s="63">
        <f>ЦТО!D105</f>
        <v>0</v>
      </c>
      <c r="E201" s="68">
        <f>SUM(ЦТО!BB105:BI105)</f>
        <v>0</v>
      </c>
      <c r="F201" s="64" t="str">
        <f>IF(E201&lt;10,'вспомогательные данные'!$C$26,IF(E201&lt;19,'вспомогательные данные'!$C$25,'вспомогательные данные'!$C$24))</f>
        <v>положительный</v>
      </c>
      <c r="G201" s="65">
        <f>(18-ЦТО!AM105-ЦТО!AL105)/(18-ЦТО!AL105-ЦТО!AP105)</f>
        <v>1</v>
      </c>
      <c r="H201" s="66" t="str">
        <f>IF(G201&lt;0.51,'вспомогательные данные'!$C$19,IF(G201&lt;0.92,'вспомогательные данные'!$C$20, IF(G201&lt;2,'вспомогательные данные'!$C$21,'вспомогательные данные'!$C$22)))</f>
        <v>оптимальная работоспособность</v>
      </c>
      <c r="I201" s="61" t="b">
        <f>IF(OR(ЦТО!AT106=1,ЦТО!AU106=1,ЦТО!AV106=1,ЦТО!AX106=1),"Положительная",IF(OR(ЦТО!AY106=1,ЦТО!AZ106=1,ЦТО!BA106=1),"Отрицательная",IF(OR(ЦТО!AW106=1),"Инфантильная")))</f>
        <v>0</v>
      </c>
    </row>
    <row r="202" spans="1:9">
      <c r="A202" s="62">
        <f>ЦТО!A106</f>
        <v>0</v>
      </c>
      <c r="B202" s="62">
        <f>ЦТО!B108</f>
        <v>0</v>
      </c>
      <c r="C202" s="67">
        <f>ЦТО!C106</f>
        <v>0</v>
      </c>
      <c r="D202" s="63">
        <f>ЦТО!D106</f>
        <v>0</v>
      </c>
      <c r="E202" s="68">
        <f>SUM(ЦТО!BB106:BI106)</f>
        <v>0</v>
      </c>
      <c r="F202" s="64" t="str">
        <f>IF(E202&lt;10,'вспомогательные данные'!$C$26,IF(E202&lt;19,'вспомогательные данные'!$C$25,'вспомогательные данные'!$C$24))</f>
        <v>положительный</v>
      </c>
      <c r="G202" s="65">
        <f>(18-ЦТО!AM106-ЦТО!AL106)/(18-ЦТО!AL106-ЦТО!AP106)</f>
        <v>1</v>
      </c>
      <c r="H202" s="66" t="str">
        <f>IF(G202&lt;0.51,'вспомогательные данные'!$C$19,IF(G202&lt;0.92,'вспомогательные данные'!$C$20, IF(G202&lt;2,'вспомогательные данные'!$C$21,'вспомогательные данные'!$C$22)))</f>
        <v>оптимальная работоспособность</v>
      </c>
      <c r="I202" s="61" t="b">
        <f>IF(OR(ЦТО!AT107=1,ЦТО!AU107=1,ЦТО!AV107=1,ЦТО!AX107=1),"Положительная",IF(OR(ЦТО!AY107=1,ЦТО!AZ107=1,ЦТО!BA107=1),"Отрицательная",IF(OR(ЦТО!AW107=1),"Инфантильная")))</f>
        <v>0</v>
      </c>
    </row>
    <row r="203" spans="1:9">
      <c r="A203" s="62">
        <f>ЦТО!A107</f>
        <v>0</v>
      </c>
      <c r="B203" s="62">
        <f>ЦТО!B109</f>
        <v>0</v>
      </c>
      <c r="C203" s="67">
        <f>ЦТО!C107</f>
        <v>0</v>
      </c>
      <c r="D203" s="63">
        <f>ЦТО!D107</f>
        <v>0</v>
      </c>
      <c r="E203" s="68">
        <f>SUM(ЦТО!BB107:BI107)</f>
        <v>0</v>
      </c>
      <c r="F203" s="64" t="str">
        <f>IF(E203&lt;10,'вспомогательные данные'!$C$26,IF(E203&lt;19,'вспомогательные данные'!$C$25,'вспомогательные данные'!$C$24))</f>
        <v>положительный</v>
      </c>
      <c r="G203" s="65">
        <f>(18-ЦТО!AM107-ЦТО!AL107)/(18-ЦТО!AL107-ЦТО!AP107)</f>
        <v>1</v>
      </c>
      <c r="H203" s="66" t="str">
        <f>IF(G203&lt;0.51,'вспомогательные данные'!$C$19,IF(G203&lt;0.92,'вспомогательные данные'!$C$20, IF(G203&lt;2,'вспомогательные данные'!$C$21,'вспомогательные данные'!$C$22)))</f>
        <v>оптимальная работоспособность</v>
      </c>
      <c r="I203" s="61" t="b">
        <f>IF(OR(ЦТО!AT108=1,ЦТО!AU108=1,ЦТО!AV108=1,ЦТО!AX108=1),"Положительная",IF(OR(ЦТО!AY108=1,ЦТО!AZ108=1,ЦТО!BA108=1),"Отрицательная",IF(OR(ЦТО!AW108=1),"Инфантильная")))</f>
        <v>0</v>
      </c>
    </row>
    <row r="204" spans="1:9">
      <c r="A204" s="62">
        <f>ЦТО!A108</f>
        <v>0</v>
      </c>
      <c r="B204" s="62">
        <f>ЦТО!B110</f>
        <v>0</v>
      </c>
      <c r="C204" s="67">
        <f>ЦТО!C108</f>
        <v>0</v>
      </c>
      <c r="D204" s="63">
        <f>ЦТО!D108</f>
        <v>0</v>
      </c>
      <c r="E204" s="68">
        <f>SUM(ЦТО!BB108:BI108)</f>
        <v>0</v>
      </c>
      <c r="F204" s="64" t="str">
        <f>IF(E204&lt;10,'вспомогательные данные'!$C$26,IF(E204&lt;19,'вспомогательные данные'!$C$25,'вспомогательные данные'!$C$24))</f>
        <v>положительный</v>
      </c>
      <c r="G204" s="65">
        <f>(18-ЦТО!AM108-ЦТО!AL108)/(18-ЦТО!AL108-ЦТО!AP108)</f>
        <v>1</v>
      </c>
      <c r="H204" s="66" t="str">
        <f>IF(G204&lt;0.51,'вспомогательные данные'!$C$19,IF(G204&lt;0.92,'вспомогательные данные'!$C$20, IF(G204&lt;2,'вспомогательные данные'!$C$21,'вспомогательные данные'!$C$22)))</f>
        <v>оптимальная работоспособность</v>
      </c>
      <c r="I204" s="61" t="b">
        <f>IF(OR(ЦТО!AT109=1,ЦТО!AU109=1,ЦТО!AV109=1,ЦТО!AX109=1),"Положительная",IF(OR(ЦТО!AY109=1,ЦТО!AZ109=1,ЦТО!BA109=1),"Отрицательная",IF(OR(ЦТО!AW109=1),"Инфантильная")))</f>
        <v>0</v>
      </c>
    </row>
    <row r="205" spans="1:9">
      <c r="A205" s="62">
        <f>ЦТО!A109</f>
        <v>0</v>
      </c>
      <c r="B205" s="62">
        <f>ЦТО!B111</f>
        <v>0</v>
      </c>
      <c r="C205" s="67">
        <f>ЦТО!C109</f>
        <v>0</v>
      </c>
      <c r="D205" s="63">
        <f>ЦТО!D109</f>
        <v>0</v>
      </c>
      <c r="E205" s="68">
        <f>SUM(ЦТО!BB109:BI109)</f>
        <v>0</v>
      </c>
      <c r="F205" s="64" t="str">
        <f>IF(E205&lt;10,'вспомогательные данные'!$C$26,IF(E205&lt;19,'вспомогательные данные'!$C$25,'вспомогательные данные'!$C$24))</f>
        <v>положительный</v>
      </c>
      <c r="G205" s="65">
        <f>(18-ЦТО!AM109-ЦТО!AL109)/(18-ЦТО!AL109-ЦТО!AP109)</f>
        <v>1</v>
      </c>
      <c r="H205" s="66" t="str">
        <f>IF(G205&lt;0.51,'вспомогательные данные'!$C$19,IF(G205&lt;0.92,'вспомогательные данные'!$C$20, IF(G205&lt;2,'вспомогательные данные'!$C$21,'вспомогательные данные'!$C$22)))</f>
        <v>оптимальная работоспособность</v>
      </c>
      <c r="I205" s="61" t="b">
        <f>IF(OR(ЦТО!AT110=1,ЦТО!AU110=1,ЦТО!AV110=1,ЦТО!AX110=1),"Положительная",IF(OR(ЦТО!AY110=1,ЦТО!AZ110=1,ЦТО!BA110=1),"Отрицательная",IF(OR(ЦТО!AW110=1),"Инфантильная")))</f>
        <v>0</v>
      </c>
    </row>
    <row r="206" spans="1:9">
      <c r="A206" s="62">
        <f>ЦТО!A110</f>
        <v>0</v>
      </c>
      <c r="B206" s="62">
        <f>ЦТО!B112</f>
        <v>0</v>
      </c>
      <c r="C206" s="67">
        <f>ЦТО!C110</f>
        <v>0</v>
      </c>
      <c r="D206" s="63">
        <f>ЦТО!D110</f>
        <v>0</v>
      </c>
      <c r="E206" s="68">
        <f>SUM(ЦТО!BB110:BI110)</f>
        <v>0</v>
      </c>
      <c r="F206" s="64" t="str">
        <f>IF(E206&lt;10,'вспомогательные данные'!$C$26,IF(E206&lt;19,'вспомогательные данные'!$C$25,'вспомогательные данные'!$C$24))</f>
        <v>положительный</v>
      </c>
      <c r="G206" s="65">
        <f>(18-ЦТО!AM110-ЦТО!AL110)/(18-ЦТО!AL110-ЦТО!AP110)</f>
        <v>1</v>
      </c>
      <c r="H206" s="66" t="str">
        <f>IF(G206&lt;0.51,'вспомогательные данные'!$C$19,IF(G206&lt;0.92,'вспомогательные данные'!$C$20, IF(G206&lt;2,'вспомогательные данные'!$C$21,'вспомогательные данные'!$C$22)))</f>
        <v>оптимальная работоспособность</v>
      </c>
      <c r="I206" s="61" t="b">
        <f>IF(OR(ЦТО!AT111=1,ЦТО!AU111=1,ЦТО!AV111=1,ЦТО!AX111=1),"Положительная",IF(OR(ЦТО!AY111=1,ЦТО!AZ111=1,ЦТО!BA111=1),"Отрицательная",IF(OR(ЦТО!AW111=1),"Инфантильная")))</f>
        <v>0</v>
      </c>
    </row>
    <row r="207" spans="1:9">
      <c r="A207" s="62">
        <f>ЦТО!A111</f>
        <v>0</v>
      </c>
      <c r="B207" s="62">
        <f>ЦТО!B113</f>
        <v>0</v>
      </c>
      <c r="C207" s="67">
        <f>ЦТО!C111</f>
        <v>0</v>
      </c>
      <c r="D207" s="63">
        <f>ЦТО!D111</f>
        <v>0</v>
      </c>
      <c r="E207" s="68">
        <f>SUM(ЦТО!BB111:BI111)</f>
        <v>0</v>
      </c>
      <c r="F207" s="64" t="str">
        <f>IF(E207&lt;10,'вспомогательные данные'!$C$26,IF(E207&lt;19,'вспомогательные данные'!$C$25,'вспомогательные данные'!$C$24))</f>
        <v>положительный</v>
      </c>
      <c r="G207" s="65">
        <f>(18-ЦТО!AM111-ЦТО!AL111)/(18-ЦТО!AL111-ЦТО!AP111)</f>
        <v>1</v>
      </c>
      <c r="H207" s="66" t="str">
        <f>IF(G207&lt;0.51,'вспомогательные данные'!$C$19,IF(G207&lt;0.92,'вспомогательные данные'!$C$20, IF(G207&lt;2,'вспомогательные данные'!$C$21,'вспомогательные данные'!$C$22)))</f>
        <v>оптимальная работоспособность</v>
      </c>
      <c r="I207" s="61" t="b">
        <f>IF(OR(ЦТО!AT112=1,ЦТО!AU112=1,ЦТО!AV112=1,ЦТО!AX112=1),"Положительная",IF(OR(ЦТО!AY112=1,ЦТО!AZ112=1,ЦТО!BA112=1),"Отрицательная",IF(OR(ЦТО!AW112=1),"Инфантильная")))</f>
        <v>0</v>
      </c>
    </row>
    <row r="208" spans="1:9">
      <c r="A208" s="62">
        <f>ЦТО!A112</f>
        <v>0</v>
      </c>
      <c r="B208" s="62">
        <f>ЦТО!B114</f>
        <v>0</v>
      </c>
      <c r="C208" s="67">
        <f>ЦТО!C112</f>
        <v>0</v>
      </c>
      <c r="D208" s="63">
        <f>ЦТО!D112</f>
        <v>0</v>
      </c>
      <c r="E208" s="68">
        <f>SUM(ЦТО!BB112:BI112)</f>
        <v>0</v>
      </c>
      <c r="F208" s="64" t="str">
        <f>IF(E208&lt;10,'вспомогательные данные'!$C$26,IF(E208&lt;19,'вспомогательные данные'!$C$25,'вспомогательные данные'!$C$24))</f>
        <v>положительный</v>
      </c>
      <c r="G208" s="65">
        <f>(18-ЦТО!AM112-ЦТО!AL112)/(18-ЦТО!AL112-ЦТО!AP112)</f>
        <v>1</v>
      </c>
      <c r="H208" s="66" t="str">
        <f>IF(G208&lt;0.51,'вспомогательные данные'!$C$19,IF(G208&lt;0.92,'вспомогательные данные'!$C$20, IF(G208&lt;2,'вспомогательные данные'!$C$21,'вспомогательные данные'!$C$22)))</f>
        <v>оптимальная работоспособность</v>
      </c>
      <c r="I208" s="61" t="b">
        <f>IF(OR(ЦТО!AT113=1,ЦТО!AU113=1,ЦТО!AV113=1,ЦТО!AX113=1),"Положительная",IF(OR(ЦТО!AY113=1,ЦТО!AZ113=1,ЦТО!BA113=1),"Отрицательная",IF(OR(ЦТО!AW113=1),"Инфантильная")))</f>
        <v>0</v>
      </c>
    </row>
    <row r="209" spans="1:9">
      <c r="A209" s="62">
        <f>ЦТО!A113</f>
        <v>0</v>
      </c>
      <c r="B209" s="62">
        <f>ЦТО!B115</f>
        <v>0</v>
      </c>
      <c r="C209" s="67">
        <f>ЦТО!C113</f>
        <v>0</v>
      </c>
      <c r="D209" s="63">
        <f>ЦТО!D113</f>
        <v>0</v>
      </c>
      <c r="E209" s="68">
        <f>SUM(ЦТО!BB113:BI113)</f>
        <v>0</v>
      </c>
      <c r="F209" s="64" t="str">
        <f>IF(E209&lt;10,'вспомогательные данные'!$C$26,IF(E209&lt;19,'вспомогательные данные'!$C$25,'вспомогательные данные'!$C$24))</f>
        <v>положительный</v>
      </c>
      <c r="G209" s="65">
        <f>(18-ЦТО!AM113-ЦТО!AL113)/(18-ЦТО!AL113-ЦТО!AP113)</f>
        <v>1</v>
      </c>
      <c r="H209" s="66" t="str">
        <f>IF(G209&lt;0.51,'вспомогательные данные'!$C$19,IF(G209&lt;0.92,'вспомогательные данные'!$C$20, IF(G209&lt;2,'вспомогательные данные'!$C$21,'вспомогательные данные'!$C$22)))</f>
        <v>оптимальная работоспособность</v>
      </c>
      <c r="I209" s="61" t="b">
        <f>IF(OR(ЦТО!AT114=1,ЦТО!AU114=1,ЦТО!AV114=1,ЦТО!AX114=1),"Положительная",IF(OR(ЦТО!AY114=1,ЦТО!AZ114=1,ЦТО!BA114=1),"Отрицательная",IF(OR(ЦТО!AW114=1),"Инфантильная")))</f>
        <v>0</v>
      </c>
    </row>
    <row r="210" spans="1:9">
      <c r="A210" s="62">
        <f>ЦТО!A114</f>
        <v>0</v>
      </c>
      <c r="B210" s="62">
        <f>ЦТО!B116</f>
        <v>0</v>
      </c>
      <c r="C210" s="67">
        <f>ЦТО!C114</f>
        <v>0</v>
      </c>
      <c r="D210" s="63">
        <f>ЦТО!D114</f>
        <v>0</v>
      </c>
      <c r="E210" s="68">
        <f>SUM(ЦТО!BB114:BI114)</f>
        <v>0</v>
      </c>
      <c r="F210" s="64" t="str">
        <f>IF(E210&lt;10,'вспомогательные данные'!$C$26,IF(E210&lt;19,'вспомогательные данные'!$C$25,'вспомогательные данные'!$C$24))</f>
        <v>положительный</v>
      </c>
      <c r="G210" s="65">
        <f>(18-ЦТО!AM114-ЦТО!AL114)/(18-ЦТО!AL114-ЦТО!AP114)</f>
        <v>1</v>
      </c>
      <c r="H210" s="66" t="str">
        <f>IF(G210&lt;0.51,'вспомогательные данные'!$C$19,IF(G210&lt;0.92,'вспомогательные данные'!$C$20, IF(G210&lt;2,'вспомогательные данные'!$C$21,'вспомогательные данные'!$C$22)))</f>
        <v>оптимальная работоспособность</v>
      </c>
      <c r="I210" s="61" t="b">
        <f>IF(OR(ЦТО!AT115=1,ЦТО!AU115=1,ЦТО!AV115=1,ЦТО!AX115=1),"Положительная",IF(OR(ЦТО!AY115=1,ЦТО!AZ115=1,ЦТО!BA115=1),"Отрицательная",IF(OR(ЦТО!AW115=1),"Инфантильная")))</f>
        <v>0</v>
      </c>
    </row>
    <row r="211" spans="1:9">
      <c r="A211" s="62">
        <f>ЦТО!A115</f>
        <v>0</v>
      </c>
      <c r="B211" s="62">
        <f>ЦТО!B117</f>
        <v>0</v>
      </c>
      <c r="C211" s="67">
        <f>ЦТО!C115</f>
        <v>0</v>
      </c>
      <c r="D211" s="63">
        <f>ЦТО!D115</f>
        <v>0</v>
      </c>
      <c r="E211" s="68">
        <f>SUM(ЦТО!BB115:BI115)</f>
        <v>0</v>
      </c>
      <c r="F211" s="64" t="str">
        <f>IF(E211&lt;10,'вспомогательные данные'!$C$26,IF(E211&lt;19,'вспомогательные данные'!$C$25,'вспомогательные данные'!$C$24))</f>
        <v>положительный</v>
      </c>
      <c r="G211" s="65">
        <f>(18-ЦТО!AM115-ЦТО!AL115)/(18-ЦТО!AL115-ЦТО!AP115)</f>
        <v>1</v>
      </c>
      <c r="H211" s="66" t="str">
        <f>IF(G211&lt;0.51,'вспомогательные данные'!$C$19,IF(G211&lt;0.92,'вспомогательные данные'!$C$20, IF(G211&lt;2,'вспомогательные данные'!$C$21,'вспомогательные данные'!$C$22)))</f>
        <v>оптимальная работоспособность</v>
      </c>
      <c r="I211" s="61" t="b">
        <f>IF(OR(ЦТО!AT116=1,ЦТО!AU116=1,ЦТО!AV116=1,ЦТО!AX116=1),"Положительная",IF(OR(ЦТО!AY116=1,ЦТО!AZ116=1,ЦТО!BA116=1),"Отрицательная",IF(OR(ЦТО!AW116=1),"Инфантильная")))</f>
        <v>0</v>
      </c>
    </row>
    <row r="212" spans="1:9">
      <c r="A212" s="62">
        <f>ЦТО!A116</f>
        <v>0</v>
      </c>
      <c r="B212" s="62">
        <f>ЦТО!B118</f>
        <v>0</v>
      </c>
      <c r="C212" s="67">
        <f>ЦТО!C116</f>
        <v>0</v>
      </c>
      <c r="D212" s="63">
        <f>ЦТО!D116</f>
        <v>0</v>
      </c>
      <c r="E212" s="68">
        <f>SUM(ЦТО!BB116:BI116)</f>
        <v>0</v>
      </c>
      <c r="F212" s="64" t="str">
        <f>IF(E212&lt;10,'вспомогательные данные'!$C$26,IF(E212&lt;19,'вспомогательные данные'!$C$25,'вспомогательные данные'!$C$24))</f>
        <v>положительный</v>
      </c>
      <c r="G212" s="65">
        <f>(18-ЦТО!AM116-ЦТО!AL116)/(18-ЦТО!AL116-ЦТО!AP116)</f>
        <v>1</v>
      </c>
      <c r="H212" s="66" t="str">
        <f>IF(G212&lt;0.51,'вспомогательные данные'!$C$19,IF(G212&lt;0.92,'вспомогательные данные'!$C$20, IF(G212&lt;2,'вспомогательные данные'!$C$21,'вспомогательные данные'!$C$22)))</f>
        <v>оптимальная работоспособность</v>
      </c>
      <c r="I212" s="61" t="b">
        <f>IF(OR(ЦТО!AT117=1,ЦТО!AU117=1,ЦТО!AV117=1,ЦТО!AX117=1),"Положительная",IF(OR(ЦТО!AY117=1,ЦТО!AZ117=1,ЦТО!BA117=1),"Отрицательная",IF(OR(ЦТО!AW117=1),"Инфантильная")))</f>
        <v>0</v>
      </c>
    </row>
    <row r="213" spans="1:9">
      <c r="A213" s="62">
        <f>ЦТО!A117</f>
        <v>0</v>
      </c>
      <c r="B213" s="62">
        <f>ЦТО!B119</f>
        <v>0</v>
      </c>
      <c r="C213" s="67">
        <f>ЦТО!C117</f>
        <v>0</v>
      </c>
      <c r="D213" s="63">
        <f>ЦТО!D117</f>
        <v>0</v>
      </c>
      <c r="E213" s="68">
        <f>SUM(ЦТО!BB117:BI117)</f>
        <v>0</v>
      </c>
      <c r="F213" s="64" t="str">
        <f>IF(E213&lt;10,'вспомогательные данные'!$C$26,IF(E213&lt;19,'вспомогательные данные'!$C$25,'вспомогательные данные'!$C$24))</f>
        <v>положительный</v>
      </c>
      <c r="G213" s="65">
        <f>(18-ЦТО!AM117-ЦТО!AL117)/(18-ЦТО!AL117-ЦТО!AP117)</f>
        <v>1</v>
      </c>
      <c r="H213" s="66" t="str">
        <f>IF(G213&lt;0.51,'вспомогательные данные'!$C$19,IF(G213&lt;0.92,'вспомогательные данные'!$C$20, IF(G213&lt;2,'вспомогательные данные'!$C$21,'вспомогательные данные'!$C$22)))</f>
        <v>оптимальная работоспособность</v>
      </c>
      <c r="I213" s="61" t="b">
        <f>IF(OR(ЦТО!AT118=1,ЦТО!AU118=1,ЦТО!AV118=1,ЦТО!AX118=1),"Положительная",IF(OR(ЦТО!AY118=1,ЦТО!AZ118=1,ЦТО!BA118=1),"Отрицательная",IF(OR(ЦТО!AW118=1),"Инфантильная")))</f>
        <v>0</v>
      </c>
    </row>
    <row r="214" spans="1:9">
      <c r="A214" s="62">
        <f>ЦТО!A118</f>
        <v>0</v>
      </c>
      <c r="B214" s="62">
        <f>ЦТО!B120</f>
        <v>0</v>
      </c>
      <c r="C214" s="67">
        <f>ЦТО!C118</f>
        <v>0</v>
      </c>
      <c r="D214" s="63">
        <f>ЦТО!D118</f>
        <v>0</v>
      </c>
      <c r="E214" s="68">
        <f>SUM(ЦТО!BB118:BI118)</f>
        <v>0</v>
      </c>
      <c r="F214" s="64" t="str">
        <f>IF(E214&lt;10,'вспомогательные данные'!$C$26,IF(E214&lt;19,'вспомогательные данные'!$C$25,'вспомогательные данные'!$C$24))</f>
        <v>положительный</v>
      </c>
      <c r="G214" s="65">
        <f>(18-ЦТО!AM118-ЦТО!AL118)/(18-ЦТО!AL118-ЦТО!AP118)</f>
        <v>1</v>
      </c>
      <c r="H214" s="66" t="str">
        <f>IF(G214&lt;0.51,'вспомогательные данные'!$C$19,IF(G214&lt;0.92,'вспомогательные данные'!$C$20, IF(G214&lt;2,'вспомогательные данные'!$C$21,'вспомогательные данные'!$C$22)))</f>
        <v>оптимальная работоспособность</v>
      </c>
      <c r="I214" s="61" t="b">
        <f>IF(OR(ЦТО!AT119=1,ЦТО!AU119=1,ЦТО!AV119=1,ЦТО!AX119=1),"Положительная",IF(OR(ЦТО!AY119=1,ЦТО!AZ119=1,ЦТО!BA119=1),"Отрицательная",IF(OR(ЦТО!AW119=1),"Инфантильная")))</f>
        <v>0</v>
      </c>
    </row>
    <row r="215" spans="1:9">
      <c r="A215" s="62">
        <f>ЦТО!A119</f>
        <v>0</v>
      </c>
      <c r="B215" s="62">
        <f>ЦТО!B121</f>
        <v>0</v>
      </c>
      <c r="C215" s="67">
        <f>ЦТО!C119</f>
        <v>0</v>
      </c>
      <c r="D215" s="63">
        <f>ЦТО!D119</f>
        <v>0</v>
      </c>
      <c r="E215" s="68">
        <f>SUM(ЦТО!BB119:BI119)</f>
        <v>0</v>
      </c>
      <c r="F215" s="64" t="str">
        <f>IF(E215&lt;10,'вспомогательные данные'!$C$26,IF(E215&lt;19,'вспомогательные данные'!$C$25,'вспомогательные данные'!$C$24))</f>
        <v>положительный</v>
      </c>
      <c r="G215" s="65">
        <f>(18-ЦТО!AM119-ЦТО!AL119)/(18-ЦТО!AL119-ЦТО!AP119)</f>
        <v>1</v>
      </c>
      <c r="H215" s="66" t="str">
        <f>IF(G215&lt;0.51,'вспомогательные данные'!$C$19,IF(G215&lt;0.92,'вспомогательные данные'!$C$20, IF(G215&lt;2,'вспомогательные данные'!$C$21,'вспомогательные данные'!$C$22)))</f>
        <v>оптимальная работоспособность</v>
      </c>
      <c r="I215" s="61" t="b">
        <f>IF(OR(ЦТО!AT120=1,ЦТО!AU120=1,ЦТО!AV120=1,ЦТО!AX120=1),"Положительная",IF(OR(ЦТО!AY120=1,ЦТО!AZ120=1,ЦТО!BA120=1),"Отрицательная",IF(OR(ЦТО!AW120=1),"Инфантильная")))</f>
        <v>0</v>
      </c>
    </row>
    <row r="216" spans="1:9">
      <c r="A216" s="62">
        <f>ЦТО!A120</f>
        <v>0</v>
      </c>
      <c r="B216" s="62">
        <f>ЦТО!B122</f>
        <v>0</v>
      </c>
      <c r="C216" s="67">
        <f>ЦТО!C120</f>
        <v>0</v>
      </c>
      <c r="D216" s="63">
        <f>ЦТО!D120</f>
        <v>0</v>
      </c>
      <c r="E216" s="68">
        <f>SUM(ЦТО!BB120:BI120)</f>
        <v>0</v>
      </c>
      <c r="F216" s="64" t="str">
        <f>IF(E216&lt;10,'вспомогательные данные'!$C$26,IF(E216&lt;19,'вспомогательные данные'!$C$25,'вспомогательные данные'!$C$24))</f>
        <v>положительный</v>
      </c>
      <c r="G216" s="65">
        <f>(18-ЦТО!AM120-ЦТО!AL120)/(18-ЦТО!AL120-ЦТО!AP120)</f>
        <v>1</v>
      </c>
      <c r="H216" s="66" t="str">
        <f>IF(G216&lt;0.51,'вспомогательные данные'!$C$19,IF(G216&lt;0.92,'вспомогательные данные'!$C$20, IF(G216&lt;2,'вспомогательные данные'!$C$21,'вспомогательные данные'!$C$22)))</f>
        <v>оптимальная работоспособность</v>
      </c>
      <c r="I216" s="61" t="b">
        <f>IF(OR(ЦТО!AT121=1,ЦТО!AU121=1,ЦТО!AV121=1,ЦТО!AX121=1),"Положительная",IF(OR(ЦТО!AY121=1,ЦТО!AZ121=1,ЦТО!BA121=1),"Отрицательная",IF(OR(ЦТО!AW121=1),"Инфантильная")))</f>
        <v>0</v>
      </c>
    </row>
    <row r="217" spans="1:9">
      <c r="A217" s="62">
        <f>ЦТО!A121</f>
        <v>0</v>
      </c>
      <c r="B217" s="62">
        <f>ЦТО!B123</f>
        <v>0</v>
      </c>
      <c r="C217" s="67">
        <f>ЦТО!C121</f>
        <v>0</v>
      </c>
      <c r="D217" s="63">
        <f>ЦТО!D121</f>
        <v>0</v>
      </c>
      <c r="E217" s="68">
        <f>SUM(ЦТО!BB121:BI121)</f>
        <v>0</v>
      </c>
      <c r="F217" s="64" t="str">
        <f>IF(E217&lt;10,'вспомогательные данные'!$C$26,IF(E217&lt;19,'вспомогательные данные'!$C$25,'вспомогательные данные'!$C$24))</f>
        <v>положительный</v>
      </c>
      <c r="G217" s="65">
        <f>(18-ЦТО!AM121-ЦТО!AL121)/(18-ЦТО!AL121-ЦТО!AP121)</f>
        <v>1</v>
      </c>
      <c r="H217" s="66" t="str">
        <f>IF(G217&lt;0.51,'вспомогательные данные'!$C$19,IF(G217&lt;0.92,'вспомогательные данные'!$C$20, IF(G217&lt;2,'вспомогательные данные'!$C$21,'вспомогательные данные'!$C$22)))</f>
        <v>оптимальная работоспособность</v>
      </c>
      <c r="I217" s="61" t="b">
        <f>IF(OR(ЦТО!AT122=1,ЦТО!AU122=1,ЦТО!AV122=1,ЦТО!AX122=1),"Положительная",IF(OR(ЦТО!AY122=1,ЦТО!AZ122=1,ЦТО!BA122=1),"Отрицательная",IF(OR(ЦТО!AW122=1),"Инфантильная")))</f>
        <v>0</v>
      </c>
    </row>
    <row r="218" spans="1:9">
      <c r="A218" s="62">
        <f>ЦТО!A122</f>
        <v>0</v>
      </c>
      <c r="B218" s="62">
        <f>ЦТО!B124</f>
        <v>0</v>
      </c>
      <c r="C218" s="67">
        <f>ЦТО!C122</f>
        <v>0</v>
      </c>
      <c r="D218" s="63">
        <f>ЦТО!D122</f>
        <v>0</v>
      </c>
      <c r="E218" s="68">
        <f>SUM(ЦТО!BB122:BI122)</f>
        <v>0</v>
      </c>
      <c r="F218" s="64" t="str">
        <f>IF(E218&lt;10,'вспомогательные данные'!$C$26,IF(E218&lt;19,'вспомогательные данные'!$C$25,'вспомогательные данные'!$C$24))</f>
        <v>положительный</v>
      </c>
      <c r="G218" s="65">
        <f>(18-ЦТО!AM122-ЦТО!AL122)/(18-ЦТО!AL122-ЦТО!AP122)</f>
        <v>1</v>
      </c>
      <c r="H218" s="66" t="str">
        <f>IF(G218&lt;0.51,'вспомогательные данные'!$C$19,IF(G218&lt;0.92,'вспомогательные данные'!$C$20, IF(G218&lt;2,'вспомогательные данные'!$C$21,'вспомогательные данные'!$C$22)))</f>
        <v>оптимальная работоспособность</v>
      </c>
      <c r="I218" s="61" t="b">
        <f>IF(OR(ЦТО!AT123=1,ЦТО!AU123=1,ЦТО!AV123=1,ЦТО!AX123=1),"Положительная",IF(OR(ЦТО!AY123=1,ЦТО!AZ123=1,ЦТО!BA123=1),"Отрицательная",IF(OR(ЦТО!AW123=1),"Инфантильная")))</f>
        <v>0</v>
      </c>
    </row>
    <row r="219" spans="1:9">
      <c r="A219" s="62">
        <f>ЦТО!A123</f>
        <v>0</v>
      </c>
      <c r="B219" s="62">
        <f>ЦТО!B125</f>
        <v>0</v>
      </c>
      <c r="C219" s="67">
        <f>ЦТО!C123</f>
        <v>0</v>
      </c>
      <c r="D219" s="63">
        <f>ЦТО!D123</f>
        <v>0</v>
      </c>
      <c r="E219" s="68">
        <f>SUM(ЦТО!BB123:BI123)</f>
        <v>0</v>
      </c>
      <c r="F219" s="64" t="str">
        <f>IF(E219&lt;10,'вспомогательные данные'!$C$26,IF(E219&lt;19,'вспомогательные данные'!$C$25,'вспомогательные данные'!$C$24))</f>
        <v>положительный</v>
      </c>
      <c r="G219" s="65">
        <f>(18-ЦТО!AM123-ЦТО!AL123)/(18-ЦТО!AL123-ЦТО!AP123)</f>
        <v>1</v>
      </c>
      <c r="H219" s="66" t="str">
        <f>IF(G219&lt;0.51,'вспомогательные данные'!$C$19,IF(G219&lt;0.92,'вспомогательные данные'!$C$20, IF(G219&lt;2,'вспомогательные данные'!$C$21,'вспомогательные данные'!$C$22)))</f>
        <v>оптимальная работоспособность</v>
      </c>
      <c r="I219" s="61" t="b">
        <f>IF(OR(ЦТО!AT124=1,ЦТО!AU124=1,ЦТО!AV124=1,ЦТО!AX124=1),"Положительная",IF(OR(ЦТО!AY124=1,ЦТО!AZ124=1,ЦТО!BA124=1),"Отрицательная",IF(OR(ЦТО!AW124=1),"Инфантильная")))</f>
        <v>0</v>
      </c>
    </row>
    <row r="220" spans="1:9">
      <c r="A220" s="62">
        <f>ЦТО!A124</f>
        <v>0</v>
      </c>
      <c r="B220" s="62">
        <f>ЦТО!B126</f>
        <v>0</v>
      </c>
      <c r="C220" s="67">
        <f>ЦТО!C124</f>
        <v>0</v>
      </c>
      <c r="D220" s="63">
        <f>ЦТО!D124</f>
        <v>0</v>
      </c>
      <c r="E220" s="68">
        <f>SUM(ЦТО!BB124:BI124)</f>
        <v>0</v>
      </c>
      <c r="F220" s="64" t="str">
        <f>IF(E220&lt;10,'вспомогательные данные'!$C$26,IF(E220&lt;19,'вспомогательные данные'!$C$25,'вспомогательные данные'!$C$24))</f>
        <v>положительный</v>
      </c>
      <c r="G220" s="65">
        <f>(18-ЦТО!AM124-ЦТО!AL124)/(18-ЦТО!AL124-ЦТО!AP124)</f>
        <v>1</v>
      </c>
      <c r="H220" s="66" t="str">
        <f>IF(G220&lt;0.51,'вспомогательные данные'!$C$19,IF(G220&lt;0.92,'вспомогательные данные'!$C$20, IF(G220&lt;2,'вспомогательные данные'!$C$21,'вспомогательные данные'!$C$22)))</f>
        <v>оптимальная работоспособность</v>
      </c>
      <c r="I220" s="61" t="b">
        <f>IF(OR(ЦТО!AT125=1,ЦТО!AU125=1,ЦТО!AV125=1,ЦТО!AX125=1),"Положительная",IF(OR(ЦТО!AY125=1,ЦТО!AZ125=1,ЦТО!BA125=1),"Отрицательная",IF(OR(ЦТО!AW125=1),"Инфантильная")))</f>
        <v>0</v>
      </c>
    </row>
    <row r="221" spans="1:9">
      <c r="A221" s="62">
        <f>ЦТО!A125</f>
        <v>0</v>
      </c>
      <c r="B221" s="62">
        <f>ЦТО!B127</f>
        <v>0</v>
      </c>
      <c r="C221" s="67">
        <f>ЦТО!C125</f>
        <v>0</v>
      </c>
      <c r="D221" s="63">
        <f>ЦТО!D125</f>
        <v>0</v>
      </c>
      <c r="E221" s="68">
        <f>SUM(ЦТО!BB125:BI125)</f>
        <v>0</v>
      </c>
      <c r="F221" s="64" t="str">
        <f>IF(E221&lt;10,'вспомогательные данные'!$C$26,IF(E221&lt;19,'вспомогательные данные'!$C$25,'вспомогательные данные'!$C$24))</f>
        <v>положительный</v>
      </c>
      <c r="G221" s="65">
        <f>(18-ЦТО!AM125-ЦТО!AL125)/(18-ЦТО!AL125-ЦТО!AP125)</f>
        <v>1</v>
      </c>
      <c r="H221" s="66" t="str">
        <f>IF(G221&lt;0.51,'вспомогательные данные'!$C$19,IF(G221&lt;0.92,'вспомогательные данные'!$C$20, IF(G221&lt;2,'вспомогательные данные'!$C$21,'вспомогательные данные'!$C$22)))</f>
        <v>оптимальная работоспособность</v>
      </c>
      <c r="I221" s="61" t="b">
        <f>IF(OR(ЦТО!AT126=1,ЦТО!AU126=1,ЦТО!AV126=1,ЦТО!AX126=1),"Положительная",IF(OR(ЦТО!AY126=1,ЦТО!AZ126=1,ЦТО!BA126=1),"Отрицательная",IF(OR(ЦТО!AW126=1),"Инфантильная")))</f>
        <v>0</v>
      </c>
    </row>
    <row r="222" spans="1:9">
      <c r="A222" s="62">
        <f>ЦТО!A126</f>
        <v>0</v>
      </c>
      <c r="B222" s="62">
        <f>ЦТО!B128</f>
        <v>0</v>
      </c>
      <c r="C222" s="67">
        <f>ЦТО!C126</f>
        <v>0</v>
      </c>
      <c r="D222" s="63">
        <f>ЦТО!D126</f>
        <v>0</v>
      </c>
      <c r="E222" s="68">
        <f>SUM(ЦТО!BB126:BI126)</f>
        <v>0</v>
      </c>
      <c r="F222" s="64" t="str">
        <f>IF(E222&lt;10,'вспомогательные данные'!$C$26,IF(E222&lt;19,'вспомогательные данные'!$C$25,'вспомогательные данные'!$C$24))</f>
        <v>положительный</v>
      </c>
      <c r="G222" s="65">
        <f>(18-ЦТО!AM126-ЦТО!AL126)/(18-ЦТО!AL126-ЦТО!AP126)</f>
        <v>1</v>
      </c>
      <c r="H222" s="66" t="str">
        <f>IF(G222&lt;0.51,'вспомогательные данные'!$C$19,IF(G222&lt;0.92,'вспомогательные данные'!$C$20, IF(G222&lt;2,'вспомогательные данные'!$C$21,'вспомогательные данные'!$C$22)))</f>
        <v>оптимальная работоспособность</v>
      </c>
      <c r="I222" s="61" t="b">
        <f>IF(OR(ЦТО!AT127=1,ЦТО!AU127=1,ЦТО!AV127=1,ЦТО!AX127=1),"Положительная",IF(OR(ЦТО!AY127=1,ЦТО!AZ127=1,ЦТО!BA127=1),"Отрицательная",IF(OR(ЦТО!AW127=1),"Инфантильная")))</f>
        <v>0</v>
      </c>
    </row>
    <row r="223" spans="1:9">
      <c r="A223" s="62">
        <f>ЦТО!A127</f>
        <v>0</v>
      </c>
      <c r="B223" s="62">
        <f>ЦТО!B129</f>
        <v>0</v>
      </c>
      <c r="C223" s="67">
        <f>ЦТО!C127</f>
        <v>0</v>
      </c>
      <c r="D223" s="63">
        <f>ЦТО!D127</f>
        <v>0</v>
      </c>
      <c r="E223" s="68">
        <f>SUM(ЦТО!BB127:BI127)</f>
        <v>0</v>
      </c>
      <c r="F223" s="64" t="str">
        <f>IF(E223&lt;10,'вспомогательные данные'!$C$26,IF(E223&lt;19,'вспомогательные данные'!$C$25,'вспомогательные данные'!$C$24))</f>
        <v>положительный</v>
      </c>
      <c r="G223" s="65">
        <f>(18-ЦТО!AM127-ЦТО!AL127)/(18-ЦТО!AL127-ЦТО!AP127)</f>
        <v>1</v>
      </c>
      <c r="H223" s="66" t="str">
        <f>IF(G223&lt;0.51,'вспомогательные данные'!$C$19,IF(G223&lt;0.92,'вспомогательные данные'!$C$20, IF(G223&lt;2,'вспомогательные данные'!$C$21,'вспомогательные данные'!$C$22)))</f>
        <v>оптимальная работоспособность</v>
      </c>
      <c r="I223" s="61" t="b">
        <f>IF(OR(ЦТО!AT128=1,ЦТО!AU128=1,ЦТО!AV128=1,ЦТО!AX128=1),"Положительная",IF(OR(ЦТО!AY128=1,ЦТО!AZ128=1,ЦТО!BA128=1),"Отрицательная",IF(OR(ЦТО!AW128=1),"Инфантильная")))</f>
        <v>0</v>
      </c>
    </row>
    <row r="224" spans="1:9">
      <c r="A224" s="62">
        <f>ЦТО!A128</f>
        <v>0</v>
      </c>
      <c r="B224" s="62">
        <f>ЦТО!B130</f>
        <v>0</v>
      </c>
      <c r="C224" s="67">
        <f>ЦТО!C128</f>
        <v>0</v>
      </c>
      <c r="D224" s="63">
        <f>ЦТО!D128</f>
        <v>0</v>
      </c>
      <c r="E224" s="68">
        <f>SUM(ЦТО!BB128:BI128)</f>
        <v>0</v>
      </c>
      <c r="F224" s="64" t="str">
        <f>IF(E224&lt;10,'вспомогательные данные'!$C$26,IF(E224&lt;19,'вспомогательные данные'!$C$25,'вспомогательные данные'!$C$24))</f>
        <v>положительный</v>
      </c>
      <c r="G224" s="65">
        <f>(18-ЦТО!AM128-ЦТО!AL128)/(18-ЦТО!AL128-ЦТО!AP128)</f>
        <v>1</v>
      </c>
      <c r="H224" s="66" t="str">
        <f>IF(G224&lt;0.51,'вспомогательные данные'!$C$19,IF(G224&lt;0.92,'вспомогательные данные'!$C$20, IF(G224&lt;2,'вспомогательные данные'!$C$21,'вспомогательные данные'!$C$22)))</f>
        <v>оптимальная работоспособность</v>
      </c>
      <c r="I224" s="61" t="b">
        <f>IF(OR(ЦТО!AT129=1,ЦТО!AU129=1,ЦТО!AV129=1,ЦТО!AX129=1),"Положительная",IF(OR(ЦТО!AY129=1,ЦТО!AZ129=1,ЦТО!BA129=1),"Отрицательная",IF(OR(ЦТО!AW129=1),"Инфантильная")))</f>
        <v>0</v>
      </c>
    </row>
    <row r="225" spans="1:9">
      <c r="A225" s="62">
        <f>ЦТО!A129</f>
        <v>0</v>
      </c>
      <c r="B225" s="62">
        <f>ЦТО!B131</f>
        <v>0</v>
      </c>
      <c r="C225" s="67">
        <f>ЦТО!C129</f>
        <v>0</v>
      </c>
      <c r="D225" s="63">
        <f>ЦТО!D129</f>
        <v>0</v>
      </c>
      <c r="E225" s="68">
        <f>SUM(ЦТО!BB129:BI129)</f>
        <v>0</v>
      </c>
      <c r="F225" s="64" t="str">
        <f>IF(E225&lt;10,'вспомогательные данные'!$C$26,IF(E225&lt;19,'вспомогательные данные'!$C$25,'вспомогательные данные'!$C$24))</f>
        <v>положительный</v>
      </c>
      <c r="G225" s="65">
        <f>(18-ЦТО!AM129-ЦТО!AL129)/(18-ЦТО!AL129-ЦТО!AP129)</f>
        <v>1</v>
      </c>
      <c r="H225" s="66" t="str">
        <f>IF(G225&lt;0.51,'вспомогательные данные'!$C$19,IF(G225&lt;0.92,'вспомогательные данные'!$C$20, IF(G225&lt;2,'вспомогательные данные'!$C$21,'вспомогательные данные'!$C$22)))</f>
        <v>оптимальная работоспособность</v>
      </c>
      <c r="I225" s="61" t="b">
        <f>IF(OR(ЦТО!AT130=1,ЦТО!AU130=1,ЦТО!AV130=1,ЦТО!AX130=1),"Положительная",IF(OR(ЦТО!AY130=1,ЦТО!AZ130=1,ЦТО!BA130=1),"Отрицательная",IF(OR(ЦТО!AW130=1),"Инфантильная")))</f>
        <v>0</v>
      </c>
    </row>
    <row r="226" spans="1:9">
      <c r="A226" s="62">
        <f>ЦТО!A130</f>
        <v>0</v>
      </c>
      <c r="B226" s="62">
        <f>ЦТО!B132</f>
        <v>0</v>
      </c>
      <c r="C226" s="67">
        <f>ЦТО!C130</f>
        <v>0</v>
      </c>
      <c r="D226" s="63">
        <f>ЦТО!D130</f>
        <v>0</v>
      </c>
      <c r="E226" s="68">
        <f>SUM(ЦТО!BB130:BI130)</f>
        <v>0</v>
      </c>
      <c r="F226" s="64" t="str">
        <f>IF(E226&lt;10,'вспомогательные данные'!$C$26,IF(E226&lt;19,'вспомогательные данные'!$C$25,'вспомогательные данные'!$C$24))</f>
        <v>положительный</v>
      </c>
      <c r="G226" s="65">
        <f>(18-ЦТО!AM130-ЦТО!AL130)/(18-ЦТО!AL130-ЦТО!AP130)</f>
        <v>1</v>
      </c>
      <c r="H226" s="66" t="str">
        <f>IF(G226&lt;0.51,'вспомогательные данные'!$C$19,IF(G226&lt;0.92,'вспомогательные данные'!$C$20, IF(G226&lt;2,'вспомогательные данные'!$C$21,'вспомогательные данные'!$C$22)))</f>
        <v>оптимальная работоспособность</v>
      </c>
      <c r="I226" s="61" t="b">
        <f>IF(OR(ЦТО!AT131=1,ЦТО!AU131=1,ЦТО!AV131=1,ЦТО!AX131=1),"Положительная",IF(OR(ЦТО!AY131=1,ЦТО!AZ131=1,ЦТО!BA131=1),"Отрицательная",IF(OR(ЦТО!AW131=1),"Инфантильная")))</f>
        <v>0</v>
      </c>
    </row>
    <row r="227" spans="1:9">
      <c r="A227" s="62">
        <f>ЦТО!A131</f>
        <v>0</v>
      </c>
      <c r="B227" s="62">
        <f>ЦТО!B133</f>
        <v>0</v>
      </c>
      <c r="C227" s="67">
        <f>ЦТО!C131</f>
        <v>0</v>
      </c>
      <c r="D227" s="63">
        <f>ЦТО!D131</f>
        <v>0</v>
      </c>
      <c r="E227" s="68">
        <f>SUM(ЦТО!BB131:BI131)</f>
        <v>0</v>
      </c>
      <c r="F227" s="64" t="str">
        <f>IF(E227&lt;10,'вспомогательные данные'!$C$26,IF(E227&lt;19,'вспомогательные данные'!$C$25,'вспомогательные данные'!$C$24))</f>
        <v>положительный</v>
      </c>
      <c r="G227" s="65">
        <f>(18-ЦТО!AM131-ЦТО!AL131)/(18-ЦТО!AL131-ЦТО!AP131)</f>
        <v>1</v>
      </c>
      <c r="H227" s="66" t="str">
        <f>IF(G227&lt;0.51,'вспомогательные данные'!$C$19,IF(G227&lt;0.92,'вспомогательные данные'!$C$20, IF(G227&lt;2,'вспомогательные данные'!$C$21,'вспомогательные данные'!$C$22)))</f>
        <v>оптимальная работоспособность</v>
      </c>
      <c r="I227" s="61" t="b">
        <f>IF(OR(ЦТО!AT132=1,ЦТО!AU132=1,ЦТО!AV132=1,ЦТО!AX132=1),"Положительная",IF(OR(ЦТО!AY132=1,ЦТО!AZ132=1,ЦТО!BA132=1),"Отрицательная",IF(OR(ЦТО!AW132=1),"Инфантильная")))</f>
        <v>0</v>
      </c>
    </row>
    <row r="228" spans="1:9">
      <c r="A228" s="62">
        <f>ЦТО!A132</f>
        <v>0</v>
      </c>
      <c r="B228" s="62">
        <f>ЦТО!B134</f>
        <v>0</v>
      </c>
      <c r="C228" s="67">
        <f>ЦТО!C132</f>
        <v>0</v>
      </c>
      <c r="D228" s="63">
        <f>ЦТО!D132</f>
        <v>0</v>
      </c>
      <c r="E228" s="68">
        <f>SUM(ЦТО!BB132:BI132)</f>
        <v>0</v>
      </c>
      <c r="F228" s="64" t="str">
        <f>IF(E228&lt;10,'вспомогательные данные'!$C$26,IF(E228&lt;19,'вспомогательные данные'!$C$25,'вспомогательные данные'!$C$24))</f>
        <v>положительный</v>
      </c>
      <c r="G228" s="65">
        <f>(18-ЦТО!AM132-ЦТО!AL132)/(18-ЦТО!AL132-ЦТО!AP132)</f>
        <v>1</v>
      </c>
      <c r="H228" s="66" t="str">
        <f>IF(G228&lt;0.51,'вспомогательные данные'!$C$19,IF(G228&lt;0.92,'вспомогательные данные'!$C$20, IF(G228&lt;2,'вспомогательные данные'!$C$21,'вспомогательные данные'!$C$22)))</f>
        <v>оптимальная работоспособность</v>
      </c>
      <c r="I228" s="61" t="b">
        <f>IF(OR(ЦТО!AT133=1,ЦТО!AU133=1,ЦТО!AV133=1,ЦТО!AX133=1),"Положительная",IF(OR(ЦТО!AY133=1,ЦТО!AZ133=1,ЦТО!BA133=1),"Отрицательная",IF(OR(ЦТО!AW133=1),"Инфантильная")))</f>
        <v>0</v>
      </c>
    </row>
    <row r="229" spans="1:9">
      <c r="A229" s="62">
        <f>ЦТО!A133</f>
        <v>0</v>
      </c>
      <c r="B229" s="62">
        <f>ЦТО!B135</f>
        <v>0</v>
      </c>
      <c r="C229" s="67">
        <f>ЦТО!C133</f>
        <v>0</v>
      </c>
      <c r="D229" s="63">
        <f>ЦТО!D133</f>
        <v>0</v>
      </c>
      <c r="E229" s="68">
        <f>SUM(ЦТО!BB133:BI133)</f>
        <v>0</v>
      </c>
      <c r="F229" s="64" t="str">
        <f>IF(E229&lt;10,'вспомогательные данные'!$C$26,IF(E229&lt;19,'вспомогательные данные'!$C$25,'вспомогательные данные'!$C$24))</f>
        <v>положительный</v>
      </c>
      <c r="G229" s="65">
        <f>(18-ЦТО!AM133-ЦТО!AL133)/(18-ЦТО!AL133-ЦТО!AP133)</f>
        <v>1</v>
      </c>
      <c r="H229" s="66" t="str">
        <f>IF(G229&lt;0.51,'вспомогательные данные'!$C$19,IF(G229&lt;0.92,'вспомогательные данные'!$C$20, IF(G229&lt;2,'вспомогательные данные'!$C$21,'вспомогательные данные'!$C$22)))</f>
        <v>оптимальная работоспособность</v>
      </c>
      <c r="I229" s="61" t="b">
        <f>IF(OR(ЦТО!AT134=1,ЦТО!AU134=1,ЦТО!AV134=1,ЦТО!AX134=1),"Положительная",IF(OR(ЦТО!AY134=1,ЦТО!AZ134=1,ЦТО!BA134=1),"Отрицательная",IF(OR(ЦТО!AW134=1),"Инфантильная")))</f>
        <v>0</v>
      </c>
    </row>
    <row r="230" spans="1:9">
      <c r="A230" s="62">
        <f>ЦТО!A134</f>
        <v>0</v>
      </c>
      <c r="B230" s="62">
        <f>ЦТО!B136</f>
        <v>0</v>
      </c>
      <c r="C230" s="67">
        <f>ЦТО!C134</f>
        <v>0</v>
      </c>
      <c r="D230" s="63">
        <f>ЦТО!D134</f>
        <v>0</v>
      </c>
      <c r="E230" s="68">
        <f>SUM(ЦТО!BB134:BI134)</f>
        <v>0</v>
      </c>
      <c r="F230" s="64" t="str">
        <f>IF(E230&lt;10,'вспомогательные данные'!$C$26,IF(E230&lt;19,'вспомогательные данные'!$C$25,'вспомогательные данные'!$C$24))</f>
        <v>положительный</v>
      </c>
      <c r="G230" s="65">
        <f>(18-ЦТО!AM134-ЦТО!AL134)/(18-ЦТО!AL134-ЦТО!AP134)</f>
        <v>1</v>
      </c>
      <c r="H230" s="66" t="str">
        <f>IF(G230&lt;0.51,'вспомогательные данные'!$C$19,IF(G230&lt;0.92,'вспомогательные данные'!$C$20, IF(G230&lt;2,'вспомогательные данные'!$C$21,'вспомогательные данные'!$C$22)))</f>
        <v>оптимальная работоспособность</v>
      </c>
      <c r="I230" s="61" t="b">
        <f>IF(OR(ЦТО!AT135=1,ЦТО!AU135=1,ЦТО!AV135=1,ЦТО!AX135=1),"Положительная",IF(OR(ЦТО!AY135=1,ЦТО!AZ135=1,ЦТО!BA135=1),"Отрицательная",IF(OR(ЦТО!AW135=1),"Инфантильная")))</f>
        <v>0</v>
      </c>
    </row>
    <row r="231" spans="1:9">
      <c r="A231" s="62">
        <f>ЦТО!A135</f>
        <v>0</v>
      </c>
      <c r="B231" s="62">
        <f>ЦТО!B137</f>
        <v>0</v>
      </c>
      <c r="C231" s="67">
        <f>ЦТО!C135</f>
        <v>0</v>
      </c>
      <c r="D231" s="63">
        <f>ЦТО!D135</f>
        <v>0</v>
      </c>
      <c r="E231" s="68">
        <f>SUM(ЦТО!BB135:BI135)</f>
        <v>0</v>
      </c>
      <c r="F231" s="64" t="str">
        <f>IF(E231&lt;10,'вспомогательные данные'!$C$26,IF(E231&lt;19,'вспомогательные данные'!$C$25,'вспомогательные данные'!$C$24))</f>
        <v>положительный</v>
      </c>
      <c r="G231" s="65">
        <f>(18-ЦТО!AM135-ЦТО!AL135)/(18-ЦТО!AL135-ЦТО!AP135)</f>
        <v>1</v>
      </c>
      <c r="H231" s="66" t="str">
        <f>IF(G231&lt;0.51,'вспомогательные данные'!$C$19,IF(G231&lt;0.92,'вспомогательные данные'!$C$20, IF(G231&lt;2,'вспомогательные данные'!$C$21,'вспомогательные данные'!$C$22)))</f>
        <v>оптимальная работоспособность</v>
      </c>
      <c r="I231" s="61" t="b">
        <f>IF(OR(ЦТО!AT136=1,ЦТО!AU136=1,ЦТО!AV136=1,ЦТО!AX136=1),"Положительная",IF(OR(ЦТО!AY136=1,ЦТО!AZ136=1,ЦТО!BA136=1),"Отрицательная",IF(OR(ЦТО!AW136=1),"Инфантильная")))</f>
        <v>0</v>
      </c>
    </row>
    <row r="232" spans="1:9">
      <c r="A232" s="62">
        <f>ЦТО!A136</f>
        <v>0</v>
      </c>
      <c r="B232" s="62">
        <f>ЦТО!B138</f>
        <v>0</v>
      </c>
      <c r="C232" s="67">
        <f>ЦТО!C136</f>
        <v>0</v>
      </c>
      <c r="D232" s="63">
        <f>ЦТО!D136</f>
        <v>0</v>
      </c>
      <c r="E232" s="68">
        <f>SUM(ЦТО!BB136:BI136)</f>
        <v>0</v>
      </c>
      <c r="F232" s="64" t="str">
        <f>IF(E232&lt;10,'вспомогательные данные'!$C$26,IF(E232&lt;19,'вспомогательные данные'!$C$25,'вспомогательные данные'!$C$24))</f>
        <v>положительный</v>
      </c>
      <c r="G232" s="65">
        <f>(18-ЦТО!AM136-ЦТО!AL136)/(18-ЦТО!AL136-ЦТО!AP136)</f>
        <v>1</v>
      </c>
      <c r="H232" s="66" t="str">
        <f>IF(G232&lt;0.51,'вспомогательные данные'!$C$19,IF(G232&lt;0.92,'вспомогательные данные'!$C$20, IF(G232&lt;2,'вспомогательные данные'!$C$21,'вспомогательные данные'!$C$22)))</f>
        <v>оптимальная работоспособность</v>
      </c>
      <c r="I232" s="61" t="b">
        <f>IF(OR(ЦТО!AT137=1,ЦТО!AU137=1,ЦТО!AV137=1,ЦТО!AX137=1),"Положительная",IF(OR(ЦТО!AY137=1,ЦТО!AZ137=1,ЦТО!BA137=1),"Отрицательная",IF(OR(ЦТО!AW137=1),"Инфантильная")))</f>
        <v>0</v>
      </c>
    </row>
    <row r="233" spans="1:9">
      <c r="A233" s="62">
        <f>ЦТО!A137</f>
        <v>0</v>
      </c>
      <c r="B233" s="62">
        <f>ЦТО!B139</f>
        <v>0</v>
      </c>
      <c r="C233" s="67">
        <f>ЦТО!C137</f>
        <v>0</v>
      </c>
      <c r="D233" s="63">
        <f>ЦТО!D137</f>
        <v>0</v>
      </c>
      <c r="E233" s="68">
        <f>SUM(ЦТО!BB137:BI137)</f>
        <v>0</v>
      </c>
      <c r="F233" s="64" t="str">
        <f>IF(E233&lt;10,'вспомогательные данные'!$C$26,IF(E233&lt;19,'вспомогательные данные'!$C$25,'вспомогательные данные'!$C$24))</f>
        <v>положительный</v>
      </c>
      <c r="G233" s="65">
        <f>(18-ЦТО!AM137-ЦТО!AL137)/(18-ЦТО!AL137-ЦТО!AP137)</f>
        <v>1</v>
      </c>
      <c r="H233" s="66" t="str">
        <f>IF(G233&lt;0.51,'вспомогательные данные'!$C$19,IF(G233&lt;0.92,'вспомогательные данные'!$C$20, IF(G233&lt;2,'вспомогательные данные'!$C$21,'вспомогательные данные'!$C$22)))</f>
        <v>оптимальная работоспособность</v>
      </c>
      <c r="I233" s="61" t="b">
        <f>IF(OR(ЦТО!AT138=1,ЦТО!AU138=1,ЦТО!AV138=1,ЦТО!AX138=1),"Положительная",IF(OR(ЦТО!AY138=1,ЦТО!AZ138=1,ЦТО!BA138=1),"Отрицательная",IF(OR(ЦТО!AW138=1),"Инфантильная")))</f>
        <v>0</v>
      </c>
    </row>
    <row r="234" spans="1:9">
      <c r="A234" s="62">
        <f>ЦТО!A138</f>
        <v>0</v>
      </c>
      <c r="B234" s="62">
        <f>ЦТО!B140</f>
        <v>0</v>
      </c>
      <c r="C234" s="67">
        <f>ЦТО!C138</f>
        <v>0</v>
      </c>
      <c r="D234" s="63">
        <f>ЦТО!D138</f>
        <v>0</v>
      </c>
      <c r="E234" s="68">
        <f>SUM(ЦТО!BB138:BI138)</f>
        <v>0</v>
      </c>
      <c r="F234" s="64" t="str">
        <f>IF(E234&lt;10,'вспомогательные данные'!$C$26,IF(E234&lt;19,'вспомогательные данные'!$C$25,'вспомогательные данные'!$C$24))</f>
        <v>положительный</v>
      </c>
      <c r="G234" s="65">
        <f>(18-ЦТО!AM138-ЦТО!AL138)/(18-ЦТО!AL138-ЦТО!AP138)</f>
        <v>1</v>
      </c>
      <c r="H234" s="66" t="str">
        <f>IF(G234&lt;0.51,'вспомогательные данные'!$C$19,IF(G234&lt;0.92,'вспомогательные данные'!$C$20, IF(G234&lt;2,'вспомогательные данные'!$C$21,'вспомогательные данные'!$C$22)))</f>
        <v>оптимальная работоспособность</v>
      </c>
      <c r="I234" s="61" t="b">
        <f>IF(OR(ЦТО!AT139=1,ЦТО!AU139=1,ЦТО!AV139=1,ЦТО!AX139=1),"Положительная",IF(OR(ЦТО!AY139=1,ЦТО!AZ139=1,ЦТО!BA139=1),"Отрицательная",IF(OR(ЦТО!AW139=1),"Инфантильная")))</f>
        <v>0</v>
      </c>
    </row>
    <row r="235" spans="1:9">
      <c r="A235" s="62">
        <f>ЦТО!A139</f>
        <v>0</v>
      </c>
      <c r="B235" s="62">
        <f>ЦТО!B141</f>
        <v>0</v>
      </c>
      <c r="C235" s="67">
        <f>ЦТО!C139</f>
        <v>0</v>
      </c>
      <c r="D235" s="63">
        <f>ЦТО!D139</f>
        <v>0</v>
      </c>
      <c r="E235" s="68">
        <f>SUM(ЦТО!BB139:BI139)</f>
        <v>0</v>
      </c>
      <c r="F235" s="64" t="str">
        <f>IF(E235&lt;10,'вспомогательные данные'!$C$26,IF(E235&lt;19,'вспомогательные данные'!$C$25,'вспомогательные данные'!$C$24))</f>
        <v>положительный</v>
      </c>
      <c r="G235" s="65">
        <f>(18-ЦТО!AM139-ЦТО!AL139)/(18-ЦТО!AL139-ЦТО!AP139)</f>
        <v>1</v>
      </c>
      <c r="H235" s="66" t="str">
        <f>IF(G235&lt;0.51,'вспомогательные данные'!$C$19,IF(G235&lt;0.92,'вспомогательные данные'!$C$20, IF(G235&lt;2,'вспомогательные данные'!$C$21,'вспомогательные данные'!$C$22)))</f>
        <v>оптимальная работоспособность</v>
      </c>
      <c r="I235" s="61" t="b">
        <f>IF(OR(ЦТО!AT140=1,ЦТО!AU140=1,ЦТО!AV140=1,ЦТО!AX140=1),"Положительная",IF(OR(ЦТО!AY140=1,ЦТО!AZ140=1,ЦТО!BA140=1),"Отрицательная",IF(OR(ЦТО!AW140=1),"Инфантильная")))</f>
        <v>0</v>
      </c>
    </row>
    <row r="236" spans="1:9">
      <c r="A236" s="62">
        <f>ЦТО!A140</f>
        <v>0</v>
      </c>
      <c r="B236" s="62">
        <f>ЦТО!B142</f>
        <v>0</v>
      </c>
      <c r="C236" s="67">
        <f>ЦТО!C140</f>
        <v>0</v>
      </c>
      <c r="D236" s="63">
        <f>ЦТО!D140</f>
        <v>0</v>
      </c>
      <c r="E236" s="68">
        <f>SUM(ЦТО!BB140:BI140)</f>
        <v>0</v>
      </c>
      <c r="F236" s="64" t="str">
        <f>IF(E236&lt;10,'вспомогательные данные'!$C$26,IF(E236&lt;19,'вспомогательные данные'!$C$25,'вспомогательные данные'!$C$24))</f>
        <v>положительный</v>
      </c>
      <c r="G236" s="65">
        <f>(18-ЦТО!AM140-ЦТО!AL140)/(18-ЦТО!AL140-ЦТО!AP140)</f>
        <v>1</v>
      </c>
      <c r="H236" s="66" t="str">
        <f>IF(G236&lt;0.51,'вспомогательные данные'!$C$19,IF(G236&lt;0.92,'вспомогательные данные'!$C$20, IF(G236&lt;2,'вспомогательные данные'!$C$21,'вспомогательные данные'!$C$22)))</f>
        <v>оптимальная работоспособность</v>
      </c>
      <c r="I236" s="61" t="b">
        <f>IF(OR(ЦТО!AT141=1,ЦТО!AU141=1,ЦТО!AV141=1,ЦТО!AX141=1),"Положительная",IF(OR(ЦТО!AY141=1,ЦТО!AZ141=1,ЦТО!BA141=1),"Отрицательная",IF(OR(ЦТО!AW141=1),"Инфантильная")))</f>
        <v>0</v>
      </c>
    </row>
    <row r="237" spans="1:9">
      <c r="A237" s="62">
        <f>ЦТО!A141</f>
        <v>0</v>
      </c>
      <c r="B237" s="62">
        <f>ЦТО!B143</f>
        <v>0</v>
      </c>
      <c r="C237" s="67">
        <f>ЦТО!C141</f>
        <v>0</v>
      </c>
      <c r="D237" s="63">
        <f>ЦТО!D141</f>
        <v>0</v>
      </c>
      <c r="E237" s="68">
        <f>SUM(ЦТО!BB141:BI141)</f>
        <v>0</v>
      </c>
      <c r="F237" s="64" t="str">
        <f>IF(E237&lt;10,'вспомогательные данные'!$C$26,IF(E237&lt;19,'вспомогательные данные'!$C$25,'вспомогательные данные'!$C$24))</f>
        <v>положительный</v>
      </c>
      <c r="G237" s="65">
        <f>(18-ЦТО!AM141-ЦТО!AL141)/(18-ЦТО!AL141-ЦТО!AP141)</f>
        <v>1</v>
      </c>
      <c r="H237" s="66" t="str">
        <f>IF(G237&lt;0.51,'вспомогательные данные'!$C$19,IF(G237&lt;0.92,'вспомогательные данные'!$C$20, IF(G237&lt;2,'вспомогательные данные'!$C$21,'вспомогательные данные'!$C$22)))</f>
        <v>оптимальная работоспособность</v>
      </c>
      <c r="I237" s="61" t="b">
        <f>IF(OR(ЦТО!AT142=1,ЦТО!AU142=1,ЦТО!AV142=1,ЦТО!AX142=1),"Положительная",IF(OR(ЦТО!AY142=1,ЦТО!AZ142=1,ЦТО!BA142=1),"Отрицательная",IF(OR(ЦТО!AW142=1),"Инфантильная")))</f>
        <v>0</v>
      </c>
    </row>
    <row r="238" spans="1:9">
      <c r="A238" s="62">
        <f>ЦТО!A142</f>
        <v>0</v>
      </c>
      <c r="B238" s="62">
        <f>ЦТО!B144</f>
        <v>0</v>
      </c>
      <c r="C238" s="67">
        <f>ЦТО!C142</f>
        <v>0</v>
      </c>
      <c r="D238" s="63">
        <f>ЦТО!D142</f>
        <v>0</v>
      </c>
      <c r="E238" s="68">
        <f>SUM(ЦТО!BB142:BI142)</f>
        <v>0</v>
      </c>
      <c r="F238" s="64" t="str">
        <f>IF(E238&lt;10,'вспомогательные данные'!$C$26,IF(E238&lt;19,'вспомогательные данные'!$C$25,'вспомогательные данные'!$C$24))</f>
        <v>положительный</v>
      </c>
      <c r="G238" s="65">
        <f>(18-ЦТО!AM142-ЦТО!AL142)/(18-ЦТО!AL142-ЦТО!AP142)</f>
        <v>1</v>
      </c>
      <c r="H238" s="66" t="str">
        <f>IF(G238&lt;0.51,'вспомогательные данные'!$C$19,IF(G238&lt;0.92,'вспомогательные данные'!$C$20, IF(G238&lt;2,'вспомогательные данные'!$C$21,'вспомогательные данные'!$C$22)))</f>
        <v>оптимальная работоспособность</v>
      </c>
      <c r="I238" s="61" t="b">
        <f>IF(OR(ЦТО!AT143=1,ЦТО!AU143=1,ЦТО!AV143=1,ЦТО!AX143=1),"Положительная",IF(OR(ЦТО!AY143=1,ЦТО!AZ143=1,ЦТО!BA143=1),"Отрицательная",IF(OR(ЦТО!AW143=1),"Инфантильная")))</f>
        <v>0</v>
      </c>
    </row>
    <row r="239" spans="1:9">
      <c r="A239" s="62">
        <f>ЦТО!A143</f>
        <v>0</v>
      </c>
      <c r="B239" s="62">
        <f>ЦТО!B145</f>
        <v>0</v>
      </c>
      <c r="C239" s="67">
        <f>ЦТО!C143</f>
        <v>0</v>
      </c>
      <c r="D239" s="63">
        <f>ЦТО!D143</f>
        <v>0</v>
      </c>
      <c r="E239" s="68">
        <f>SUM(ЦТО!BB143:BI143)</f>
        <v>0</v>
      </c>
      <c r="F239" s="64" t="str">
        <f>IF(E239&lt;10,'вспомогательные данные'!$C$26,IF(E239&lt;19,'вспомогательные данные'!$C$25,'вспомогательные данные'!$C$24))</f>
        <v>положительный</v>
      </c>
      <c r="G239" s="65">
        <f>(18-ЦТО!AM143-ЦТО!AL143)/(18-ЦТО!AL143-ЦТО!AP143)</f>
        <v>1</v>
      </c>
      <c r="H239" s="66" t="str">
        <f>IF(G239&lt;0.51,'вспомогательные данные'!$C$19,IF(G239&lt;0.92,'вспомогательные данные'!$C$20, IF(G239&lt;2,'вспомогательные данные'!$C$21,'вспомогательные данные'!$C$22)))</f>
        <v>оптимальная работоспособность</v>
      </c>
      <c r="I239" s="61" t="b">
        <f>IF(OR(ЦТО!AT144=1,ЦТО!AU144=1,ЦТО!AV144=1,ЦТО!AX144=1),"Положительная",IF(OR(ЦТО!AY144=1,ЦТО!AZ144=1,ЦТО!BA144=1),"Отрицательная",IF(OR(ЦТО!AW144=1),"Инфантильная")))</f>
        <v>0</v>
      </c>
    </row>
    <row r="240" spans="1:9">
      <c r="A240" s="62">
        <f>ЦТО!A144</f>
        <v>0</v>
      </c>
      <c r="B240" s="62">
        <f>ЦТО!B146</f>
        <v>0</v>
      </c>
      <c r="C240" s="67">
        <f>ЦТО!C144</f>
        <v>0</v>
      </c>
      <c r="D240" s="63">
        <f>ЦТО!D144</f>
        <v>0</v>
      </c>
      <c r="E240" s="68">
        <f>SUM(ЦТО!BB144:BI144)</f>
        <v>0</v>
      </c>
      <c r="F240" s="64" t="str">
        <f>IF(E240&lt;10,'вспомогательные данные'!$C$26,IF(E240&lt;19,'вспомогательные данные'!$C$25,'вспомогательные данные'!$C$24))</f>
        <v>положительный</v>
      </c>
      <c r="G240" s="65">
        <f>(18-ЦТО!AM144-ЦТО!AL144)/(18-ЦТО!AL144-ЦТО!AP144)</f>
        <v>1</v>
      </c>
      <c r="H240" s="66" t="str">
        <f>IF(G240&lt;0.51,'вспомогательные данные'!$C$19,IF(G240&lt;0.92,'вспомогательные данные'!$C$20, IF(G240&lt;2,'вспомогательные данные'!$C$21,'вспомогательные данные'!$C$22)))</f>
        <v>оптимальная работоспособность</v>
      </c>
      <c r="I240" s="61" t="b">
        <f>IF(OR(ЦТО!AT145=1,ЦТО!AU145=1,ЦТО!AV145=1,ЦТО!AX145=1),"Положительная",IF(OR(ЦТО!AY145=1,ЦТО!AZ145=1,ЦТО!BA145=1),"Отрицательная",IF(OR(ЦТО!AW145=1),"Инфантильная")))</f>
        <v>0</v>
      </c>
    </row>
    <row r="241" spans="1:9">
      <c r="A241" s="62">
        <f>ЦТО!A145</f>
        <v>0</v>
      </c>
      <c r="B241" s="62">
        <f>ЦТО!B147</f>
        <v>0</v>
      </c>
      <c r="C241" s="67">
        <f>ЦТО!C145</f>
        <v>0</v>
      </c>
      <c r="D241" s="63">
        <f>ЦТО!D145</f>
        <v>0</v>
      </c>
      <c r="E241" s="68">
        <f>SUM(ЦТО!BB145:BI145)</f>
        <v>0</v>
      </c>
      <c r="F241" s="64" t="str">
        <f>IF(E241&lt;10,'вспомогательные данные'!$C$26,IF(E241&lt;19,'вспомогательные данные'!$C$25,'вспомогательные данные'!$C$24))</f>
        <v>положительный</v>
      </c>
      <c r="G241" s="65">
        <f>(18-ЦТО!AM145-ЦТО!AL145)/(18-ЦТО!AL145-ЦТО!AP145)</f>
        <v>1</v>
      </c>
      <c r="H241" s="66" t="str">
        <f>IF(G241&lt;0.51,'вспомогательные данные'!$C$19,IF(G241&lt;0.92,'вспомогательные данные'!$C$20, IF(G241&lt;2,'вспомогательные данные'!$C$21,'вспомогательные данные'!$C$22)))</f>
        <v>оптимальная работоспособность</v>
      </c>
      <c r="I241" s="61" t="b">
        <f>IF(OR(ЦТО!AT146=1,ЦТО!AU146=1,ЦТО!AV146=1,ЦТО!AX146=1),"Положительная",IF(OR(ЦТО!AY146=1,ЦТО!AZ146=1,ЦТО!BA146=1),"Отрицательная",IF(OR(ЦТО!AW146=1),"Инфантильная")))</f>
        <v>0</v>
      </c>
    </row>
    <row r="242" spans="1:9">
      <c r="A242" s="62">
        <f>ЦТО!A146</f>
        <v>0</v>
      </c>
      <c r="B242" s="62">
        <f>ЦТО!B148</f>
        <v>0</v>
      </c>
      <c r="C242" s="67">
        <f>ЦТО!C146</f>
        <v>0</v>
      </c>
      <c r="D242" s="63">
        <f>ЦТО!D146</f>
        <v>0</v>
      </c>
      <c r="E242" s="68">
        <f>SUM(ЦТО!BB146:BI146)</f>
        <v>0</v>
      </c>
      <c r="F242" s="64" t="str">
        <f>IF(E242&lt;10,'вспомогательные данные'!$C$26,IF(E242&lt;19,'вспомогательные данные'!$C$25,'вспомогательные данные'!$C$24))</f>
        <v>положительный</v>
      </c>
      <c r="G242" s="65">
        <f>(18-ЦТО!AM146-ЦТО!AL146)/(18-ЦТО!AL146-ЦТО!AP146)</f>
        <v>1</v>
      </c>
      <c r="H242" s="66" t="str">
        <f>IF(G242&lt;0.51,'вспомогательные данные'!$C$19,IF(G242&lt;0.92,'вспомогательные данные'!$C$20, IF(G242&lt;2,'вспомогательные данные'!$C$21,'вспомогательные данные'!$C$22)))</f>
        <v>оптимальная работоспособность</v>
      </c>
      <c r="I242" s="61" t="b">
        <f>IF(OR(ЦТО!AT147=1,ЦТО!AU147=1,ЦТО!AV147=1,ЦТО!AX147=1),"Положительная",IF(OR(ЦТО!AY147=1,ЦТО!AZ147=1,ЦТО!BA147=1),"Отрицательная",IF(OR(ЦТО!AW147=1),"Инфантильная")))</f>
        <v>0</v>
      </c>
    </row>
    <row r="243" spans="1:9">
      <c r="A243" s="62">
        <f>ЦТО!A147</f>
        <v>0</v>
      </c>
      <c r="B243" s="62">
        <f>ЦТО!B149</f>
        <v>0</v>
      </c>
      <c r="C243" s="67">
        <f>ЦТО!C147</f>
        <v>0</v>
      </c>
      <c r="D243" s="63">
        <f>ЦТО!D147</f>
        <v>0</v>
      </c>
      <c r="E243" s="68">
        <f>SUM(ЦТО!BB147:BI147)</f>
        <v>0</v>
      </c>
      <c r="F243" s="64" t="str">
        <f>IF(E243&lt;10,'вспомогательные данные'!$C$26,IF(E243&lt;19,'вспомогательные данные'!$C$25,'вспомогательные данные'!$C$24))</f>
        <v>положительный</v>
      </c>
      <c r="G243" s="65">
        <f>(18-ЦТО!AM147-ЦТО!AL147)/(18-ЦТО!AL147-ЦТО!AP147)</f>
        <v>1</v>
      </c>
      <c r="H243" s="66" t="str">
        <f>IF(G243&lt;0.51,'вспомогательные данные'!$C$19,IF(G243&lt;0.92,'вспомогательные данные'!$C$20, IF(G243&lt;2,'вспомогательные данные'!$C$21,'вспомогательные данные'!$C$22)))</f>
        <v>оптимальная работоспособность</v>
      </c>
      <c r="I243" s="61" t="b">
        <f>IF(OR(ЦТО!AT148=1,ЦТО!AU148=1,ЦТО!AV148=1,ЦТО!AX148=1),"Положительная",IF(OR(ЦТО!AY148=1,ЦТО!AZ148=1,ЦТО!BA148=1),"Отрицательная",IF(OR(ЦТО!AW148=1),"Инфантильная")))</f>
        <v>0</v>
      </c>
    </row>
    <row r="244" spans="1:9">
      <c r="A244" s="62">
        <f>ЦТО!A148</f>
        <v>0</v>
      </c>
      <c r="B244" s="62">
        <f>ЦТО!B150</f>
        <v>0</v>
      </c>
      <c r="C244" s="67">
        <f>ЦТО!C148</f>
        <v>0</v>
      </c>
      <c r="D244" s="63">
        <f>ЦТО!D148</f>
        <v>0</v>
      </c>
      <c r="E244" s="68">
        <f>SUM(ЦТО!BB148:BI148)</f>
        <v>0</v>
      </c>
      <c r="F244" s="64" t="str">
        <f>IF(E244&lt;10,'вспомогательные данные'!$C$26,IF(E244&lt;19,'вспомогательные данные'!$C$25,'вспомогательные данные'!$C$24))</f>
        <v>положительный</v>
      </c>
      <c r="G244" s="65">
        <f>(18-ЦТО!AM148-ЦТО!AL148)/(18-ЦТО!AL148-ЦТО!AP148)</f>
        <v>1</v>
      </c>
      <c r="H244" s="66" t="str">
        <f>IF(G244&lt;0.51,'вспомогательные данные'!$C$19,IF(G244&lt;0.92,'вспомогательные данные'!$C$20, IF(G244&lt;2,'вспомогательные данные'!$C$21,'вспомогательные данные'!$C$22)))</f>
        <v>оптимальная работоспособность</v>
      </c>
      <c r="I244" s="61" t="b">
        <f>IF(OR(ЦТО!AT149=1,ЦТО!AU149=1,ЦТО!AV149=1,ЦТО!AX149=1),"Положительная",IF(OR(ЦТО!AY149=1,ЦТО!AZ149=1,ЦТО!BA149=1),"Отрицательная",IF(OR(ЦТО!AW149=1),"Инфантильная")))</f>
        <v>0</v>
      </c>
    </row>
    <row r="245" spans="1:9">
      <c r="A245" s="62">
        <f>ЦТО!A149</f>
        <v>0</v>
      </c>
      <c r="B245" s="62">
        <f>ЦТО!B151</f>
        <v>0</v>
      </c>
      <c r="C245" s="67">
        <f>ЦТО!C149</f>
        <v>0</v>
      </c>
      <c r="D245" s="63">
        <f>ЦТО!D149</f>
        <v>0</v>
      </c>
      <c r="E245" s="68">
        <f>SUM(ЦТО!BB149:BI149)</f>
        <v>0</v>
      </c>
      <c r="F245" s="64" t="str">
        <f>IF(E245&lt;10,'вспомогательные данные'!$C$26,IF(E245&lt;19,'вспомогательные данные'!$C$25,'вспомогательные данные'!$C$24))</f>
        <v>положительный</v>
      </c>
      <c r="G245" s="65">
        <f>(18-ЦТО!AM149-ЦТО!AL149)/(18-ЦТО!AL149-ЦТО!AP149)</f>
        <v>1</v>
      </c>
      <c r="H245" s="66" t="str">
        <f>IF(G245&lt;0.51,'вспомогательные данные'!$C$19,IF(G245&lt;0.92,'вспомогательные данные'!$C$20, IF(G245&lt;2,'вспомогательные данные'!$C$21,'вспомогательные данные'!$C$22)))</f>
        <v>оптимальная работоспособность</v>
      </c>
      <c r="I245" s="61" t="b">
        <f>IF(OR(ЦТО!AT150=1,ЦТО!AU150=1,ЦТО!AV150=1,ЦТО!AX150=1),"Положительная",IF(OR(ЦТО!AY150=1,ЦТО!AZ150=1,ЦТО!BA150=1),"Отрицательная",IF(OR(ЦТО!AW150=1),"Инфантильная")))</f>
        <v>0</v>
      </c>
    </row>
    <row r="246" spans="1:9">
      <c r="A246" s="62">
        <f>ЦТО!A150</f>
        <v>0</v>
      </c>
      <c r="B246" s="62">
        <f>ЦТО!B152</f>
        <v>0</v>
      </c>
      <c r="C246" s="67">
        <f>ЦТО!C150</f>
        <v>0</v>
      </c>
      <c r="D246" s="63">
        <f>ЦТО!D150</f>
        <v>0</v>
      </c>
      <c r="E246" s="68">
        <f>SUM(ЦТО!BB150:BI150)</f>
        <v>0</v>
      </c>
      <c r="F246" s="64" t="str">
        <f>IF(E246&lt;10,'вспомогательные данные'!$C$26,IF(E246&lt;19,'вспомогательные данные'!$C$25,'вспомогательные данные'!$C$24))</f>
        <v>положительный</v>
      </c>
      <c r="G246" s="65">
        <f>(18-ЦТО!AM150-ЦТО!AL150)/(18-ЦТО!AL150-ЦТО!AP150)</f>
        <v>1</v>
      </c>
      <c r="H246" s="66" t="str">
        <f>IF(G246&lt;0.51,'вспомогательные данные'!$C$19,IF(G246&lt;0.92,'вспомогательные данные'!$C$20, IF(G246&lt;2,'вспомогательные данные'!$C$21,'вспомогательные данные'!$C$22)))</f>
        <v>оптимальная работоспособность</v>
      </c>
      <c r="I246" s="61" t="b">
        <f>IF(OR(ЦТО!AT151=1,ЦТО!AU151=1,ЦТО!AV151=1,ЦТО!AX151=1),"Положительная",IF(OR(ЦТО!AY151=1,ЦТО!AZ151=1,ЦТО!BA151=1),"Отрицательная",IF(OR(ЦТО!AW151=1),"Инфантильная")))</f>
        <v>0</v>
      </c>
    </row>
    <row r="247" spans="1:9">
      <c r="A247" s="62">
        <f>ЦТО!A151</f>
        <v>0</v>
      </c>
      <c r="B247" s="62">
        <f>ЦТО!B153</f>
        <v>0</v>
      </c>
      <c r="C247" s="67">
        <f>ЦТО!C151</f>
        <v>0</v>
      </c>
      <c r="D247" s="63">
        <f>ЦТО!D151</f>
        <v>0</v>
      </c>
      <c r="E247" s="68">
        <f>SUM(ЦТО!BB151:BI151)</f>
        <v>0</v>
      </c>
      <c r="F247" s="64" t="str">
        <f>IF(E247&lt;10,'вспомогательные данные'!$C$26,IF(E247&lt;19,'вспомогательные данные'!$C$25,'вспомогательные данные'!$C$24))</f>
        <v>положительный</v>
      </c>
      <c r="G247" s="65">
        <f>(18-ЦТО!AM151-ЦТО!AL151)/(18-ЦТО!AL151-ЦТО!AP151)</f>
        <v>1</v>
      </c>
      <c r="H247" s="66" t="str">
        <f>IF(G247&lt;0.51,'вспомогательные данные'!$C$19,IF(G247&lt;0.92,'вспомогательные данные'!$C$20, IF(G247&lt;2,'вспомогательные данные'!$C$21,'вспомогательные данные'!$C$22)))</f>
        <v>оптимальная работоспособность</v>
      </c>
      <c r="I247" s="61" t="b">
        <f>IF(OR(ЦТО!AT152=1,ЦТО!AU152=1,ЦТО!AV152=1,ЦТО!AX152=1),"Положительная",IF(OR(ЦТО!AY152=1,ЦТО!AZ152=1,ЦТО!BA152=1),"Отрицательная",IF(OR(ЦТО!AW152=1),"Инфантильная")))</f>
        <v>0</v>
      </c>
    </row>
    <row r="248" spans="1:9">
      <c r="A248" s="62">
        <f>ЦТО!A152</f>
        <v>0</v>
      </c>
      <c r="B248" s="62">
        <f>ЦТО!B154</f>
        <v>0</v>
      </c>
      <c r="C248" s="67">
        <f>ЦТО!C152</f>
        <v>0</v>
      </c>
      <c r="D248" s="63">
        <f>ЦТО!D152</f>
        <v>0</v>
      </c>
      <c r="E248" s="68">
        <f>SUM(ЦТО!BB152:BI152)</f>
        <v>0</v>
      </c>
      <c r="F248" s="64" t="str">
        <f>IF(E248&lt;10,'вспомогательные данные'!$C$26,IF(E248&lt;19,'вспомогательные данные'!$C$25,'вспомогательные данные'!$C$24))</f>
        <v>положительный</v>
      </c>
      <c r="G248" s="65">
        <f>(18-ЦТО!AM152-ЦТО!AL152)/(18-ЦТО!AL152-ЦТО!AP152)</f>
        <v>1</v>
      </c>
      <c r="H248" s="66" t="str">
        <f>IF(G248&lt;0.51,'вспомогательные данные'!$C$19,IF(G248&lt;0.92,'вспомогательные данные'!$C$20, IF(G248&lt;2,'вспомогательные данные'!$C$21,'вспомогательные данные'!$C$22)))</f>
        <v>оптимальная работоспособность</v>
      </c>
      <c r="I248" s="61" t="b">
        <f>IF(OR(ЦТО!AT153=1,ЦТО!AU153=1,ЦТО!AV153=1,ЦТО!AX153=1),"Положительная",IF(OR(ЦТО!AY153=1,ЦТО!AZ153=1,ЦТО!BA153=1),"Отрицательная",IF(OR(ЦТО!AW153=1),"Инфантильная")))</f>
        <v>0</v>
      </c>
    </row>
    <row r="249" spans="1:9">
      <c r="A249" s="62">
        <f>ЦТО!A153</f>
        <v>0</v>
      </c>
      <c r="B249" s="62">
        <f>ЦТО!B155</f>
        <v>0</v>
      </c>
      <c r="C249" s="67">
        <f>ЦТО!C153</f>
        <v>0</v>
      </c>
      <c r="D249" s="63">
        <f>ЦТО!D153</f>
        <v>0</v>
      </c>
      <c r="E249" s="68">
        <f>SUM(ЦТО!BB153:BI153)</f>
        <v>0</v>
      </c>
      <c r="F249" s="64" t="str">
        <f>IF(E249&lt;10,'вспомогательные данные'!$C$26,IF(E249&lt;19,'вспомогательные данные'!$C$25,'вспомогательные данные'!$C$24))</f>
        <v>положительный</v>
      </c>
      <c r="G249" s="65">
        <f>(18-ЦТО!AM153-ЦТО!AL153)/(18-ЦТО!AL153-ЦТО!AP153)</f>
        <v>1</v>
      </c>
      <c r="H249" s="66" t="str">
        <f>IF(G249&lt;0.51,'вспомогательные данные'!$C$19,IF(G249&lt;0.92,'вспомогательные данные'!$C$20, IF(G249&lt;2,'вспомогательные данные'!$C$21,'вспомогательные данные'!$C$22)))</f>
        <v>оптимальная работоспособность</v>
      </c>
      <c r="I249" s="61" t="b">
        <f>IF(OR(ЦТО!AT154=1,ЦТО!AU154=1,ЦТО!AV154=1,ЦТО!AX154=1),"Положительная",IF(OR(ЦТО!AY154=1,ЦТО!AZ154=1,ЦТО!BA154=1),"Отрицательная",IF(OR(ЦТО!AW154=1),"Инфантильная")))</f>
        <v>0</v>
      </c>
    </row>
    <row r="250" spans="1:9">
      <c r="A250" s="62">
        <f>ЦТО!A154</f>
        <v>0</v>
      </c>
      <c r="B250" s="62">
        <f>ЦТО!B156</f>
        <v>0</v>
      </c>
      <c r="C250" s="67">
        <f>ЦТО!C154</f>
        <v>0</v>
      </c>
      <c r="D250" s="63">
        <f>ЦТО!D154</f>
        <v>0</v>
      </c>
      <c r="E250" s="68">
        <f>SUM(ЦТО!BB154:BI154)</f>
        <v>0</v>
      </c>
      <c r="F250" s="64" t="str">
        <f>IF(E250&lt;10,'вспомогательные данные'!$C$26,IF(E250&lt;19,'вспомогательные данные'!$C$25,'вспомогательные данные'!$C$24))</f>
        <v>положительный</v>
      </c>
      <c r="G250" s="65">
        <f>(18-ЦТО!AM154-ЦТО!AL154)/(18-ЦТО!AL154-ЦТО!AP154)</f>
        <v>1</v>
      </c>
      <c r="H250" s="66" t="str">
        <f>IF(G250&lt;0.51,'вспомогательные данные'!$C$19,IF(G250&lt;0.92,'вспомогательные данные'!$C$20, IF(G250&lt;2,'вспомогательные данные'!$C$21,'вспомогательные данные'!$C$22)))</f>
        <v>оптимальная работоспособность</v>
      </c>
      <c r="I250" s="61" t="b">
        <f>IF(OR(ЦТО!AT155=1,ЦТО!AU155=1,ЦТО!AV155=1,ЦТО!AX155=1),"Положительная",IF(OR(ЦТО!AY155=1,ЦТО!AZ155=1,ЦТО!BA155=1),"Отрицательная",IF(OR(ЦТО!AW155=1),"Инфантильная")))</f>
        <v>0</v>
      </c>
    </row>
    <row r="251" spans="1:9">
      <c r="A251" s="62">
        <f>ЦТО!A155</f>
        <v>0</v>
      </c>
      <c r="B251" s="62">
        <f>ЦТО!B157</f>
        <v>0</v>
      </c>
      <c r="C251" s="67">
        <f>ЦТО!C155</f>
        <v>0</v>
      </c>
      <c r="D251" s="63">
        <f>ЦТО!D155</f>
        <v>0</v>
      </c>
      <c r="E251" s="68">
        <f>SUM(ЦТО!BB155:BI155)</f>
        <v>0</v>
      </c>
      <c r="F251" s="64" t="str">
        <f>IF(E251&lt;10,'вспомогательные данные'!$C$26,IF(E251&lt;19,'вспомогательные данные'!$C$25,'вспомогательные данные'!$C$24))</f>
        <v>положительный</v>
      </c>
      <c r="G251" s="65">
        <f>(18-ЦТО!AM155-ЦТО!AL155)/(18-ЦТО!AL155-ЦТО!AP155)</f>
        <v>1</v>
      </c>
      <c r="H251" s="66" t="str">
        <f>IF(G251&lt;0.51,'вспомогательные данные'!$C$19,IF(G251&lt;0.92,'вспомогательные данные'!$C$20, IF(G251&lt;2,'вспомогательные данные'!$C$21,'вспомогательные данные'!$C$22)))</f>
        <v>оптимальная работоспособность</v>
      </c>
      <c r="I251" s="61" t="b">
        <f>IF(OR(ЦТО!AT155=1,ЦТО!AU155=1,ЦТО!AV155=1,ЦТО!AX155=1),"Положительная",IF(OR(ЦТО!AY155=1,ЦТО!AZ155=1,ЦТО!BA155=1),"Отрицательная",IF(OR(ЦТО!AW155=1),"Инфантильная")))</f>
        <v>0</v>
      </c>
    </row>
    <row r="252" spans="1:9">
      <c r="A252" s="62">
        <f>ЦТО!A156</f>
        <v>0</v>
      </c>
      <c r="B252" s="62">
        <f>ЦТО!B158</f>
        <v>0</v>
      </c>
      <c r="C252" s="67">
        <f>ЦТО!C156</f>
        <v>0</v>
      </c>
      <c r="D252" s="63">
        <f>ЦТО!D156</f>
        <v>0</v>
      </c>
      <c r="E252" s="68">
        <f>SUM(ЦТО!BB156:BI156)</f>
        <v>0</v>
      </c>
      <c r="F252" s="64" t="str">
        <f>IF(E252&lt;10,'вспомогательные данные'!$C$26,IF(E252&lt;19,'вспомогательные данные'!$C$25,'вспомогательные данные'!$C$24))</f>
        <v>положительный</v>
      </c>
      <c r="G252" s="65">
        <f>(18-ЦТО!AM156-ЦТО!AL156)/(18-ЦТО!AL156-ЦТО!AP156)</f>
        <v>1</v>
      </c>
      <c r="H252" s="66" t="str">
        <f>IF(G252&lt;0.51,'вспомогательные данные'!$C$19,IF(G252&lt;0.92,'вспомогательные данные'!$C$20, IF(G252&lt;2,'вспомогательные данные'!$C$21,'вспомогательные данные'!$C$22)))</f>
        <v>оптимальная работоспособность</v>
      </c>
      <c r="I252" s="61" t="b">
        <f>IF(OR(ЦТО!AT156=1,ЦТО!AU156=1,ЦТО!AV156=1,ЦТО!AX156=1),"Положительная",IF(OR(ЦТО!AY156=1,ЦТО!AZ156=1,ЦТО!BA156=1),"Отрицательная",IF(OR(ЦТО!AW156=1),"Инфантильная")))</f>
        <v>0</v>
      </c>
    </row>
    <row r="253" spans="1:9">
      <c r="A253" s="62">
        <f>ЦТО!A157</f>
        <v>0</v>
      </c>
      <c r="B253" s="62">
        <f>ЦТО!B159</f>
        <v>0</v>
      </c>
      <c r="C253" s="67">
        <f>ЦТО!C157</f>
        <v>0</v>
      </c>
      <c r="D253" s="63">
        <f>ЦТО!D157</f>
        <v>0</v>
      </c>
      <c r="E253" s="68">
        <f>SUM(ЦТО!BB157:BI157)</f>
        <v>0</v>
      </c>
      <c r="F253" s="64" t="str">
        <f>IF(E253&lt;10,'вспомогательные данные'!$C$26,IF(E253&lt;19,'вспомогательные данные'!$C$25,'вспомогательные данные'!$C$24))</f>
        <v>положительный</v>
      </c>
      <c r="G253" s="65">
        <f>(18-ЦТО!AM157-ЦТО!AL157)/(18-ЦТО!AL157-ЦТО!AP157)</f>
        <v>1</v>
      </c>
      <c r="H253" s="66" t="str">
        <f>IF(G253&lt;0.51,'вспомогательные данные'!$C$19,IF(G253&lt;0.92,'вспомогательные данные'!$C$20, IF(G253&lt;2,'вспомогательные данные'!$C$21,'вспомогательные данные'!$C$22)))</f>
        <v>оптимальная работоспособность</v>
      </c>
      <c r="I253" s="61" t="b">
        <f>IF(OR(ЦТО!AT157=1,ЦТО!AU157=1,ЦТО!AV157=1,ЦТО!AX157=1),"Положительная",IF(OR(ЦТО!AY157=1,ЦТО!AZ157=1,ЦТО!BA157=1),"Отрицательная",IF(OR(ЦТО!AW157=1),"Инфантильная")))</f>
        <v>0</v>
      </c>
    </row>
    <row r="254" spans="1:9">
      <c r="A254" s="62">
        <f>ЦТО!A158</f>
        <v>0</v>
      </c>
      <c r="B254" s="62">
        <f>ЦТО!B160</f>
        <v>0</v>
      </c>
      <c r="C254" s="67">
        <f>ЦТО!C158</f>
        <v>0</v>
      </c>
      <c r="D254" s="63">
        <f>ЦТО!D158</f>
        <v>0</v>
      </c>
      <c r="E254" s="68">
        <f>SUM(ЦТО!BB158:BI158)</f>
        <v>0</v>
      </c>
      <c r="F254" s="64" t="str">
        <f>IF(E254&lt;10,'вспомогательные данные'!$C$26,IF(E254&lt;19,'вспомогательные данные'!$C$25,'вспомогательные данные'!$C$24))</f>
        <v>положительный</v>
      </c>
      <c r="G254" s="65">
        <f>(18-ЦТО!AM158-ЦТО!AL158)/(18-ЦТО!AL158-ЦТО!AP158)</f>
        <v>1</v>
      </c>
      <c r="H254" s="66" t="str">
        <f>IF(G254&lt;0.51,'вспомогательные данные'!$C$19,IF(G254&lt;0.92,'вспомогательные данные'!$C$20, IF(G254&lt;2,'вспомогательные данные'!$C$21,'вспомогательные данные'!$C$22)))</f>
        <v>оптимальная работоспособность</v>
      </c>
      <c r="I254" s="61" t="b">
        <f>IF(OR(ЦТО!AT158=1,ЦТО!AU158=1,ЦТО!AV158=1,ЦТО!AX158=1),"Положительная",IF(OR(ЦТО!AY158=1,ЦТО!AZ158=1,ЦТО!BA158=1),"Отрицательная",IF(OR(ЦТО!AW158=1),"Инфантильная")))</f>
        <v>0</v>
      </c>
    </row>
    <row r="255" spans="1:9">
      <c r="A255" s="62">
        <f>ЦТО!A159</f>
        <v>0</v>
      </c>
      <c r="B255" s="62">
        <f>ЦТО!B161</f>
        <v>0</v>
      </c>
      <c r="C255" s="67">
        <f>ЦТО!C159</f>
        <v>0</v>
      </c>
      <c r="D255" s="63">
        <f>ЦТО!D159</f>
        <v>0</v>
      </c>
      <c r="E255" s="68">
        <f>SUM(ЦТО!BB159:BI159)</f>
        <v>0</v>
      </c>
      <c r="F255" s="64" t="str">
        <f>IF(E255&lt;10,'вспомогательные данные'!$C$26,IF(E255&lt;19,'вспомогательные данные'!$C$25,'вспомогательные данные'!$C$24))</f>
        <v>положительный</v>
      </c>
      <c r="G255" s="65">
        <f>(18-ЦТО!AM159-ЦТО!AL159)/(18-ЦТО!AL159-ЦТО!AP159)</f>
        <v>1</v>
      </c>
      <c r="H255" s="66" t="str">
        <f>IF(G255&lt;0.51,'вспомогательные данные'!$C$19,IF(G255&lt;0.92,'вспомогательные данные'!$C$20, IF(G255&lt;2,'вспомогательные данные'!$C$21,'вспомогательные данные'!$C$22)))</f>
        <v>оптимальная работоспособность</v>
      </c>
      <c r="I255" s="61" t="b">
        <f>IF(OR(ЦТО!AT159=1,ЦТО!AU159=1,ЦТО!AV159=1,ЦТО!AX159=1),"Положительная",IF(OR(ЦТО!AY159=1,ЦТО!AZ159=1,ЦТО!BA159=1),"Отрицательная",IF(OR(ЦТО!AW159=1),"Инфантильная")))</f>
        <v>0</v>
      </c>
    </row>
    <row r="256" spans="1:9">
      <c r="A256" s="62">
        <f>ЦТО!A160</f>
        <v>0</v>
      </c>
      <c r="B256" s="62">
        <f>ЦТО!B162</f>
        <v>0</v>
      </c>
      <c r="C256" s="67">
        <f>ЦТО!C160</f>
        <v>0</v>
      </c>
      <c r="D256" s="63">
        <f>ЦТО!D160</f>
        <v>0</v>
      </c>
      <c r="E256" s="68">
        <f>SUM(ЦТО!BB160:BI160)</f>
        <v>0</v>
      </c>
      <c r="F256" s="64" t="str">
        <f>IF(E256&lt;10,'вспомогательные данные'!$C$26,IF(E256&lt;19,'вспомогательные данные'!$C$25,'вспомогательные данные'!$C$24))</f>
        <v>положительный</v>
      </c>
      <c r="G256" s="65">
        <f>(18-ЦТО!AM160-ЦТО!AL160)/(18-ЦТО!AL160-ЦТО!AP160)</f>
        <v>1</v>
      </c>
      <c r="H256" s="66" t="str">
        <f>IF(G256&lt;0.51,'вспомогательные данные'!$C$19,IF(G256&lt;0.92,'вспомогательные данные'!$C$20, IF(G256&lt;2,'вспомогательные данные'!$C$21,'вспомогательные данные'!$C$22)))</f>
        <v>оптимальная работоспособность</v>
      </c>
      <c r="I256" s="61" t="b">
        <f>IF(OR(ЦТО!AT160=1,ЦТО!AU160=1,ЦТО!AV160=1,ЦТО!AX160=1),"Положительная",IF(OR(ЦТО!AY160=1,ЦТО!AZ160=1,ЦТО!BA160=1),"Отрицательная",IF(OR(ЦТО!AW160=1),"Инфантильная")))</f>
        <v>0</v>
      </c>
    </row>
    <row r="257" spans="1:9">
      <c r="A257" s="62">
        <f>ЦТО!A161</f>
        <v>0</v>
      </c>
      <c r="B257" s="62">
        <f>ЦТО!B163</f>
        <v>0</v>
      </c>
      <c r="C257" s="67">
        <f>ЦТО!C161</f>
        <v>0</v>
      </c>
      <c r="D257" s="63">
        <f>ЦТО!D161</f>
        <v>0</v>
      </c>
      <c r="E257" s="68">
        <f>SUM(ЦТО!BB161:BI161)</f>
        <v>0</v>
      </c>
      <c r="F257" s="64" t="str">
        <f>IF(E257&lt;10,'вспомогательные данные'!$C$26,IF(E257&lt;19,'вспомогательные данные'!$C$25,'вспомогательные данные'!$C$24))</f>
        <v>положительный</v>
      </c>
      <c r="G257" s="65">
        <f>(18-ЦТО!AM161-ЦТО!AL161)/(18-ЦТО!AL161-ЦТО!AP161)</f>
        <v>1</v>
      </c>
      <c r="H257" s="66" t="str">
        <f>IF(G257&lt;0.51,'вспомогательные данные'!$C$19,IF(G257&lt;0.92,'вспомогательные данные'!$C$20, IF(G257&lt;2,'вспомогательные данные'!$C$21,'вспомогательные данные'!$C$22)))</f>
        <v>оптимальная работоспособность</v>
      </c>
      <c r="I257" s="61" t="b">
        <f>IF(OR(ЦТО!AT161=1,ЦТО!AU161=1,ЦТО!AV161=1,ЦТО!AX161=1),"Положительная",IF(OR(ЦТО!AY161=1,ЦТО!AZ161=1,ЦТО!BA161=1),"Отрицательная",IF(OR(ЦТО!AW161=1),"Инфантильная")))</f>
        <v>0</v>
      </c>
    </row>
    <row r="258" spans="1:9">
      <c r="A258" s="62">
        <f>ЦТО!A162</f>
        <v>0</v>
      </c>
      <c r="B258" s="62">
        <f>ЦТО!B164</f>
        <v>0</v>
      </c>
      <c r="C258" s="67">
        <f>ЦТО!C162</f>
        <v>0</v>
      </c>
      <c r="D258" s="63">
        <f>ЦТО!D162</f>
        <v>0</v>
      </c>
      <c r="E258" s="68">
        <f>SUM(ЦТО!BB162:BI162)</f>
        <v>0</v>
      </c>
      <c r="F258" s="64" t="str">
        <f>IF(E258&lt;10,'вспомогательные данные'!$C$26,IF(E258&lt;19,'вспомогательные данные'!$C$25,'вспомогательные данные'!$C$24))</f>
        <v>положительный</v>
      </c>
      <c r="G258" s="65">
        <f>(18-ЦТО!AM162-ЦТО!AL162)/(18-ЦТО!AL162-ЦТО!AP162)</f>
        <v>1</v>
      </c>
      <c r="H258" s="66" t="str">
        <f>IF(G258&lt;0.51,'вспомогательные данные'!$C$19,IF(G258&lt;0.92,'вспомогательные данные'!$C$20, IF(G258&lt;2,'вспомогательные данные'!$C$21,'вспомогательные данные'!$C$22)))</f>
        <v>оптимальная работоспособность</v>
      </c>
      <c r="I258" s="61" t="b">
        <f>IF(OR(ЦТО!AT162=1,ЦТО!AU162=1,ЦТО!AV162=1,ЦТО!AX162=1),"Положительная",IF(OR(ЦТО!AY162=1,ЦТО!AZ162=1,ЦТО!BA162=1),"Отрицательная",IF(OR(ЦТО!AW162=1),"Инфантильная")))</f>
        <v>0</v>
      </c>
    </row>
    <row r="259" spans="1:9">
      <c r="A259" s="62">
        <f>ЦТО!A163</f>
        <v>0</v>
      </c>
      <c r="B259" s="62">
        <f>ЦТО!B165</f>
        <v>0</v>
      </c>
      <c r="C259" s="67">
        <f>ЦТО!C163</f>
        <v>0</v>
      </c>
      <c r="D259" s="63">
        <f>ЦТО!D163</f>
        <v>0</v>
      </c>
      <c r="E259" s="68">
        <f>SUM(ЦТО!BB163:BI163)</f>
        <v>0</v>
      </c>
      <c r="F259" s="64" t="str">
        <f>IF(E259&lt;10,'вспомогательные данные'!$C$26,IF(E259&lt;19,'вспомогательные данные'!$C$25,'вспомогательные данные'!$C$24))</f>
        <v>положительный</v>
      </c>
      <c r="G259" s="65">
        <f>(18-ЦТО!AM163-ЦТО!AL163)/(18-ЦТО!AL163-ЦТО!AP163)</f>
        <v>1</v>
      </c>
      <c r="H259" s="66" t="str">
        <f>IF(G259&lt;0.51,'вспомогательные данные'!$C$19,IF(G259&lt;0.92,'вспомогательные данные'!$C$20, IF(G259&lt;2,'вспомогательные данные'!$C$21,'вспомогательные данные'!$C$22)))</f>
        <v>оптимальная работоспособность</v>
      </c>
      <c r="I259" s="61" t="b">
        <f>IF(OR(ЦТО!AT163=1,ЦТО!AU163=1,ЦТО!AV163=1,ЦТО!AX163=1),"Положительная",IF(OR(ЦТО!AY163=1,ЦТО!AZ163=1,ЦТО!BA163=1),"Отрицательная",IF(OR(ЦТО!AW163=1),"Инфантильная")))</f>
        <v>0</v>
      </c>
    </row>
    <row r="260" spans="1:9">
      <c r="A260" s="62">
        <f>ЦТО!A164</f>
        <v>0</v>
      </c>
      <c r="B260" s="62">
        <f>ЦТО!B166</f>
        <v>0</v>
      </c>
      <c r="C260" s="67">
        <f>ЦТО!C164</f>
        <v>0</v>
      </c>
      <c r="D260" s="63">
        <f>ЦТО!D164</f>
        <v>0</v>
      </c>
      <c r="E260" s="68">
        <f>SUM(ЦТО!BB164:BI164)</f>
        <v>0</v>
      </c>
      <c r="F260" s="64" t="str">
        <f>IF(E260&lt;10,'вспомогательные данные'!$C$26,IF(E260&lt;19,'вспомогательные данные'!$C$25,'вспомогательные данные'!$C$24))</f>
        <v>положительный</v>
      </c>
      <c r="G260" s="65">
        <f>(18-ЦТО!AM164-ЦТО!AL164)/(18-ЦТО!AL164-ЦТО!AP164)</f>
        <v>1</v>
      </c>
      <c r="H260" s="66" t="str">
        <f>IF(G260&lt;0.51,'вспомогательные данные'!$C$19,IF(G260&lt;0.92,'вспомогательные данные'!$C$20, IF(G260&lt;2,'вспомогательные данные'!$C$21,'вспомогательные данные'!$C$22)))</f>
        <v>оптимальная работоспособность</v>
      </c>
      <c r="I260" s="61" t="b">
        <f>IF(OR(ЦТО!AT164=1,ЦТО!AU164=1,ЦТО!AV164=1,ЦТО!AX164=1),"Положительная",IF(OR(ЦТО!AY164=1,ЦТО!AZ164=1,ЦТО!BA164=1),"Отрицательная",IF(OR(ЦТО!AW164=1),"Инфантильная")))</f>
        <v>0</v>
      </c>
    </row>
    <row r="261" spans="1:9">
      <c r="A261" s="62">
        <f>ЦТО!A165</f>
        <v>0</v>
      </c>
      <c r="B261" s="62">
        <f>ЦТО!B167</f>
        <v>0</v>
      </c>
      <c r="C261" s="67">
        <f>ЦТО!C165</f>
        <v>0</v>
      </c>
      <c r="D261" s="63">
        <f>ЦТО!D165</f>
        <v>0</v>
      </c>
      <c r="E261" s="68">
        <f>SUM(ЦТО!BB165:BI165)</f>
        <v>0</v>
      </c>
      <c r="F261" s="64" t="str">
        <f>IF(E261&lt;10,'вспомогательные данные'!$C$26,IF(E261&lt;19,'вспомогательные данные'!$C$25,'вспомогательные данные'!$C$24))</f>
        <v>положительный</v>
      </c>
      <c r="G261" s="65">
        <f>(18-ЦТО!AM165-ЦТО!AL165)/(18-ЦТО!AL165-ЦТО!AP165)</f>
        <v>1</v>
      </c>
      <c r="H261" s="66" t="str">
        <f>IF(G261&lt;0.51,'вспомогательные данные'!$C$19,IF(G261&lt;0.92,'вспомогательные данные'!$C$20, IF(G261&lt;2,'вспомогательные данные'!$C$21,'вспомогательные данные'!$C$22)))</f>
        <v>оптимальная работоспособность</v>
      </c>
      <c r="I261" s="61" t="b">
        <f>IF(OR(ЦТО!AT165=1,ЦТО!AU165=1,ЦТО!AV165=1,ЦТО!AX165=1),"Положительная",IF(OR(ЦТО!AY165=1,ЦТО!AZ165=1,ЦТО!BA165=1),"Отрицательная",IF(OR(ЦТО!AW165=1),"Инфантильная")))</f>
        <v>0</v>
      </c>
    </row>
    <row r="262" spans="1:9">
      <c r="A262" s="62">
        <f>ЦТО!A166</f>
        <v>0</v>
      </c>
      <c r="B262" s="62">
        <f>ЦТО!B168</f>
        <v>0</v>
      </c>
      <c r="C262" s="67">
        <f>ЦТО!C166</f>
        <v>0</v>
      </c>
      <c r="D262" s="63">
        <f>ЦТО!D166</f>
        <v>0</v>
      </c>
      <c r="E262" s="68">
        <f>SUM(ЦТО!BB166:BI166)</f>
        <v>0</v>
      </c>
      <c r="F262" s="64" t="str">
        <f>IF(E262&lt;10,'вспомогательные данные'!$C$26,IF(E262&lt;19,'вспомогательные данные'!$C$25,'вспомогательные данные'!$C$24))</f>
        <v>положительный</v>
      </c>
      <c r="G262" s="65">
        <f>(18-ЦТО!AM166-ЦТО!AL166)/(18-ЦТО!AL166-ЦТО!AP166)</f>
        <v>1</v>
      </c>
      <c r="H262" s="66" t="str">
        <f>IF(G262&lt;0.51,'вспомогательные данные'!$C$19,IF(G262&lt;0.92,'вспомогательные данные'!$C$20, IF(G262&lt;2,'вспомогательные данные'!$C$21,'вспомогательные данные'!$C$22)))</f>
        <v>оптимальная работоспособность</v>
      </c>
      <c r="I262" s="61" t="b">
        <f>IF(OR(ЦТО!AT166=1,ЦТО!AU166=1,ЦТО!AV166=1,ЦТО!AX166=1),"Положительная",IF(OR(ЦТО!AY166=1,ЦТО!AZ166=1,ЦТО!BA166=1),"Отрицательная",IF(OR(ЦТО!AW166=1),"Инфантильная")))</f>
        <v>0</v>
      </c>
    </row>
    <row r="263" spans="1:9">
      <c r="A263" s="62">
        <f>ЦТО!A167</f>
        <v>0</v>
      </c>
      <c r="B263" s="62">
        <f>ЦТО!B169</f>
        <v>0</v>
      </c>
      <c r="C263" s="67">
        <f>ЦТО!C167</f>
        <v>0</v>
      </c>
      <c r="D263" s="63">
        <f>ЦТО!D167</f>
        <v>0</v>
      </c>
      <c r="E263" s="68">
        <f>SUM(ЦТО!BB167:BI167)</f>
        <v>0</v>
      </c>
      <c r="F263" s="64" t="str">
        <f>IF(E263&lt;10,'вспомогательные данные'!$C$26,IF(E263&lt;19,'вспомогательные данные'!$C$25,'вспомогательные данные'!$C$24))</f>
        <v>положительный</v>
      </c>
      <c r="G263" s="65">
        <f>(18-ЦТО!AM167-ЦТО!AL167)/(18-ЦТО!AL167-ЦТО!AP167)</f>
        <v>1</v>
      </c>
      <c r="H263" s="66" t="str">
        <f>IF(G263&lt;0.51,'вспомогательные данные'!$C$19,IF(G263&lt;0.92,'вспомогательные данные'!$C$20, IF(G263&lt;2,'вспомогательные данные'!$C$21,'вспомогательные данные'!$C$22)))</f>
        <v>оптимальная работоспособность</v>
      </c>
      <c r="I263" s="61" t="b">
        <f>IF(OR(ЦТО!AT167=1,ЦТО!AU167=1,ЦТО!AV167=1,ЦТО!AX167=1),"Положительная",IF(OR(ЦТО!AY167=1,ЦТО!AZ167=1,ЦТО!BA167=1),"Отрицательная",IF(OR(ЦТО!AW167=1),"Инфантильная")))</f>
        <v>0</v>
      </c>
    </row>
    <row r="264" spans="1:9">
      <c r="A264" s="62">
        <f>ЦТО!A168</f>
        <v>0</v>
      </c>
      <c r="B264" s="62">
        <f>ЦТО!B170</f>
        <v>0</v>
      </c>
      <c r="C264" s="67">
        <f>ЦТО!C168</f>
        <v>0</v>
      </c>
      <c r="D264" s="63">
        <f>ЦТО!D168</f>
        <v>0</v>
      </c>
      <c r="E264" s="68">
        <f>SUM(ЦТО!BB168:BI168)</f>
        <v>0</v>
      </c>
      <c r="F264" s="64" t="str">
        <f>IF(E264&lt;10,'вспомогательные данные'!$C$26,IF(E264&lt;19,'вспомогательные данные'!$C$25,'вспомогательные данные'!$C$24))</f>
        <v>положительный</v>
      </c>
      <c r="G264" s="65">
        <f>(18-ЦТО!AM168-ЦТО!AL168)/(18-ЦТО!AL168-ЦТО!AP168)</f>
        <v>1</v>
      </c>
      <c r="H264" s="66" t="str">
        <f>IF(G264&lt;0.51,'вспомогательные данные'!$C$19,IF(G264&lt;0.92,'вспомогательные данные'!$C$20, IF(G264&lt;2,'вспомогательные данные'!$C$21,'вспомогательные данные'!$C$22)))</f>
        <v>оптимальная работоспособность</v>
      </c>
      <c r="I264" s="61" t="b">
        <f>IF(OR(ЦТО!AT168=1,ЦТО!AU168=1,ЦТО!AV168=1,ЦТО!AX168=1),"Положительная",IF(OR(ЦТО!AY168=1,ЦТО!AZ168=1,ЦТО!BA168=1),"Отрицательная",IF(OR(ЦТО!AW168=1),"Инфантильная")))</f>
        <v>0</v>
      </c>
    </row>
    <row r="265" spans="1:9">
      <c r="A265" s="62">
        <f>ЦТО!A169</f>
        <v>0</v>
      </c>
      <c r="B265" s="62">
        <f>ЦТО!B171</f>
        <v>0</v>
      </c>
      <c r="C265" s="67">
        <f>ЦТО!C169</f>
        <v>0</v>
      </c>
      <c r="D265" s="63">
        <f>ЦТО!D169</f>
        <v>0</v>
      </c>
      <c r="E265" s="68">
        <f>SUM(ЦТО!BB169:BI169)</f>
        <v>0</v>
      </c>
      <c r="F265" s="64" t="str">
        <f>IF(E265&lt;10,'вспомогательные данные'!$C$26,IF(E265&lt;19,'вспомогательные данные'!$C$25,'вспомогательные данные'!$C$24))</f>
        <v>положительный</v>
      </c>
      <c r="G265" s="65">
        <f>(18-ЦТО!AM169-ЦТО!AL169)/(18-ЦТО!AL169-ЦТО!AP169)</f>
        <v>1</v>
      </c>
      <c r="H265" s="66" t="str">
        <f>IF(G265&lt;0.51,'вспомогательные данные'!$C$19,IF(G265&lt;0.92,'вспомогательные данные'!$C$20, IF(G265&lt;2,'вспомогательные данные'!$C$21,'вспомогательные данные'!$C$22)))</f>
        <v>оптимальная работоспособность</v>
      </c>
      <c r="I265" s="61" t="b">
        <f>IF(OR(ЦТО!AT169=1,ЦТО!AU169=1,ЦТО!AV169=1,ЦТО!AX169=1),"Положительная",IF(OR(ЦТО!AY169=1,ЦТО!AZ169=1,ЦТО!BA169=1),"Отрицательная",IF(OR(ЦТО!AW169=1),"Инфантильная")))</f>
        <v>0</v>
      </c>
    </row>
    <row r="266" spans="1:9">
      <c r="A266" s="62">
        <f>ЦТО!A170</f>
        <v>0</v>
      </c>
      <c r="B266" s="62">
        <f>ЦТО!B172</f>
        <v>0</v>
      </c>
      <c r="C266" s="67">
        <f>ЦТО!C170</f>
        <v>0</v>
      </c>
      <c r="D266" s="63">
        <f>ЦТО!D170</f>
        <v>0</v>
      </c>
      <c r="E266" s="68">
        <f>SUM(ЦТО!BB170:BI170)</f>
        <v>0</v>
      </c>
      <c r="F266" s="64" t="str">
        <f>IF(E266&lt;10,'вспомогательные данные'!$C$26,IF(E266&lt;19,'вспомогательные данные'!$C$25,'вспомогательные данные'!$C$24))</f>
        <v>положительный</v>
      </c>
      <c r="G266" s="65">
        <f>(18-ЦТО!AM170-ЦТО!AL170)/(18-ЦТО!AL170-ЦТО!AP170)</f>
        <v>1</v>
      </c>
      <c r="H266" s="66" t="str">
        <f>IF(G266&lt;0.51,'вспомогательные данные'!$C$19,IF(G266&lt;0.92,'вспомогательные данные'!$C$20, IF(G266&lt;2,'вспомогательные данные'!$C$21,'вспомогательные данные'!$C$22)))</f>
        <v>оптимальная работоспособность</v>
      </c>
      <c r="I266" s="61" t="b">
        <f>IF(OR(ЦТО!AT170=1,ЦТО!AU170=1,ЦТО!AV170=1,ЦТО!AX170=1),"Положительная",IF(OR(ЦТО!AY170=1,ЦТО!AZ170=1,ЦТО!BA170=1),"Отрицательная",IF(OR(ЦТО!AW170=1),"Инфантильная")))</f>
        <v>0</v>
      </c>
    </row>
    <row r="267" spans="1:9">
      <c r="A267" s="62">
        <f>ЦТО!A171</f>
        <v>0</v>
      </c>
      <c r="B267" s="62">
        <f>ЦТО!B173</f>
        <v>0</v>
      </c>
      <c r="C267" s="67">
        <f>ЦТО!C171</f>
        <v>0</v>
      </c>
      <c r="D267" s="63">
        <f>ЦТО!D171</f>
        <v>0</v>
      </c>
      <c r="E267" s="68">
        <f>SUM(ЦТО!BB171:BI171)</f>
        <v>0</v>
      </c>
      <c r="F267" s="64" t="str">
        <f>IF(E267&lt;10,'вспомогательные данные'!$C$26,IF(E267&lt;19,'вспомогательные данные'!$C$25,'вспомогательные данные'!$C$24))</f>
        <v>положительный</v>
      </c>
      <c r="G267" s="65">
        <f>(18-ЦТО!AM171-ЦТО!AL171)/(18-ЦТО!AL171-ЦТО!AP171)</f>
        <v>1</v>
      </c>
      <c r="H267" s="66" t="str">
        <f>IF(G267&lt;0.51,'вспомогательные данные'!$C$19,IF(G267&lt;0.92,'вспомогательные данные'!$C$20, IF(G267&lt;2,'вспомогательные данные'!$C$21,'вспомогательные данные'!$C$22)))</f>
        <v>оптимальная работоспособность</v>
      </c>
      <c r="I267" s="61" t="b">
        <f>IF(OR(ЦТО!AT171=1,ЦТО!AU171=1,ЦТО!AV171=1,ЦТО!AX171=1),"Положительная",IF(OR(ЦТО!AY171=1,ЦТО!AZ171=1,ЦТО!BA171=1),"Отрицательная",IF(OR(ЦТО!AW171=1),"Инфантильная")))</f>
        <v>0</v>
      </c>
    </row>
    <row r="268" spans="1:9">
      <c r="A268" s="62">
        <f>ЦТО!A172</f>
        <v>0</v>
      </c>
      <c r="B268" s="62">
        <f>ЦТО!B174</f>
        <v>0</v>
      </c>
      <c r="C268" s="67">
        <f>ЦТО!C172</f>
        <v>0</v>
      </c>
      <c r="D268" s="63">
        <f>ЦТО!D172</f>
        <v>0</v>
      </c>
      <c r="E268" s="68">
        <f>SUM(ЦТО!BB172:BI172)</f>
        <v>0</v>
      </c>
      <c r="F268" s="64" t="str">
        <f>IF(E268&lt;10,'вспомогательные данные'!$C$26,IF(E268&lt;19,'вспомогательные данные'!$C$25,'вспомогательные данные'!$C$24))</f>
        <v>положительный</v>
      </c>
      <c r="G268" s="65">
        <f>(18-ЦТО!AM172-ЦТО!AL172)/(18-ЦТО!AL172-ЦТО!AP172)</f>
        <v>1</v>
      </c>
      <c r="H268" s="66" t="str">
        <f>IF(G268&lt;0.51,'вспомогательные данные'!$C$19,IF(G268&lt;0.92,'вспомогательные данные'!$C$20, IF(G268&lt;2,'вспомогательные данные'!$C$21,'вспомогательные данные'!$C$22)))</f>
        <v>оптимальная работоспособность</v>
      </c>
      <c r="I268" s="61" t="b">
        <f>IF(OR(ЦТО!AT172=1,ЦТО!AU172=1,ЦТО!AV172=1,ЦТО!AX172=1),"Положительная",IF(OR(ЦТО!AY172=1,ЦТО!AZ172=1,ЦТО!BA172=1),"Отрицательная",IF(OR(ЦТО!AW172=1),"Инфантильная")))</f>
        <v>0</v>
      </c>
    </row>
    <row r="269" spans="1:9">
      <c r="A269" s="62">
        <f>ЦТО!A173</f>
        <v>0</v>
      </c>
      <c r="B269" s="62">
        <f>ЦТО!B175</f>
        <v>0</v>
      </c>
      <c r="C269" s="67">
        <f>ЦТО!C173</f>
        <v>0</v>
      </c>
      <c r="D269" s="63">
        <f>ЦТО!D173</f>
        <v>0</v>
      </c>
      <c r="E269" s="68">
        <f>SUM(ЦТО!BB173:BI173)</f>
        <v>0</v>
      </c>
      <c r="F269" s="64" t="str">
        <f>IF(E269&lt;10,'вспомогательные данные'!$C$26,IF(E269&lt;19,'вспомогательные данные'!$C$25,'вспомогательные данные'!$C$24))</f>
        <v>положительный</v>
      </c>
      <c r="G269" s="65">
        <f>(18-ЦТО!AM173-ЦТО!AL173)/(18-ЦТО!AL173-ЦТО!AP173)</f>
        <v>1</v>
      </c>
      <c r="H269" s="66" t="str">
        <f>IF(G269&lt;0.51,'вспомогательные данные'!$C$19,IF(G269&lt;0.92,'вспомогательные данные'!$C$20, IF(G269&lt;2,'вспомогательные данные'!$C$21,'вспомогательные данные'!$C$22)))</f>
        <v>оптимальная работоспособность</v>
      </c>
      <c r="I269" s="61" t="b">
        <f>IF(OR(ЦТО!AT173=1,ЦТО!AU173=1,ЦТО!AV173=1,ЦТО!AX173=1),"Положительная",IF(OR(ЦТО!AY173=1,ЦТО!AZ173=1,ЦТО!BA173=1),"Отрицательная",IF(OR(ЦТО!AW173=1),"Инфантильная")))</f>
        <v>0</v>
      </c>
    </row>
    <row r="270" spans="1:9">
      <c r="A270" s="62">
        <f>ЦТО!A174</f>
        <v>0</v>
      </c>
      <c r="B270" s="62">
        <f>ЦТО!B176</f>
        <v>0</v>
      </c>
      <c r="C270" s="67">
        <f>ЦТО!C174</f>
        <v>0</v>
      </c>
      <c r="D270" s="63">
        <f>ЦТО!D174</f>
        <v>0</v>
      </c>
      <c r="E270" s="68">
        <f>SUM(ЦТО!BB174:BI174)</f>
        <v>0</v>
      </c>
      <c r="F270" s="64" t="str">
        <f>IF(E270&lt;10,'вспомогательные данные'!$C$26,IF(E270&lt;19,'вспомогательные данные'!$C$25,'вспомогательные данные'!$C$24))</f>
        <v>положительный</v>
      </c>
      <c r="G270" s="65">
        <f>(18-ЦТО!AM174-ЦТО!AL174)/(18-ЦТО!AL174-ЦТО!AP174)</f>
        <v>1</v>
      </c>
      <c r="H270" s="66" t="str">
        <f>IF(G270&lt;0.51,'вспомогательные данные'!$C$19,IF(G270&lt;0.92,'вспомогательные данные'!$C$20, IF(G270&lt;2,'вспомогательные данные'!$C$21,'вспомогательные данные'!$C$22)))</f>
        <v>оптимальная работоспособность</v>
      </c>
      <c r="I270" s="61" t="b">
        <f>IF(OR(ЦТО!AT174=1,ЦТО!AU174=1,ЦТО!AV174=1,ЦТО!AX174=1),"Положительная",IF(OR(ЦТО!AY174=1,ЦТО!AZ174=1,ЦТО!BA174=1),"Отрицательная",IF(OR(ЦТО!AW174=1),"Инфантильная")))</f>
        <v>0</v>
      </c>
    </row>
    <row r="271" spans="1:9">
      <c r="A271" s="62">
        <f>ЦТО!A175</f>
        <v>0</v>
      </c>
      <c r="B271" s="62">
        <f>ЦТО!B177</f>
        <v>0</v>
      </c>
      <c r="C271" s="67">
        <f>ЦТО!C175</f>
        <v>0</v>
      </c>
      <c r="D271" s="63">
        <f>ЦТО!D175</f>
        <v>0</v>
      </c>
      <c r="E271" s="68">
        <f>SUM(ЦТО!BB175:BI175)</f>
        <v>0</v>
      </c>
      <c r="F271" s="64" t="str">
        <f>IF(E271&lt;10,'вспомогательные данные'!$C$26,IF(E271&lt;19,'вспомогательные данные'!$C$25,'вспомогательные данные'!$C$24))</f>
        <v>положительный</v>
      </c>
      <c r="G271" s="65">
        <f>(18-ЦТО!AM175-ЦТО!AL175)/(18-ЦТО!AL175-ЦТО!AP175)</f>
        <v>1</v>
      </c>
      <c r="H271" s="66" t="str">
        <f>IF(G271&lt;0.51,'вспомогательные данные'!$C$19,IF(G271&lt;0.92,'вспомогательные данные'!$C$20, IF(G271&lt;2,'вспомогательные данные'!$C$21,'вспомогательные данные'!$C$22)))</f>
        <v>оптимальная работоспособность</v>
      </c>
      <c r="I271" s="61" t="b">
        <f>IF(OR(ЦТО!AT175=1,ЦТО!AU175=1,ЦТО!AV175=1,ЦТО!AX175=1),"Положительная",IF(OR(ЦТО!AY175=1,ЦТО!AZ175=1,ЦТО!BA175=1),"Отрицательная",IF(OR(ЦТО!AW175=1),"Инфантильная")))</f>
        <v>0</v>
      </c>
    </row>
    <row r="272" spans="1:9">
      <c r="A272" s="62">
        <f>ЦТО!A176</f>
        <v>0</v>
      </c>
      <c r="B272" s="62">
        <f>ЦТО!B178</f>
        <v>0</v>
      </c>
      <c r="C272" s="67">
        <f>ЦТО!C176</f>
        <v>0</v>
      </c>
      <c r="D272" s="63">
        <f>ЦТО!D176</f>
        <v>0</v>
      </c>
      <c r="E272" s="68">
        <f>SUM(ЦТО!BB176:BI176)</f>
        <v>0</v>
      </c>
      <c r="F272" s="64" t="str">
        <f>IF(E272&lt;10,'вспомогательные данные'!$C$26,IF(E272&lt;19,'вспомогательные данные'!$C$25,'вспомогательные данные'!$C$24))</f>
        <v>положительный</v>
      </c>
      <c r="G272" s="65">
        <f>(18-ЦТО!AM176-ЦТО!AL176)/(18-ЦТО!AL176-ЦТО!AP176)</f>
        <v>1</v>
      </c>
      <c r="H272" s="66" t="str">
        <f>IF(G272&lt;0.51,'вспомогательные данные'!$C$19,IF(G272&lt;0.92,'вспомогательные данные'!$C$20, IF(G272&lt;2,'вспомогательные данные'!$C$21,'вспомогательные данные'!$C$22)))</f>
        <v>оптимальная работоспособность</v>
      </c>
      <c r="I272" s="61" t="b">
        <f>IF(OR(ЦТО!AT176=1,ЦТО!AU176=1,ЦТО!AV176=1,ЦТО!AX176=1),"Положительная",IF(OR(ЦТО!AY176=1,ЦТО!AZ176=1,ЦТО!BA176=1),"Отрицательная",IF(OR(ЦТО!AW176=1),"Инфантильная")))</f>
        <v>0</v>
      </c>
    </row>
    <row r="273" spans="1:9">
      <c r="A273" s="62">
        <f>ЦТО!A177</f>
        <v>0</v>
      </c>
      <c r="B273" s="62">
        <f>ЦТО!B179</f>
        <v>0</v>
      </c>
      <c r="C273" s="67">
        <f>ЦТО!C177</f>
        <v>0</v>
      </c>
      <c r="D273" s="63">
        <f>ЦТО!D177</f>
        <v>0</v>
      </c>
      <c r="E273" s="68">
        <f>SUM(ЦТО!BB177:BI177)</f>
        <v>0</v>
      </c>
      <c r="F273" s="64" t="str">
        <f>IF(E273&lt;10,'вспомогательные данные'!$C$26,IF(E273&lt;19,'вспомогательные данные'!$C$25,'вспомогательные данные'!$C$24))</f>
        <v>положительный</v>
      </c>
      <c r="G273" s="65">
        <f>(18-ЦТО!AM177-ЦТО!AL177)/(18-ЦТО!AL177-ЦТО!AP177)</f>
        <v>1</v>
      </c>
      <c r="H273" s="66" t="str">
        <f>IF(G273&lt;0.51,'вспомогательные данные'!$C$19,IF(G273&lt;0.92,'вспомогательные данные'!$C$20, IF(G273&lt;2,'вспомогательные данные'!$C$21,'вспомогательные данные'!$C$22)))</f>
        <v>оптимальная работоспособность</v>
      </c>
      <c r="I273" s="61" t="b">
        <f>IF(OR(ЦТО!AT177=1,ЦТО!AU177=1,ЦТО!AV177=1,ЦТО!AX177=1),"Положительная",IF(OR(ЦТО!AY177=1,ЦТО!AZ177=1,ЦТО!BA177=1),"Отрицательная",IF(OR(ЦТО!AW177=1),"Инфантильная")))</f>
        <v>0</v>
      </c>
    </row>
    <row r="274" spans="1:9">
      <c r="A274" s="62">
        <f>ЦТО!A178</f>
        <v>0</v>
      </c>
      <c r="B274" s="62">
        <f>ЦТО!B180</f>
        <v>0</v>
      </c>
      <c r="C274" s="67">
        <f>ЦТО!C178</f>
        <v>0</v>
      </c>
      <c r="D274" s="63">
        <f>ЦТО!D178</f>
        <v>0</v>
      </c>
      <c r="E274" s="68">
        <f>SUM(ЦТО!BB178:BI178)</f>
        <v>0</v>
      </c>
      <c r="F274" s="64" t="str">
        <f>IF(E274&lt;10,'вспомогательные данные'!$C$26,IF(E274&lt;19,'вспомогательные данные'!$C$25,'вспомогательные данные'!$C$24))</f>
        <v>положительный</v>
      </c>
      <c r="G274" s="65">
        <f>(18-ЦТО!AM178-ЦТО!AL178)/(18-ЦТО!AL178-ЦТО!AP178)</f>
        <v>1</v>
      </c>
      <c r="H274" s="66" t="str">
        <f>IF(G274&lt;0.51,'вспомогательные данные'!$C$19,IF(G274&lt;0.92,'вспомогательные данные'!$C$20, IF(G274&lt;2,'вспомогательные данные'!$C$21,'вспомогательные данные'!$C$22)))</f>
        <v>оптимальная работоспособность</v>
      </c>
      <c r="I274" s="61" t="b">
        <f>IF(OR(ЦТО!AT178=1,ЦТО!AU178=1,ЦТО!AV178=1,ЦТО!AX178=1),"Положительная",IF(OR(ЦТО!AY178=1,ЦТО!AZ178=1,ЦТО!BA178=1),"Отрицательная",IF(OR(ЦТО!AW178=1),"Инфантильная")))</f>
        <v>0</v>
      </c>
    </row>
    <row r="275" spans="1:9">
      <c r="A275" s="62">
        <f>ЦТО!A179</f>
        <v>0</v>
      </c>
      <c r="B275" s="62">
        <f>ЦТО!B181</f>
        <v>0</v>
      </c>
      <c r="C275" s="67">
        <f>ЦТО!C179</f>
        <v>0</v>
      </c>
      <c r="D275" s="63">
        <f>ЦТО!D179</f>
        <v>0</v>
      </c>
      <c r="E275" s="68">
        <f>SUM(ЦТО!BB179:BI179)</f>
        <v>0</v>
      </c>
      <c r="F275" s="64" t="str">
        <f>IF(E275&lt;10,'вспомогательные данные'!$C$26,IF(E275&lt;19,'вспомогательные данные'!$C$25,'вспомогательные данные'!$C$24))</f>
        <v>положительный</v>
      </c>
      <c r="G275" s="65">
        <f>(18-ЦТО!AM179-ЦТО!AL179)/(18-ЦТО!AL179-ЦТО!AP179)</f>
        <v>1</v>
      </c>
      <c r="H275" s="66" t="str">
        <f>IF(G275&lt;0.51,'вспомогательные данные'!$C$19,IF(G275&lt;0.92,'вспомогательные данные'!$C$20, IF(G275&lt;2,'вспомогательные данные'!$C$21,'вспомогательные данные'!$C$22)))</f>
        <v>оптимальная работоспособность</v>
      </c>
      <c r="I275" s="61" t="b">
        <f>IF(OR(ЦТО!AT179=1,ЦТО!AU179=1,ЦТО!AV179=1,ЦТО!AX179=1),"Положительная",IF(OR(ЦТО!AY179=1,ЦТО!AZ179=1,ЦТО!BA179=1),"Отрицательная",IF(OR(ЦТО!AW179=1),"Инфантильная")))</f>
        <v>0</v>
      </c>
    </row>
    <row r="276" spans="1:9">
      <c r="A276" s="62">
        <f>ЦТО!A180</f>
        <v>0</v>
      </c>
      <c r="B276" s="62">
        <f>ЦТО!B182</f>
        <v>0</v>
      </c>
      <c r="C276" s="67">
        <f>ЦТО!C180</f>
        <v>0</v>
      </c>
      <c r="D276" s="63">
        <f>ЦТО!D180</f>
        <v>0</v>
      </c>
      <c r="E276" s="68">
        <f>SUM(ЦТО!BB180:BI180)</f>
        <v>0</v>
      </c>
      <c r="F276" s="64" t="str">
        <f>IF(E276&lt;10,'вспомогательные данные'!$C$26,IF(E276&lt;19,'вспомогательные данные'!$C$25,'вспомогательные данные'!$C$24))</f>
        <v>положительный</v>
      </c>
      <c r="G276" s="65">
        <f>(18-ЦТО!AM180-ЦТО!AL180)/(18-ЦТО!AL180-ЦТО!AP180)</f>
        <v>1</v>
      </c>
      <c r="H276" s="66" t="str">
        <f>IF(G276&lt;0.51,'вспомогательные данные'!$C$19,IF(G276&lt;0.92,'вспомогательные данные'!$C$20, IF(G276&lt;2,'вспомогательные данные'!$C$21,'вспомогательные данные'!$C$22)))</f>
        <v>оптимальная работоспособность</v>
      </c>
      <c r="I276" s="61" t="b">
        <f>IF(OR(ЦТО!AT180=1,ЦТО!AU180=1,ЦТО!AV180=1,ЦТО!AX180=1),"Положительная",IF(OR(ЦТО!AY180=1,ЦТО!AZ180=1,ЦТО!BA180=1),"Отрицательная",IF(OR(ЦТО!AW180=1),"Инфантильная")))</f>
        <v>0</v>
      </c>
    </row>
    <row r="277" spans="1:9">
      <c r="A277" s="62">
        <f>ЦТО!A181</f>
        <v>0</v>
      </c>
      <c r="B277" s="62">
        <f>ЦТО!B183</f>
        <v>0</v>
      </c>
      <c r="C277" s="67">
        <f>ЦТО!C181</f>
        <v>0</v>
      </c>
      <c r="D277" s="63">
        <f>ЦТО!D181</f>
        <v>0</v>
      </c>
      <c r="E277" s="68">
        <f>SUM(ЦТО!BB181:BI181)</f>
        <v>0</v>
      </c>
      <c r="F277" s="64" t="str">
        <f>IF(E277&lt;10,'вспомогательные данные'!$C$26,IF(E277&lt;19,'вспомогательные данные'!$C$25,'вспомогательные данные'!$C$24))</f>
        <v>положительный</v>
      </c>
      <c r="G277" s="65">
        <f>(18-ЦТО!AM181-ЦТО!AL181)/(18-ЦТО!AL181-ЦТО!AP181)</f>
        <v>1</v>
      </c>
      <c r="H277" s="66" t="str">
        <f>IF(G277&lt;0.51,'вспомогательные данные'!$C$19,IF(G277&lt;0.92,'вспомогательные данные'!$C$20, IF(G277&lt;2,'вспомогательные данные'!$C$21,'вспомогательные данные'!$C$22)))</f>
        <v>оптимальная работоспособность</v>
      </c>
      <c r="I277" s="61" t="b">
        <f>IF(OR(ЦТО!AT181=1,ЦТО!AU181=1,ЦТО!AV181=1,ЦТО!AX181=1),"Положительная",IF(OR(ЦТО!AY181=1,ЦТО!AZ181=1,ЦТО!BA181=1),"Отрицательная",IF(OR(ЦТО!AW181=1),"Инфантильная")))</f>
        <v>0</v>
      </c>
    </row>
    <row r="278" spans="1:9">
      <c r="A278" s="62">
        <f>ЦТО!A182</f>
        <v>0</v>
      </c>
      <c r="B278" s="62">
        <f>ЦТО!B184</f>
        <v>0</v>
      </c>
      <c r="C278" s="67">
        <f>ЦТО!C182</f>
        <v>0</v>
      </c>
      <c r="D278" s="63">
        <f>ЦТО!D182</f>
        <v>0</v>
      </c>
      <c r="E278" s="68">
        <f>SUM(ЦТО!BB182:BI182)</f>
        <v>0</v>
      </c>
      <c r="F278" s="64" t="str">
        <f>IF(E278&lt;10,'вспомогательные данные'!$C$26,IF(E278&lt;19,'вспомогательные данные'!$C$25,'вспомогательные данные'!$C$24))</f>
        <v>положительный</v>
      </c>
      <c r="G278" s="65">
        <f>(18-ЦТО!AM182-ЦТО!AL182)/(18-ЦТО!AL182-ЦТО!AP182)</f>
        <v>1</v>
      </c>
      <c r="H278" s="66" t="str">
        <f>IF(G278&lt;0.51,'вспомогательные данные'!$C$19,IF(G278&lt;0.92,'вспомогательные данные'!$C$20, IF(G278&lt;2,'вспомогательные данные'!$C$21,'вспомогательные данные'!$C$22)))</f>
        <v>оптимальная работоспособность</v>
      </c>
      <c r="I278" s="61" t="b">
        <f>IF(OR(ЦТО!AT182=1,ЦТО!AU182=1,ЦТО!AV182=1,ЦТО!AX182=1),"Положительная",IF(OR(ЦТО!AY182=1,ЦТО!AZ182=1,ЦТО!BA182=1),"Отрицательная",IF(OR(ЦТО!AW182=1),"Инфантильная")))</f>
        <v>0</v>
      </c>
    </row>
    <row r="279" spans="1:9">
      <c r="A279" s="62">
        <f>ЦТО!A183</f>
        <v>0</v>
      </c>
      <c r="B279" s="62">
        <f>ЦТО!B185</f>
        <v>0</v>
      </c>
      <c r="C279" s="67">
        <f>ЦТО!C183</f>
        <v>0</v>
      </c>
      <c r="D279" s="63">
        <f>ЦТО!D183</f>
        <v>0</v>
      </c>
      <c r="E279" s="68">
        <f>SUM(ЦТО!BB183:BI183)</f>
        <v>0</v>
      </c>
      <c r="F279" s="64" t="str">
        <f>IF(E279&lt;10,'вспомогательные данные'!$C$26,IF(E279&lt;19,'вспомогательные данные'!$C$25,'вспомогательные данные'!$C$24))</f>
        <v>положительный</v>
      </c>
      <c r="G279" s="65">
        <f>(18-ЦТО!AM183-ЦТО!AL183)/(18-ЦТО!AL183-ЦТО!AP183)</f>
        <v>1</v>
      </c>
      <c r="H279" s="66" t="str">
        <f>IF(G279&lt;0.51,'вспомогательные данные'!$C$19,IF(G279&lt;0.92,'вспомогательные данные'!$C$20, IF(G279&lt;2,'вспомогательные данные'!$C$21,'вспомогательные данные'!$C$22)))</f>
        <v>оптимальная работоспособность</v>
      </c>
      <c r="I279" s="61" t="b">
        <f>IF(OR(ЦТО!AT183=1,ЦТО!AU183=1,ЦТО!AV183=1,ЦТО!AX183=1),"Положительная",IF(OR(ЦТО!AY183=1,ЦТО!AZ183=1,ЦТО!BA183=1),"Отрицательная",IF(OR(ЦТО!AW183=1),"Инфантильная")))</f>
        <v>0</v>
      </c>
    </row>
    <row r="280" spans="1:9">
      <c r="A280" s="62">
        <f>ЦТО!A184</f>
        <v>0</v>
      </c>
      <c r="B280" s="62">
        <f>ЦТО!B186</f>
        <v>0</v>
      </c>
      <c r="C280" s="67">
        <f>ЦТО!C184</f>
        <v>0</v>
      </c>
      <c r="D280" s="63">
        <f>ЦТО!D184</f>
        <v>0</v>
      </c>
      <c r="E280" s="68">
        <f>SUM(ЦТО!BB184:BI184)</f>
        <v>0</v>
      </c>
      <c r="F280" s="64" t="str">
        <f>IF(E280&lt;10,'вспомогательные данные'!$C$26,IF(E280&lt;19,'вспомогательные данные'!$C$25,'вспомогательные данные'!$C$24))</f>
        <v>положительный</v>
      </c>
      <c r="G280" s="65">
        <f>(18-ЦТО!AM184-ЦТО!AL184)/(18-ЦТО!AL184-ЦТО!AP184)</f>
        <v>1</v>
      </c>
      <c r="H280" s="66" t="str">
        <f>IF(G280&lt;0.51,'вспомогательные данные'!$C$19,IF(G280&lt;0.92,'вспомогательные данные'!$C$20, IF(G280&lt;2,'вспомогательные данные'!$C$21,'вспомогательные данные'!$C$22)))</f>
        <v>оптимальная работоспособность</v>
      </c>
      <c r="I280" s="61" t="b">
        <f>IF(OR(ЦТО!AT184=1,ЦТО!AU184=1,ЦТО!AV184=1,ЦТО!AX184=1),"Положительная",IF(OR(ЦТО!AY184=1,ЦТО!AZ184=1,ЦТО!BA184=1),"Отрицательная",IF(OR(ЦТО!AW184=1),"Инфантильная")))</f>
        <v>0</v>
      </c>
    </row>
    <row r="281" spans="1:9">
      <c r="A281" s="62">
        <f>ЦТО!A185</f>
        <v>0</v>
      </c>
      <c r="B281" s="62">
        <f>ЦТО!B187</f>
        <v>0</v>
      </c>
      <c r="C281" s="67">
        <f>ЦТО!C185</f>
        <v>0</v>
      </c>
      <c r="D281" s="63">
        <f>ЦТО!D185</f>
        <v>0</v>
      </c>
      <c r="E281" s="68">
        <f>SUM(ЦТО!BB185:BI185)</f>
        <v>0</v>
      </c>
      <c r="F281" s="64" t="str">
        <f>IF(E281&lt;10,'вспомогательные данные'!$C$26,IF(E281&lt;19,'вспомогательные данные'!$C$25,'вспомогательные данные'!$C$24))</f>
        <v>положительный</v>
      </c>
      <c r="G281" s="65">
        <f>(18-ЦТО!AM185-ЦТО!AL185)/(18-ЦТО!AL185-ЦТО!AP185)</f>
        <v>1</v>
      </c>
      <c r="H281" s="66" t="str">
        <f>IF(G281&lt;0.51,'вспомогательные данные'!$C$19,IF(G281&lt;0.92,'вспомогательные данные'!$C$20, IF(G281&lt;2,'вспомогательные данные'!$C$21,'вспомогательные данные'!$C$22)))</f>
        <v>оптимальная работоспособность</v>
      </c>
      <c r="I281" s="61" t="b">
        <f>IF(OR(ЦТО!AT185=1,ЦТО!AU185=1,ЦТО!AV185=1,ЦТО!AX185=1),"Положительная",IF(OR(ЦТО!AY185=1,ЦТО!AZ185=1,ЦТО!BA185=1),"Отрицательная",IF(OR(ЦТО!AW185=1),"Инфантильная")))</f>
        <v>0</v>
      </c>
    </row>
    <row r="282" spans="1:9">
      <c r="A282" s="62">
        <f>ЦТО!A186</f>
        <v>0</v>
      </c>
      <c r="B282" s="62">
        <f>ЦТО!B188</f>
        <v>0</v>
      </c>
      <c r="C282" s="67">
        <f>ЦТО!C186</f>
        <v>0</v>
      </c>
      <c r="D282" s="63">
        <f>ЦТО!D186</f>
        <v>0</v>
      </c>
      <c r="E282" s="68">
        <f>SUM(ЦТО!BB186:BI186)</f>
        <v>0</v>
      </c>
      <c r="F282" s="64" t="str">
        <f>IF(E282&lt;10,'вспомогательные данные'!$C$26,IF(E282&lt;19,'вспомогательные данные'!$C$25,'вспомогательные данные'!$C$24))</f>
        <v>положительный</v>
      </c>
      <c r="G282" s="65">
        <f>(18-ЦТО!AM186-ЦТО!AL186)/(18-ЦТО!AL186-ЦТО!AP186)</f>
        <v>1</v>
      </c>
      <c r="H282" s="66" t="str">
        <f>IF(G282&lt;0.51,'вспомогательные данные'!$C$19,IF(G282&lt;0.92,'вспомогательные данные'!$C$20, IF(G282&lt;2,'вспомогательные данные'!$C$21,'вспомогательные данные'!$C$22)))</f>
        <v>оптимальная работоспособность</v>
      </c>
      <c r="I282" s="61" t="b">
        <f>IF(OR(ЦТО!AT186=1,ЦТО!AU186=1,ЦТО!AV186=1,ЦТО!AX186=1),"Положительная",IF(OR(ЦТО!AY186=1,ЦТО!AZ186=1,ЦТО!BA186=1),"Отрицательная",IF(OR(ЦТО!AW186=1),"Инфантильная")))</f>
        <v>0</v>
      </c>
    </row>
    <row r="283" spans="1:9">
      <c r="A283" s="62">
        <f>ЦТО!A187</f>
        <v>0</v>
      </c>
      <c r="B283" s="62">
        <f>ЦТО!B189</f>
        <v>0</v>
      </c>
      <c r="C283" s="67">
        <f>ЦТО!C187</f>
        <v>0</v>
      </c>
      <c r="D283" s="63">
        <f>ЦТО!D187</f>
        <v>0</v>
      </c>
      <c r="E283" s="68">
        <f>SUM(ЦТО!BB187:BI187)</f>
        <v>0</v>
      </c>
      <c r="F283" s="64" t="str">
        <f>IF(E283&lt;10,'вспомогательные данные'!$C$26,IF(E283&lt;19,'вспомогательные данные'!$C$25,'вспомогательные данные'!$C$24))</f>
        <v>положительный</v>
      </c>
      <c r="G283" s="65">
        <f>(18-ЦТО!AM187-ЦТО!AL187)/(18-ЦТО!AL187-ЦТО!AP187)</f>
        <v>1</v>
      </c>
      <c r="H283" s="66" t="str">
        <f>IF(G283&lt;0.51,'вспомогательные данные'!$C$19,IF(G283&lt;0.92,'вспомогательные данные'!$C$20, IF(G283&lt;2,'вспомогательные данные'!$C$21,'вспомогательные данные'!$C$22)))</f>
        <v>оптимальная работоспособность</v>
      </c>
      <c r="I283" s="61" t="b">
        <f>IF(OR(ЦТО!AT187=1,ЦТО!AU187=1,ЦТО!AV187=1,ЦТО!AX187=1),"Положительная",IF(OR(ЦТО!AY187=1,ЦТО!AZ187=1,ЦТО!BA187=1),"Отрицательная",IF(OR(ЦТО!AW187=1),"Инфантильная")))</f>
        <v>0</v>
      </c>
    </row>
    <row r="284" spans="1:9">
      <c r="A284" s="62">
        <f>ЦТО!A188</f>
        <v>0</v>
      </c>
      <c r="B284" s="62">
        <f>ЦТО!B190</f>
        <v>0</v>
      </c>
      <c r="C284" s="67">
        <f>ЦТО!C188</f>
        <v>0</v>
      </c>
      <c r="D284" s="63">
        <f>ЦТО!D188</f>
        <v>0</v>
      </c>
      <c r="E284" s="68">
        <f>SUM(ЦТО!BB188:BI188)</f>
        <v>0</v>
      </c>
      <c r="F284" s="64" t="str">
        <f>IF(E284&lt;10,'вспомогательные данные'!$C$26,IF(E284&lt;19,'вспомогательные данные'!$C$25,'вспомогательные данные'!$C$24))</f>
        <v>положительный</v>
      </c>
      <c r="G284" s="65">
        <f>(18-ЦТО!AM188-ЦТО!AL188)/(18-ЦТО!AL188-ЦТО!AP188)</f>
        <v>1</v>
      </c>
      <c r="H284" s="66" t="str">
        <f>IF(G284&lt;0.51,'вспомогательные данные'!$C$19,IF(G284&lt;0.92,'вспомогательные данные'!$C$20, IF(G284&lt;2,'вспомогательные данные'!$C$21,'вспомогательные данные'!$C$22)))</f>
        <v>оптимальная работоспособность</v>
      </c>
      <c r="I284" s="61" t="b">
        <f>IF(OR(ЦТО!AT188=1,ЦТО!AU188=1,ЦТО!AV188=1,ЦТО!AX188=1),"Положительная",IF(OR(ЦТО!AY188=1,ЦТО!AZ188=1,ЦТО!BA188=1),"Отрицательная",IF(OR(ЦТО!AW188=1),"Инфантильная")))</f>
        <v>0</v>
      </c>
    </row>
    <row r="285" spans="1:9">
      <c r="A285" s="62">
        <f>ЦТО!A189</f>
        <v>0</v>
      </c>
      <c r="B285" s="62">
        <f>ЦТО!B191</f>
        <v>0</v>
      </c>
      <c r="C285" s="67">
        <f>ЦТО!C189</f>
        <v>0</v>
      </c>
      <c r="D285" s="63">
        <f>ЦТО!D189</f>
        <v>0</v>
      </c>
      <c r="E285" s="68">
        <f>SUM(ЦТО!BB189:BI189)</f>
        <v>0</v>
      </c>
      <c r="F285" s="64" t="str">
        <f>IF(E285&lt;10,'вспомогательные данные'!$C$26,IF(E285&lt;19,'вспомогательные данные'!$C$25,'вспомогательные данные'!$C$24))</f>
        <v>положительный</v>
      </c>
      <c r="G285" s="65">
        <f>(18-ЦТО!AM189-ЦТО!AL189)/(18-ЦТО!AL189-ЦТО!AP189)</f>
        <v>1</v>
      </c>
      <c r="H285" s="66" t="str">
        <f>IF(G285&lt;0.51,'вспомогательные данные'!$C$19,IF(G285&lt;0.92,'вспомогательные данные'!$C$20, IF(G285&lt;2,'вспомогательные данные'!$C$21,'вспомогательные данные'!$C$22)))</f>
        <v>оптимальная работоспособность</v>
      </c>
      <c r="I285" s="61" t="b">
        <f>IF(OR(ЦТО!AT189=1,ЦТО!AU189=1,ЦТО!AV189=1,ЦТО!AX189=1),"Положительная",IF(OR(ЦТО!AY189=1,ЦТО!AZ189=1,ЦТО!BA189=1),"Отрицательная",IF(OR(ЦТО!AW189=1),"Инфантильная")))</f>
        <v>0</v>
      </c>
    </row>
    <row r="286" spans="1:9">
      <c r="A286" s="62">
        <f>ЦТО!A190</f>
        <v>0</v>
      </c>
      <c r="B286" s="62">
        <f>ЦТО!B192</f>
        <v>0</v>
      </c>
      <c r="C286" s="67">
        <f>ЦТО!C190</f>
        <v>0</v>
      </c>
      <c r="D286" s="63">
        <f>ЦТО!D190</f>
        <v>0</v>
      </c>
      <c r="E286" s="68">
        <f>SUM(ЦТО!BB190:BI190)</f>
        <v>0</v>
      </c>
      <c r="F286" s="64" t="str">
        <f>IF(E286&lt;10,'вспомогательные данные'!$C$26,IF(E286&lt;19,'вспомогательные данные'!$C$25,'вспомогательные данные'!$C$24))</f>
        <v>положительный</v>
      </c>
      <c r="G286" s="65">
        <f>(18-ЦТО!AM190-ЦТО!AL190)/(18-ЦТО!AL190-ЦТО!AP190)</f>
        <v>1</v>
      </c>
      <c r="H286" s="66" t="str">
        <f>IF(G286&lt;0.51,'вспомогательные данные'!$C$19,IF(G286&lt;0.92,'вспомогательные данные'!$C$20, IF(G286&lt;2,'вспомогательные данные'!$C$21,'вспомогательные данные'!$C$22)))</f>
        <v>оптимальная работоспособность</v>
      </c>
      <c r="I286" s="61" t="b">
        <f>IF(OR(ЦТО!AT190=1,ЦТО!AU190=1,ЦТО!AV190=1,ЦТО!AX190=1),"Положительная",IF(OR(ЦТО!AY190=1,ЦТО!AZ190=1,ЦТО!BA190=1),"Отрицательная",IF(OR(ЦТО!AW190=1),"Инфантильная")))</f>
        <v>0</v>
      </c>
    </row>
    <row r="287" spans="1:9">
      <c r="A287" s="62">
        <f>ЦТО!A191</f>
        <v>0</v>
      </c>
      <c r="B287" s="62">
        <f>ЦТО!B193</f>
        <v>0</v>
      </c>
      <c r="C287" s="67">
        <f>ЦТО!C191</f>
        <v>0</v>
      </c>
      <c r="D287" s="63">
        <f>ЦТО!D191</f>
        <v>0</v>
      </c>
      <c r="E287" s="68">
        <f>SUM(ЦТО!BB191:BI191)</f>
        <v>0</v>
      </c>
      <c r="F287" s="64" t="str">
        <f>IF(E287&lt;10,'вспомогательные данные'!$C$26,IF(E287&lt;19,'вспомогательные данные'!$C$25,'вспомогательные данные'!$C$24))</f>
        <v>положительный</v>
      </c>
      <c r="G287" s="65">
        <f>(18-ЦТО!AM191-ЦТО!AL191)/(18-ЦТО!AL191-ЦТО!AP191)</f>
        <v>1</v>
      </c>
      <c r="H287" s="66" t="str">
        <f>IF(G287&lt;0.51,'вспомогательные данные'!$C$19,IF(G287&lt;0.92,'вспомогательные данные'!$C$20, IF(G287&lt;2,'вспомогательные данные'!$C$21,'вспомогательные данные'!$C$22)))</f>
        <v>оптимальная работоспособность</v>
      </c>
      <c r="I287" s="61" t="b">
        <f>IF(OR(ЦТО!AT191=1,ЦТО!AU191=1,ЦТО!AV191=1,ЦТО!AX191=1),"Положительная",IF(OR(ЦТО!AY191=1,ЦТО!AZ191=1,ЦТО!BA191=1),"Отрицательная",IF(OR(ЦТО!AW191=1),"Инфантильная")))</f>
        <v>0</v>
      </c>
    </row>
    <row r="288" spans="1:9">
      <c r="A288" s="62">
        <f>ЦТО!A192</f>
        <v>0</v>
      </c>
      <c r="B288" s="62">
        <f>ЦТО!B194</f>
        <v>0</v>
      </c>
      <c r="C288" s="67">
        <f>ЦТО!C192</f>
        <v>0</v>
      </c>
      <c r="D288" s="63">
        <f>ЦТО!D192</f>
        <v>0</v>
      </c>
      <c r="E288" s="68">
        <f>SUM(ЦТО!BB192:BI192)</f>
        <v>0</v>
      </c>
      <c r="F288" s="64" t="str">
        <f>IF(E288&lt;10,'вспомогательные данные'!$C$26,IF(E288&lt;19,'вспомогательные данные'!$C$25,'вспомогательные данные'!$C$24))</f>
        <v>положительный</v>
      </c>
      <c r="G288" s="65">
        <f>(18-ЦТО!AM192-ЦТО!AL192)/(18-ЦТО!AL192-ЦТО!AP192)</f>
        <v>1</v>
      </c>
      <c r="H288" s="66" t="str">
        <f>IF(G288&lt;0.51,'вспомогательные данные'!$C$19,IF(G288&lt;0.92,'вспомогательные данные'!$C$20, IF(G288&lt;2,'вспомогательные данные'!$C$21,'вспомогательные данные'!$C$22)))</f>
        <v>оптимальная работоспособность</v>
      </c>
      <c r="I288" s="61" t="b">
        <f>IF(OR(ЦТО!AT192=1,ЦТО!AU192=1,ЦТО!AV192=1,ЦТО!AX192=1),"Положительная",IF(OR(ЦТО!AY192=1,ЦТО!AZ192=1,ЦТО!BA192=1),"Отрицательная",IF(OR(ЦТО!AW192=1),"Инфантильная")))</f>
        <v>0</v>
      </c>
    </row>
    <row r="289" spans="1:9">
      <c r="A289" s="62">
        <f>ЦТО!A193</f>
        <v>0</v>
      </c>
      <c r="B289" s="62">
        <f>ЦТО!B195</f>
        <v>0</v>
      </c>
      <c r="C289" s="67">
        <f>ЦТО!C193</f>
        <v>0</v>
      </c>
      <c r="D289" s="63">
        <f>ЦТО!D193</f>
        <v>0</v>
      </c>
      <c r="E289" s="68">
        <f>SUM(ЦТО!BB193:BI193)</f>
        <v>0</v>
      </c>
      <c r="F289" s="64" t="str">
        <f>IF(E289&lt;10,'вспомогательные данные'!$C$26,IF(E289&lt;19,'вспомогательные данные'!$C$25,'вспомогательные данные'!$C$24))</f>
        <v>положительный</v>
      </c>
      <c r="G289" s="65">
        <f>(18-ЦТО!AM193-ЦТО!AL193)/(18-ЦТО!AL193-ЦТО!AP193)</f>
        <v>1</v>
      </c>
      <c r="H289" s="66" t="str">
        <f>IF(G289&lt;0.51,'вспомогательные данные'!$C$19,IF(G289&lt;0.92,'вспомогательные данные'!$C$20, IF(G289&lt;2,'вспомогательные данные'!$C$21,'вспомогательные данные'!$C$22)))</f>
        <v>оптимальная работоспособность</v>
      </c>
      <c r="I289" s="61" t="b">
        <f>IF(OR(ЦТО!AT193=1,ЦТО!AU193=1,ЦТО!AV193=1,ЦТО!AX193=1),"Положительная",IF(OR(ЦТО!AY193=1,ЦТО!AZ193=1,ЦТО!BA193=1),"Отрицательная",IF(OR(ЦТО!AW193=1),"Инфантильная")))</f>
        <v>0</v>
      </c>
    </row>
    <row r="290" spans="1:9">
      <c r="A290" s="62">
        <f>ЦТО!A194</f>
        <v>0</v>
      </c>
      <c r="B290" s="62">
        <f>ЦТО!B196</f>
        <v>0</v>
      </c>
      <c r="C290" s="67">
        <f>ЦТО!C194</f>
        <v>0</v>
      </c>
      <c r="D290" s="63">
        <f>ЦТО!D194</f>
        <v>0</v>
      </c>
      <c r="E290" s="68">
        <f>SUM(ЦТО!BB194:BI194)</f>
        <v>0</v>
      </c>
      <c r="F290" s="64" t="str">
        <f>IF(E290&lt;10,'вспомогательные данные'!$C$26,IF(E290&lt;19,'вспомогательные данные'!$C$25,'вспомогательные данные'!$C$24))</f>
        <v>положительный</v>
      </c>
      <c r="G290" s="65">
        <f>(18-ЦТО!AM194-ЦТО!AL194)/(18-ЦТО!AL194-ЦТО!AP194)</f>
        <v>1</v>
      </c>
      <c r="H290" s="66" t="str">
        <f>IF(G290&lt;0.51,'вспомогательные данные'!$C$19,IF(G290&lt;0.92,'вспомогательные данные'!$C$20, IF(G290&lt;2,'вспомогательные данные'!$C$21,'вспомогательные данные'!$C$22)))</f>
        <v>оптимальная работоспособность</v>
      </c>
      <c r="I290" s="61" t="b">
        <f>IF(OR(ЦТО!AT194=1,ЦТО!AU194=1,ЦТО!AV194=1,ЦТО!AX194=1),"Положительная",IF(OR(ЦТО!AY194=1,ЦТО!AZ194=1,ЦТО!BA194=1),"Отрицательная",IF(OR(ЦТО!AW194=1),"Инфантильная")))</f>
        <v>0</v>
      </c>
    </row>
    <row r="291" spans="1:9">
      <c r="A291" s="62">
        <f>ЦТО!A195</f>
        <v>0</v>
      </c>
      <c r="B291" s="62">
        <f>ЦТО!B197</f>
        <v>0</v>
      </c>
      <c r="C291" s="67">
        <f>ЦТО!C195</f>
        <v>0</v>
      </c>
      <c r="D291" s="63">
        <f>ЦТО!D195</f>
        <v>0</v>
      </c>
      <c r="E291" s="68">
        <f>SUM(ЦТО!BB195:BI195)</f>
        <v>0</v>
      </c>
      <c r="F291" s="64" t="str">
        <f>IF(E291&lt;10,'вспомогательные данные'!$C$26,IF(E291&lt;19,'вспомогательные данные'!$C$25,'вспомогательные данные'!$C$24))</f>
        <v>положительный</v>
      </c>
      <c r="G291" s="65">
        <f>(18-ЦТО!AM195-ЦТО!AL195)/(18-ЦТО!AL195-ЦТО!AP195)</f>
        <v>1</v>
      </c>
      <c r="H291" s="66" t="str">
        <f>IF(G291&lt;0.51,'вспомогательные данные'!$C$19,IF(G291&lt;0.92,'вспомогательные данные'!$C$20, IF(G291&lt;2,'вспомогательные данные'!$C$21,'вспомогательные данные'!$C$22)))</f>
        <v>оптимальная работоспособность</v>
      </c>
      <c r="I291" s="61" t="b">
        <f>IF(OR(ЦТО!AT195=1,ЦТО!AU195=1,ЦТО!AV195=1,ЦТО!AX195=1),"Положительная",IF(OR(ЦТО!AY195=1,ЦТО!AZ195=1,ЦТО!BA195=1),"Отрицательная",IF(OR(ЦТО!AW195=1),"Инфантильная")))</f>
        <v>0</v>
      </c>
    </row>
    <row r="292" spans="1:9">
      <c r="A292" s="62">
        <f>ЦТО!A196</f>
        <v>0</v>
      </c>
      <c r="B292" s="62">
        <f>ЦТО!B198</f>
        <v>0</v>
      </c>
      <c r="C292" s="67">
        <f>ЦТО!C196</f>
        <v>0</v>
      </c>
      <c r="D292" s="63">
        <f>ЦТО!D196</f>
        <v>0</v>
      </c>
      <c r="E292" s="68">
        <f>SUM(ЦТО!BB196:BI196)</f>
        <v>0</v>
      </c>
      <c r="F292" s="64" t="str">
        <f>IF(E292&lt;10,'вспомогательные данные'!$C$26,IF(E292&lt;19,'вспомогательные данные'!$C$25,'вспомогательные данные'!$C$24))</f>
        <v>положительный</v>
      </c>
      <c r="G292" s="65">
        <f>(18-ЦТО!AM196-ЦТО!AL196)/(18-ЦТО!AL196-ЦТО!AP196)</f>
        <v>1</v>
      </c>
      <c r="H292" s="66" t="str">
        <f>IF(G292&lt;0.51,'вспомогательные данные'!$C$19,IF(G292&lt;0.92,'вспомогательные данные'!$C$20, IF(G292&lt;2,'вспомогательные данные'!$C$21,'вспомогательные данные'!$C$22)))</f>
        <v>оптимальная работоспособность</v>
      </c>
      <c r="I292" s="61" t="b">
        <f>IF(OR(ЦТО!AT196=1,ЦТО!AU196=1,ЦТО!AV196=1,ЦТО!AX196=1),"Положительная",IF(OR(ЦТО!AY196=1,ЦТО!AZ196=1,ЦТО!BA196=1),"Отрицательная",IF(OR(ЦТО!AW196=1),"Инфантильная")))</f>
        <v>0</v>
      </c>
    </row>
    <row r="293" spans="1:9">
      <c r="A293" s="62">
        <f>ЦТО!A197</f>
        <v>0</v>
      </c>
      <c r="B293" s="62">
        <f>ЦТО!B199</f>
        <v>0</v>
      </c>
      <c r="C293" s="67">
        <f>ЦТО!C197</f>
        <v>0</v>
      </c>
      <c r="D293" s="63">
        <f>ЦТО!D197</f>
        <v>0</v>
      </c>
      <c r="E293" s="68">
        <f>SUM(ЦТО!BB197:BI197)</f>
        <v>0</v>
      </c>
      <c r="F293" s="64" t="str">
        <f>IF(E293&lt;10,'вспомогательные данные'!$C$26,IF(E293&lt;19,'вспомогательные данные'!$C$25,'вспомогательные данные'!$C$24))</f>
        <v>положительный</v>
      </c>
      <c r="G293" s="65">
        <f>(18-ЦТО!AM197-ЦТО!AL197)/(18-ЦТО!AL197-ЦТО!AP197)</f>
        <v>1</v>
      </c>
      <c r="H293" s="66" t="str">
        <f>IF(G293&lt;0.51,'вспомогательные данные'!$C$19,IF(G293&lt;0.92,'вспомогательные данные'!$C$20, IF(G293&lt;2,'вспомогательные данные'!$C$21,'вспомогательные данные'!$C$22)))</f>
        <v>оптимальная работоспособность</v>
      </c>
      <c r="I293" s="61" t="b">
        <f>IF(OR(ЦТО!AT197=1,ЦТО!AU197=1,ЦТО!AV197=1,ЦТО!AX197=1),"Положительная",IF(OR(ЦТО!AY197=1,ЦТО!AZ197=1,ЦТО!BA197=1),"Отрицательная",IF(OR(ЦТО!AW197=1),"Инфантильная")))</f>
        <v>0</v>
      </c>
    </row>
    <row r="294" spans="1:9">
      <c r="A294" s="62">
        <f>ЦТО!A198</f>
        <v>0</v>
      </c>
      <c r="B294" s="62">
        <f>ЦТО!B200</f>
        <v>0</v>
      </c>
      <c r="C294" s="67">
        <f>ЦТО!C198</f>
        <v>0</v>
      </c>
      <c r="D294" s="63">
        <f>ЦТО!D198</f>
        <v>0</v>
      </c>
      <c r="E294" s="68">
        <f>SUM(ЦТО!BB198:BI198)</f>
        <v>0</v>
      </c>
      <c r="F294" s="64" t="str">
        <f>IF(E294&lt;10,'вспомогательные данные'!$C$26,IF(E294&lt;19,'вспомогательные данные'!$C$25,'вспомогательные данные'!$C$24))</f>
        <v>положительный</v>
      </c>
      <c r="G294" s="65">
        <f>(18-ЦТО!AM198-ЦТО!AL198)/(18-ЦТО!AL198-ЦТО!AP198)</f>
        <v>1</v>
      </c>
      <c r="H294" s="66" t="str">
        <f>IF(G294&lt;0.51,'вспомогательные данные'!$C$19,IF(G294&lt;0.92,'вспомогательные данные'!$C$20, IF(G294&lt;2,'вспомогательные данные'!$C$21,'вспомогательные данные'!$C$22)))</f>
        <v>оптимальная работоспособность</v>
      </c>
      <c r="I294" s="61" t="b">
        <f>IF(OR(ЦТО!AT198=1,ЦТО!AU198=1,ЦТО!AV198=1,ЦТО!AX198=1),"Положительная",IF(OR(ЦТО!AY198=1,ЦТО!AZ198=1,ЦТО!BA198=1),"Отрицательная",IF(OR(ЦТО!AW198=1),"Инфантильная")))</f>
        <v>0</v>
      </c>
    </row>
    <row r="295" spans="1:9">
      <c r="A295" s="62">
        <f>ЦТО!A199</f>
        <v>0</v>
      </c>
      <c r="B295" s="62">
        <f>ЦТО!B201</f>
        <v>0</v>
      </c>
      <c r="C295" s="67">
        <f>ЦТО!C199</f>
        <v>0</v>
      </c>
      <c r="D295" s="63">
        <f>ЦТО!D199</f>
        <v>0</v>
      </c>
      <c r="E295" s="68">
        <f>SUM(ЦТО!BB199:BI199)</f>
        <v>0</v>
      </c>
      <c r="F295" s="64" t="str">
        <f>IF(E295&lt;10,'вспомогательные данные'!$C$26,IF(E295&lt;19,'вспомогательные данные'!$C$25,'вспомогательные данные'!$C$24))</f>
        <v>положительный</v>
      </c>
      <c r="G295" s="65">
        <f>(18-ЦТО!AM199-ЦТО!AL199)/(18-ЦТО!AL199-ЦТО!AP199)</f>
        <v>1</v>
      </c>
      <c r="H295" s="66" t="str">
        <f>IF(G295&lt;0.51,'вспомогательные данные'!$C$19,IF(G295&lt;0.92,'вспомогательные данные'!$C$20, IF(G295&lt;2,'вспомогательные данные'!$C$21,'вспомогательные данные'!$C$22)))</f>
        <v>оптимальная работоспособность</v>
      </c>
      <c r="I295" s="61" t="b">
        <f>IF(OR(ЦТО!AT199=1,ЦТО!AU199=1,ЦТО!AV199=1,ЦТО!AX199=1),"Положительная",IF(OR(ЦТО!AY199=1,ЦТО!AZ199=1,ЦТО!BA199=1),"Отрицательная",IF(OR(ЦТО!AW199=1),"Инфантильная")))</f>
        <v>0</v>
      </c>
    </row>
    <row r="296" spans="1:9">
      <c r="A296" s="62">
        <f>ЦТО!A200</f>
        <v>0</v>
      </c>
      <c r="B296" s="62">
        <f>ЦТО!B202</f>
        <v>0</v>
      </c>
      <c r="C296" s="67">
        <f>ЦТО!C200</f>
        <v>0</v>
      </c>
      <c r="D296" s="63">
        <f>ЦТО!D200</f>
        <v>0</v>
      </c>
      <c r="E296" s="68">
        <f>SUM(ЦТО!BB200:BI200)</f>
        <v>0</v>
      </c>
      <c r="F296" s="64" t="str">
        <f>IF(E296&lt;10,'вспомогательные данные'!$C$26,IF(E296&lt;19,'вспомогательные данные'!$C$25,'вспомогательные данные'!$C$24))</f>
        <v>положительный</v>
      </c>
      <c r="G296" s="65">
        <f>(18-ЦТО!AM200-ЦТО!AL200)/(18-ЦТО!AL200-ЦТО!AP200)</f>
        <v>1</v>
      </c>
      <c r="H296" s="66" t="str">
        <f>IF(G296&lt;0.51,'вспомогательные данные'!$C$19,IF(G296&lt;0.92,'вспомогательные данные'!$C$20, IF(G296&lt;2,'вспомогательные данные'!$C$21,'вспомогательные данные'!$C$22)))</f>
        <v>оптимальная работоспособность</v>
      </c>
      <c r="I296" s="61" t="b">
        <f>IF(OR(ЦТО!AT200=1,ЦТО!AU200=1,ЦТО!AV200=1,ЦТО!AX200=1),"Положительная",IF(OR(ЦТО!AY200=1,ЦТО!AZ200=1,ЦТО!BA200=1),"Отрицательная",IF(OR(ЦТО!AW200=1),"Инфантильная")))</f>
        <v>0</v>
      </c>
    </row>
    <row r="297" spans="1:9">
      <c r="A297" s="62">
        <f>ЦТО!A201</f>
        <v>0</v>
      </c>
      <c r="B297" s="62">
        <f>ЦТО!B203</f>
        <v>0</v>
      </c>
      <c r="C297" s="67">
        <f>ЦТО!C201</f>
        <v>0</v>
      </c>
      <c r="D297" s="63">
        <f>ЦТО!D201</f>
        <v>0</v>
      </c>
      <c r="E297" s="68">
        <f>SUM(ЦТО!BB201:BI201)</f>
        <v>0</v>
      </c>
      <c r="F297" s="64" t="str">
        <f>IF(E297&lt;10,'вспомогательные данные'!$C$26,IF(E297&lt;19,'вспомогательные данные'!$C$25,'вспомогательные данные'!$C$24))</f>
        <v>положительный</v>
      </c>
      <c r="G297" s="65">
        <f>(18-ЦТО!AM201-ЦТО!AL201)/(18-ЦТО!AL201-ЦТО!AP201)</f>
        <v>1</v>
      </c>
      <c r="H297" s="66" t="str">
        <f>IF(G297&lt;0.51,'вспомогательные данные'!$C$19,IF(G297&lt;0.92,'вспомогательные данные'!$C$20, IF(G297&lt;2,'вспомогательные данные'!$C$21,'вспомогательные данные'!$C$22)))</f>
        <v>оптимальная работоспособность</v>
      </c>
      <c r="I297" s="61" t="b">
        <f>IF(OR(ЦТО!AT201=1,ЦТО!AU201=1,ЦТО!AV201=1,ЦТО!AX201=1),"Положительная",IF(OR(ЦТО!AY201=1,ЦТО!AZ201=1,ЦТО!BA201=1),"Отрицательная",IF(OR(ЦТО!AW201=1),"Инфантильная")))</f>
        <v>0</v>
      </c>
    </row>
    <row r="298" spans="1:9">
      <c r="A298" s="62">
        <f>ЦТО!A202</f>
        <v>0</v>
      </c>
      <c r="B298" s="62">
        <f>ЦТО!B204</f>
        <v>0</v>
      </c>
      <c r="C298" s="67">
        <f>ЦТО!C202</f>
        <v>0</v>
      </c>
      <c r="D298" s="63">
        <f>ЦТО!D202</f>
        <v>0</v>
      </c>
      <c r="E298" s="68">
        <f>SUM(ЦТО!BB202:BI202)</f>
        <v>0</v>
      </c>
      <c r="F298" s="64" t="str">
        <f>IF(E298&lt;10,'вспомогательные данные'!$C$26,IF(E298&lt;19,'вспомогательные данные'!$C$25,'вспомогательные данные'!$C$24))</f>
        <v>положительный</v>
      </c>
      <c r="G298" s="65">
        <f>(18-ЦТО!AM202-ЦТО!AL202)/(18-ЦТО!AL202-ЦТО!AP202)</f>
        <v>1</v>
      </c>
      <c r="H298" s="66" t="str">
        <f>IF(G298&lt;0.51,'вспомогательные данные'!$C$19,IF(G298&lt;0.92,'вспомогательные данные'!$C$20, IF(G298&lt;2,'вспомогательные данные'!$C$21,'вспомогательные данные'!$C$22)))</f>
        <v>оптимальная работоспособность</v>
      </c>
      <c r="I298" s="61" t="b">
        <f>IF(OR(ЦТО!AT202=1,ЦТО!AU202=1,ЦТО!AV202=1,ЦТО!AX202=1),"Положительная",IF(OR(ЦТО!AY202=1,ЦТО!AZ202=1,ЦТО!BA202=1),"Отрицательная",IF(OR(ЦТО!AW202=1),"Инфантильная")))</f>
        <v>0</v>
      </c>
    </row>
    <row r="299" spans="1:9">
      <c r="A299" s="62">
        <f>ЦТО!A203</f>
        <v>0</v>
      </c>
      <c r="B299" s="62">
        <f>ЦТО!B205</f>
        <v>0</v>
      </c>
      <c r="C299" s="67">
        <f>ЦТО!C203</f>
        <v>0</v>
      </c>
      <c r="D299" s="63">
        <f>ЦТО!D203</f>
        <v>0</v>
      </c>
      <c r="E299" s="68">
        <f>SUM(ЦТО!BB203:BI203)</f>
        <v>0</v>
      </c>
      <c r="F299" s="64" t="str">
        <f>IF(E299&lt;10,'вспомогательные данные'!$C$26,IF(E299&lt;19,'вспомогательные данные'!$C$25,'вспомогательные данные'!$C$24))</f>
        <v>положительный</v>
      </c>
      <c r="G299" s="65">
        <f>(18-ЦТО!AM203-ЦТО!AL203)/(18-ЦТО!AL203-ЦТО!AP203)</f>
        <v>1</v>
      </c>
      <c r="H299" s="66" t="str">
        <f>IF(G299&lt;0.51,'вспомогательные данные'!$C$19,IF(G299&lt;0.92,'вспомогательные данные'!$C$20, IF(G299&lt;2,'вспомогательные данные'!$C$21,'вспомогательные данные'!$C$22)))</f>
        <v>оптимальная работоспособность</v>
      </c>
      <c r="I299" s="61" t="b">
        <f>IF(OR(ЦТО!AT203=1,ЦТО!AU203=1,ЦТО!AV203=1,ЦТО!AX203=1),"Положительная",IF(OR(ЦТО!AY203=1,ЦТО!AZ203=1,ЦТО!BA203=1),"Отрицательная",IF(OR(ЦТО!AW203=1),"Инфантильная")))</f>
        <v>0</v>
      </c>
    </row>
    <row r="300" spans="1:9">
      <c r="A300" s="62">
        <f>ЦТО!A204</f>
        <v>0</v>
      </c>
      <c r="B300" s="62">
        <f>ЦТО!B206</f>
        <v>0</v>
      </c>
      <c r="C300" s="67">
        <f>ЦТО!C204</f>
        <v>0</v>
      </c>
      <c r="D300" s="63">
        <f>ЦТО!D204</f>
        <v>0</v>
      </c>
      <c r="E300" s="68">
        <f>SUM(ЦТО!BB204:BI204)</f>
        <v>0</v>
      </c>
      <c r="F300" s="64" t="str">
        <f>IF(E300&lt;10,'вспомогательные данные'!$C$26,IF(E300&lt;19,'вспомогательные данные'!$C$25,'вспомогательные данные'!$C$24))</f>
        <v>положительный</v>
      </c>
      <c r="G300" s="65">
        <f>(18-ЦТО!AM204-ЦТО!AL204)/(18-ЦТО!AL204-ЦТО!AP204)</f>
        <v>1</v>
      </c>
      <c r="H300" s="66" t="str">
        <f>IF(G300&lt;0.51,'вспомогательные данные'!$C$19,IF(G300&lt;0.92,'вспомогательные данные'!$C$20, IF(G300&lt;2,'вспомогательные данные'!$C$21,'вспомогательные данные'!$C$22)))</f>
        <v>оптимальная работоспособность</v>
      </c>
      <c r="I300" s="61" t="b">
        <f>IF(OR(ЦТО!AT204=1,ЦТО!AU204=1,ЦТО!AV204=1,ЦТО!AX204=1),"Положительная",IF(OR(ЦТО!AY204=1,ЦТО!AZ204=1,ЦТО!BA204=1),"Отрицательная",IF(OR(ЦТО!AW204=1),"Инфантильная")))</f>
        <v>0</v>
      </c>
    </row>
    <row r="301" spans="1:9">
      <c r="A301" s="62">
        <f>ЦТО!A205</f>
        <v>0</v>
      </c>
      <c r="B301" s="62">
        <f>ЦТО!B207</f>
        <v>0</v>
      </c>
      <c r="C301" s="67">
        <f>ЦТО!C205</f>
        <v>0</v>
      </c>
      <c r="D301" s="63">
        <f>ЦТО!D205</f>
        <v>0</v>
      </c>
      <c r="E301" s="68">
        <f>SUM(ЦТО!BB205:BI205)</f>
        <v>0</v>
      </c>
      <c r="F301" s="64" t="str">
        <f>IF(E301&lt;10,'вспомогательные данные'!$C$26,IF(E301&lt;19,'вспомогательные данные'!$C$25,'вспомогательные данные'!$C$24))</f>
        <v>положительный</v>
      </c>
      <c r="G301" s="65">
        <f>(18-ЦТО!AM205-ЦТО!AL205)/(18-ЦТО!AL205-ЦТО!AP205)</f>
        <v>1</v>
      </c>
      <c r="H301" s="66" t="str">
        <f>IF(G301&lt;0.51,'вспомогательные данные'!$C$19,IF(G301&lt;0.92,'вспомогательные данные'!$C$20, IF(G301&lt;2,'вспомогательные данные'!$C$21,'вспомогательные данные'!$C$22)))</f>
        <v>оптимальная работоспособность</v>
      </c>
      <c r="I301" s="61" t="b">
        <f>IF(OR(ЦТО!AT205=1,ЦТО!AU205=1,ЦТО!AV205=1,ЦТО!AX205=1),"Положительная",IF(OR(ЦТО!AY205=1,ЦТО!AZ205=1,ЦТО!BA205=1),"Отрицательная",IF(OR(ЦТО!AW205=1),"Инфантильная")))</f>
        <v>0</v>
      </c>
    </row>
    <row r="302" spans="1:9">
      <c r="A302" s="62">
        <f>ЦТО!A206</f>
        <v>0</v>
      </c>
      <c r="B302" s="62">
        <f>ЦТО!B208</f>
        <v>0</v>
      </c>
      <c r="C302" s="67">
        <f>ЦТО!C206</f>
        <v>0</v>
      </c>
      <c r="D302" s="63">
        <f>ЦТО!D206</f>
        <v>0</v>
      </c>
      <c r="E302" s="68">
        <f>SUM(ЦТО!BB206:BI206)</f>
        <v>0</v>
      </c>
      <c r="F302" s="64" t="str">
        <f>IF(E302&lt;10,'вспомогательные данные'!$C$26,IF(E302&lt;19,'вспомогательные данные'!$C$25,'вспомогательные данные'!$C$24))</f>
        <v>положительный</v>
      </c>
      <c r="G302" s="65">
        <f>(18-ЦТО!AM206-ЦТО!AL206)/(18-ЦТО!AL206-ЦТО!AP206)</f>
        <v>1</v>
      </c>
      <c r="H302" s="66" t="str">
        <f>IF(G302&lt;0.51,'вспомогательные данные'!$C$19,IF(G302&lt;0.92,'вспомогательные данные'!$C$20, IF(G302&lt;2,'вспомогательные данные'!$C$21,'вспомогательные данные'!$C$22)))</f>
        <v>оптимальная работоспособность</v>
      </c>
      <c r="I302" s="61" t="b">
        <f>IF(OR(ЦТО!AT206=1,ЦТО!AU206=1,ЦТО!AV206=1,ЦТО!AX206=1),"Положительная",IF(OR(ЦТО!AY206=1,ЦТО!AZ206=1,ЦТО!BA206=1),"Отрицательная",IF(OR(ЦТО!AW206=1),"Инфантильная")))</f>
        <v>0</v>
      </c>
    </row>
    <row r="303" spans="1:9">
      <c r="A303" s="62">
        <f>ЦТО!A207</f>
        <v>0</v>
      </c>
      <c r="B303" s="62">
        <f>ЦТО!B209</f>
        <v>0</v>
      </c>
      <c r="C303" s="67">
        <f>ЦТО!C207</f>
        <v>0</v>
      </c>
      <c r="D303" s="63">
        <f>ЦТО!D207</f>
        <v>0</v>
      </c>
      <c r="E303" s="68">
        <f>SUM(ЦТО!BB207:BI207)</f>
        <v>0</v>
      </c>
      <c r="F303" s="64" t="str">
        <f>IF(E303&lt;10,'вспомогательные данные'!$C$26,IF(E303&lt;19,'вспомогательные данные'!$C$25,'вспомогательные данные'!$C$24))</f>
        <v>положительный</v>
      </c>
      <c r="G303" s="65">
        <f>(18-ЦТО!AM207-ЦТО!AL207)/(18-ЦТО!AL207-ЦТО!AP207)</f>
        <v>1</v>
      </c>
      <c r="H303" s="66" t="str">
        <f>IF(G303&lt;0.51,'вспомогательные данные'!$C$19,IF(G303&lt;0.92,'вспомогательные данные'!$C$20, IF(G303&lt;2,'вспомогательные данные'!$C$21,'вспомогательные данные'!$C$22)))</f>
        <v>оптимальная работоспособность</v>
      </c>
      <c r="I303" s="61" t="b">
        <f>IF(OR(ЦТО!AT207=1,ЦТО!AU207=1,ЦТО!AV207=1,ЦТО!AX207=1),"Положительная",IF(OR(ЦТО!AY207=1,ЦТО!AZ207=1,ЦТО!BA207=1),"Отрицательная",IF(OR(ЦТО!AW207=1),"Инфантильная")))</f>
        <v>0</v>
      </c>
    </row>
    <row r="304" spans="1:9">
      <c r="A304" s="62">
        <f>ЦТО!A208</f>
        <v>0</v>
      </c>
      <c r="B304" s="62">
        <f>ЦТО!B208</f>
        <v>0</v>
      </c>
      <c r="C304" s="67">
        <f>ЦТО!C208</f>
        <v>0</v>
      </c>
      <c r="D304" s="63">
        <f>ЦТО!D208</f>
        <v>0</v>
      </c>
      <c r="E304" s="68">
        <f>SUM(ЦТО!BB208:BI208)</f>
        <v>0</v>
      </c>
      <c r="F304" s="64" t="str">
        <f>IF(E304&lt;10,'вспомогательные данные'!$C$26,IF(E304&lt;19,'вспомогательные данные'!$C$25,'вспомогательные данные'!$C$24))</f>
        <v>положительный</v>
      </c>
      <c r="G304" s="65">
        <f>(18-ЦТО!AM208-ЦТО!AL208)/(18-ЦТО!AL208-ЦТО!AP208)</f>
        <v>1</v>
      </c>
      <c r="H304" s="66" t="str">
        <f>IF(G304&lt;0.51,'вспомогательные данные'!$C$19,IF(G304&lt;0.92,'вспомогательные данные'!$C$20, IF(G304&lt;2,'вспомогательные данные'!$C$21,'вспомогательные данные'!$C$22)))</f>
        <v>оптимальная работоспособность</v>
      </c>
      <c r="I304" s="61" t="b">
        <f>IF(OR(ЦТО!AT208=1,ЦТО!AU208=1,ЦТО!AV208=1,ЦТО!AX208=1),"Положительная",IF(OR(ЦТО!AY208=1,ЦТО!AZ208=1,ЦТО!BA208=1),"Отрицательная",IF(OR(ЦТО!AW208=1),"Инфантильная")))</f>
        <v>0</v>
      </c>
    </row>
    <row r="305" spans="1:9">
      <c r="A305" s="62">
        <f>ЦТО!A209</f>
        <v>0</v>
      </c>
      <c r="B305" s="62">
        <f>ЦТО!B209</f>
        <v>0</v>
      </c>
      <c r="C305" s="67">
        <f>ЦТО!C209</f>
        <v>0</v>
      </c>
      <c r="D305" s="63">
        <f>ЦТО!D209</f>
        <v>0</v>
      </c>
      <c r="E305" s="68">
        <f>SUM(ЦТО!BB209:BI209)</f>
        <v>0</v>
      </c>
      <c r="F305" s="64" t="str">
        <f>IF(E305&lt;10,'вспомогательные данные'!$C$26,IF(E305&lt;19,'вспомогательные данные'!$C$25,'вспомогательные данные'!$C$24))</f>
        <v>положительный</v>
      </c>
      <c r="G305" s="65">
        <f>(18-ЦТО!AM209-ЦТО!AL209)/(18-ЦТО!AL209-ЦТО!AP209)</f>
        <v>1</v>
      </c>
      <c r="H305" s="66" t="str">
        <f>IF(G305&lt;0.51,'вспомогательные данные'!$C$19,IF(G305&lt;0.92,'вспомогательные данные'!$C$20, IF(G305&lt;2,'вспомогательные данные'!$C$21,'вспомогательные данные'!$C$22)))</f>
        <v>оптимальная работоспособность</v>
      </c>
      <c r="I305" s="61" t="b">
        <f>IF(OR(ЦТО!AT209=1,ЦТО!AU209=1,ЦТО!AV209=1,ЦТО!AX209=1),"Положительная",IF(OR(ЦТО!AY209=1,ЦТО!AZ209=1,ЦТО!BA209=1),"Отрицательная",IF(OR(ЦТО!AW209=1),"Инфантильная")))</f>
        <v>0</v>
      </c>
    </row>
    <row r="306" spans="1:9">
      <c r="A306" s="62">
        <f>ЦТО!A210</f>
        <v>0</v>
      </c>
      <c r="B306" s="62">
        <f>ЦТО!B210</f>
        <v>0</v>
      </c>
      <c r="C306" s="67">
        <f>ЦТО!C210</f>
        <v>0</v>
      </c>
      <c r="D306" s="63">
        <f>ЦТО!D210</f>
        <v>0</v>
      </c>
      <c r="E306" s="68">
        <f>SUM(ЦТО!BB210:BI210)</f>
        <v>0</v>
      </c>
      <c r="F306" s="64" t="str">
        <f>IF(E306&lt;10,'вспомогательные данные'!$C$26,IF(E306&lt;19,'вспомогательные данные'!$C$25,'вспомогательные данные'!$C$24))</f>
        <v>положительный</v>
      </c>
      <c r="G306" s="65">
        <f>(18-ЦТО!AM210-ЦТО!AL210)/(18-ЦТО!AL210-ЦТО!AP210)</f>
        <v>1</v>
      </c>
      <c r="H306" s="66" t="str">
        <f>IF(G306&lt;0.51,'вспомогательные данные'!$C$19,IF(G306&lt;0.92,'вспомогательные данные'!$C$20, IF(G306&lt;2,'вспомогательные данные'!$C$21,'вспомогательные данные'!$C$22)))</f>
        <v>оптимальная работоспособность</v>
      </c>
      <c r="I306" s="61" t="b">
        <f>IF(OR(ЦТО!AT210=1,ЦТО!AU210=1,ЦТО!AV210=1,ЦТО!AX210=1),"Положительная",IF(OR(ЦТО!AY210=1,ЦТО!AZ210=1,ЦТО!BA210=1),"Отрицательная",IF(OR(ЦТО!AW210=1),"Инфантильная")))</f>
        <v>0</v>
      </c>
    </row>
    <row r="307" spans="1:9">
      <c r="A307" s="62">
        <f>ЦТО!A211</f>
        <v>0</v>
      </c>
      <c r="B307" s="62">
        <f>ЦТО!B211</f>
        <v>0</v>
      </c>
      <c r="C307" s="67">
        <f>ЦТО!C211</f>
        <v>0</v>
      </c>
      <c r="D307" s="63">
        <f>ЦТО!D211</f>
        <v>0</v>
      </c>
      <c r="E307" s="68">
        <f>SUM(ЦТО!BB211:BI211)</f>
        <v>0</v>
      </c>
      <c r="F307" s="64" t="str">
        <f>IF(E307&lt;10,'вспомогательные данные'!$C$26,IF(E307&lt;19,'вспомогательные данные'!$C$25,'вспомогательные данные'!$C$24))</f>
        <v>положительный</v>
      </c>
      <c r="G307" s="65">
        <f>(18-ЦТО!AM211-ЦТО!AL211)/(18-ЦТО!AL211-ЦТО!AP211)</f>
        <v>1</v>
      </c>
      <c r="H307" s="66" t="str">
        <f>IF(G307&lt;0.51,'вспомогательные данные'!$C$19,IF(G307&lt;0.92,'вспомогательные данные'!$C$20, IF(G307&lt;2,'вспомогательные данные'!$C$21,'вспомогательные данные'!$C$22)))</f>
        <v>оптимальная работоспособность</v>
      </c>
      <c r="I307" s="61" t="b">
        <f>IF(OR(ЦТО!AT211=1,ЦТО!AU211=1,ЦТО!AV211=1,ЦТО!AX211=1),"Положительная",IF(OR(ЦТО!AY211=1,ЦТО!AZ211=1,ЦТО!BA211=1),"Отрицательная",IF(OR(ЦТО!AW211=1),"Инфантильная")))</f>
        <v>0</v>
      </c>
    </row>
    <row r="308" spans="1:9">
      <c r="A308" s="62">
        <f>ЦТО!A212</f>
        <v>0</v>
      </c>
      <c r="B308" s="62">
        <f>ЦТО!B212</f>
        <v>0</v>
      </c>
      <c r="C308" s="67">
        <f>ЦТО!C212</f>
        <v>0</v>
      </c>
      <c r="D308" s="63">
        <f>ЦТО!D212</f>
        <v>0</v>
      </c>
      <c r="E308" s="68">
        <f>SUM(ЦТО!BB212:BI212)</f>
        <v>0</v>
      </c>
      <c r="F308" s="64" t="str">
        <f>IF(E308&lt;10,'вспомогательные данные'!$C$26,IF(E308&lt;19,'вспомогательные данные'!$C$25,'вспомогательные данные'!$C$24))</f>
        <v>положительный</v>
      </c>
      <c r="G308" s="65">
        <f>(18-ЦТО!AM212-ЦТО!AL212)/(18-ЦТО!AL212-ЦТО!AP212)</f>
        <v>1</v>
      </c>
      <c r="H308" s="66" t="str">
        <f>IF(G308&lt;0.51,'вспомогательные данные'!$C$19,IF(G308&lt;0.92,'вспомогательные данные'!$C$20, IF(G308&lt;2,'вспомогательные данные'!$C$21,'вспомогательные данные'!$C$22)))</f>
        <v>оптимальная работоспособность</v>
      </c>
      <c r="I308" s="61" t="b">
        <f>IF(OR(ЦТО!AT212=1,ЦТО!AU212=1,ЦТО!AV212=1,ЦТО!AX212=1),"Положительная",IF(OR(ЦТО!AY212=1,ЦТО!AZ212=1,ЦТО!BA212=1),"Отрицательная",IF(OR(ЦТО!AW212=1),"Инфантильная")))</f>
        <v>0</v>
      </c>
    </row>
    <row r="309" spans="1:9">
      <c r="A309" s="62">
        <f>ЦТО!A213</f>
        <v>0</v>
      </c>
      <c r="B309" s="62">
        <f>ЦТО!B213</f>
        <v>0</v>
      </c>
      <c r="C309" s="67">
        <f>ЦТО!C213</f>
        <v>0</v>
      </c>
      <c r="D309" s="63">
        <f>ЦТО!D213</f>
        <v>0</v>
      </c>
      <c r="E309" s="68">
        <f>SUM(ЦТО!BB213:BI213)</f>
        <v>0</v>
      </c>
      <c r="F309" s="64" t="str">
        <f>IF(E309&lt;10,'вспомогательные данные'!$C$26,IF(E309&lt;19,'вспомогательные данные'!$C$25,'вспомогательные данные'!$C$24))</f>
        <v>положительный</v>
      </c>
      <c r="G309" s="65">
        <f>(18-ЦТО!AM213-ЦТО!AL213)/(18-ЦТО!AL213-ЦТО!AP213)</f>
        <v>1</v>
      </c>
      <c r="H309" s="66" t="str">
        <f>IF(G309&lt;0.51,'вспомогательные данные'!$C$19,IF(G309&lt;0.92,'вспомогательные данные'!$C$20, IF(G309&lt;2,'вспомогательные данные'!$C$21,'вспомогательные данные'!$C$22)))</f>
        <v>оптимальная работоспособность</v>
      </c>
      <c r="I309" s="61" t="b">
        <f>IF(OR(ЦТО!AT213=1,ЦТО!AU213=1,ЦТО!AV213=1,ЦТО!AX213=1),"Положительная",IF(OR(ЦТО!AY213=1,ЦТО!AZ213=1,ЦТО!BA213=1),"Отрицательная",IF(OR(ЦТО!AW213=1),"Инфантильная")))</f>
        <v>0</v>
      </c>
    </row>
    <row r="310" spans="1:9">
      <c r="A310" s="62">
        <f>ЦТО!A214</f>
        <v>0</v>
      </c>
      <c r="B310" s="62">
        <f>ЦТО!B214</f>
        <v>0</v>
      </c>
      <c r="C310" s="67">
        <f>ЦТО!C214</f>
        <v>0</v>
      </c>
      <c r="D310" s="63">
        <f>ЦТО!D214</f>
        <v>0</v>
      </c>
      <c r="E310" s="68">
        <f>SUM(ЦТО!BB214:BI214)</f>
        <v>0</v>
      </c>
      <c r="F310" s="64" t="str">
        <f>IF(E310&lt;10,'вспомогательные данные'!$C$26,IF(E310&lt;19,'вспомогательные данные'!$C$25,'вспомогательные данные'!$C$24))</f>
        <v>положительный</v>
      </c>
      <c r="G310" s="65">
        <f>(18-ЦТО!AM214-ЦТО!AL214)/(18-ЦТО!AL214-ЦТО!AP214)</f>
        <v>1</v>
      </c>
      <c r="H310" s="66" t="str">
        <f>IF(G310&lt;0.51,'вспомогательные данные'!$C$19,IF(G310&lt;0.92,'вспомогательные данные'!$C$20, IF(G310&lt;2,'вспомогательные данные'!$C$21,'вспомогательные данные'!$C$22)))</f>
        <v>оптимальная работоспособность</v>
      </c>
      <c r="I310" s="61" t="b">
        <f>IF(OR(ЦТО!AT214=1,ЦТО!AU214=1,ЦТО!AV214=1,ЦТО!AX214=1),"Положительная",IF(OR(ЦТО!AY214=1,ЦТО!AZ214=1,ЦТО!BA214=1),"Отрицательная",IF(OR(ЦТО!AW214=1),"Инфантильная")))</f>
        <v>0</v>
      </c>
    </row>
    <row r="311" spans="1:9">
      <c r="A311" s="62">
        <f>ЦТО!A215</f>
        <v>0</v>
      </c>
      <c r="B311" s="62">
        <f>ЦТО!B215</f>
        <v>0</v>
      </c>
      <c r="C311" s="67">
        <f>ЦТО!C215</f>
        <v>0</v>
      </c>
      <c r="D311" s="63">
        <f>ЦТО!D215</f>
        <v>0</v>
      </c>
      <c r="E311" s="68">
        <f>SUM(ЦТО!BB215:BI215)</f>
        <v>0</v>
      </c>
      <c r="F311" s="64" t="str">
        <f>IF(E311&lt;10,'вспомогательные данные'!$C$26,IF(E311&lt;19,'вспомогательные данные'!$C$25,'вспомогательные данные'!$C$24))</f>
        <v>положительный</v>
      </c>
      <c r="G311" s="65">
        <f>(18-ЦТО!AM215-ЦТО!AL215)/(18-ЦТО!AL215-ЦТО!AP215)</f>
        <v>1</v>
      </c>
      <c r="H311" s="66" t="str">
        <f>IF(G311&lt;0.51,'вспомогательные данные'!$C$19,IF(G311&lt;0.92,'вспомогательные данные'!$C$20, IF(G311&lt;2,'вспомогательные данные'!$C$21,'вспомогательные данные'!$C$22)))</f>
        <v>оптимальная работоспособность</v>
      </c>
      <c r="I311" s="61" t="b">
        <f>IF(OR(ЦТО!AT215=1,ЦТО!AU215=1,ЦТО!AV215=1,ЦТО!AX215=1),"Положительная",IF(OR(ЦТО!AY215=1,ЦТО!AZ215=1,ЦТО!BA215=1),"Отрицательная",IF(OR(ЦТО!AW215=1),"Инфантильная")))</f>
        <v>0</v>
      </c>
    </row>
    <row r="312" spans="1:9">
      <c r="A312" s="62">
        <f>ЦТО!A216</f>
        <v>0</v>
      </c>
      <c r="B312" s="62">
        <f>ЦТО!B216</f>
        <v>0</v>
      </c>
      <c r="C312" s="67">
        <f>ЦТО!C216</f>
        <v>0</v>
      </c>
      <c r="D312" s="63">
        <f>ЦТО!D216</f>
        <v>0</v>
      </c>
      <c r="E312" s="68">
        <f>SUM(ЦТО!BB216:BI216)</f>
        <v>0</v>
      </c>
      <c r="F312" s="64" t="str">
        <f>IF(E312&lt;10,'вспомогательные данные'!$C$26,IF(E312&lt;19,'вспомогательные данные'!$C$25,'вспомогательные данные'!$C$24))</f>
        <v>положительный</v>
      </c>
      <c r="G312" s="65">
        <f>(18-ЦТО!AM216-ЦТО!AL216)/(18-ЦТО!AL216-ЦТО!AP216)</f>
        <v>1</v>
      </c>
      <c r="H312" s="66" t="str">
        <f>IF(G312&lt;0.51,'вспомогательные данные'!$C$19,IF(G312&lt;0.92,'вспомогательные данные'!$C$20, IF(G312&lt;2,'вспомогательные данные'!$C$21,'вспомогательные данные'!$C$22)))</f>
        <v>оптимальная работоспособность</v>
      </c>
      <c r="I312" s="61" t="b">
        <f>IF(OR(ЦТО!AT216=1,ЦТО!AU216=1,ЦТО!AV216=1,ЦТО!AX216=1),"Положительная",IF(OR(ЦТО!AY216=1,ЦТО!AZ216=1,ЦТО!BA216=1),"Отрицательная",IF(OR(ЦТО!AW216=1),"Инфантильная")))</f>
        <v>0</v>
      </c>
    </row>
    <row r="313" spans="1:9">
      <c r="A313" s="62">
        <f>ЦТО!A217</f>
        <v>0</v>
      </c>
      <c r="B313" s="62">
        <f>ЦТО!B217</f>
        <v>0</v>
      </c>
      <c r="C313" s="67">
        <f>ЦТО!C217</f>
        <v>0</v>
      </c>
      <c r="D313" s="63">
        <f>ЦТО!D217</f>
        <v>0</v>
      </c>
      <c r="E313" s="68">
        <f>SUM(ЦТО!BB217:BI217)</f>
        <v>0</v>
      </c>
      <c r="F313" s="64" t="str">
        <f>IF(E313&lt;10,'вспомогательные данные'!$C$26,IF(E313&lt;19,'вспомогательные данные'!$C$25,'вспомогательные данные'!$C$24))</f>
        <v>положительный</v>
      </c>
      <c r="G313" s="65">
        <f>(18-ЦТО!AM217-ЦТО!AL217)/(18-ЦТО!AL217-ЦТО!AP217)</f>
        <v>1</v>
      </c>
      <c r="H313" s="66" t="str">
        <f>IF(G313&lt;0.51,'вспомогательные данные'!$C$19,IF(G313&lt;0.92,'вспомогательные данные'!$C$20, IF(G313&lt;2,'вспомогательные данные'!$C$21,'вспомогательные данные'!$C$22)))</f>
        <v>оптимальная работоспособность</v>
      </c>
      <c r="I313" s="61" t="b">
        <f>IF(OR(ЦТО!AT217=1,ЦТО!AU217=1,ЦТО!AV217=1,ЦТО!AX217=1),"Положительная",IF(OR(ЦТО!AY217=1,ЦТО!AZ217=1,ЦТО!BA217=1),"Отрицательная",IF(OR(ЦТО!AW217=1),"Инфантильная")))</f>
        <v>0</v>
      </c>
    </row>
    <row r="314" spans="1:9">
      <c r="A314" s="62">
        <f>ЦТО!A218</f>
        <v>0</v>
      </c>
      <c r="B314" s="62">
        <f>ЦТО!B218</f>
        <v>0</v>
      </c>
      <c r="C314" s="67">
        <f>ЦТО!C218</f>
        <v>0</v>
      </c>
      <c r="D314" s="63">
        <f>ЦТО!D218</f>
        <v>0</v>
      </c>
      <c r="E314" s="68">
        <f>SUM(ЦТО!BB218:BI218)</f>
        <v>0</v>
      </c>
      <c r="F314" s="64" t="str">
        <f>IF(E314&lt;10,'вспомогательные данные'!$C$26,IF(E314&lt;19,'вспомогательные данные'!$C$25,'вспомогательные данные'!$C$24))</f>
        <v>положительный</v>
      </c>
      <c r="G314" s="65">
        <f>(18-ЦТО!AM218-ЦТО!AL218)/(18-ЦТО!AL218-ЦТО!AP218)</f>
        <v>1</v>
      </c>
      <c r="H314" s="66" t="str">
        <f>IF(G314&lt;0.51,'вспомогательные данные'!$C$19,IF(G314&lt;0.92,'вспомогательные данные'!$C$20, IF(G314&lt;2,'вспомогательные данные'!$C$21,'вспомогательные данные'!$C$22)))</f>
        <v>оптимальная работоспособность</v>
      </c>
      <c r="I314" s="61" t="b">
        <f>IF(OR(ЦТО!AT218=1,ЦТО!AU218=1,ЦТО!AV218=1,ЦТО!AX218=1),"Положительная",IF(OR(ЦТО!AY218=1,ЦТО!AZ218=1,ЦТО!BA218=1),"Отрицательная",IF(OR(ЦТО!AW218=1),"Инфантильная")))</f>
        <v>0</v>
      </c>
    </row>
    <row r="315" spans="1:9">
      <c r="A315" s="62">
        <f>ЦТО!A219</f>
        <v>0</v>
      </c>
      <c r="B315" s="62">
        <f>ЦТО!B219</f>
        <v>0</v>
      </c>
      <c r="C315" s="67">
        <f>ЦТО!C219</f>
        <v>0</v>
      </c>
      <c r="D315" s="63">
        <f>ЦТО!D219</f>
        <v>0</v>
      </c>
      <c r="E315" s="68">
        <f>SUM(ЦТО!BB219:BI219)</f>
        <v>0</v>
      </c>
      <c r="F315" s="64" t="str">
        <f>IF(E315&lt;10,'вспомогательные данные'!$C$26,IF(E315&lt;19,'вспомогательные данные'!$C$25,'вспомогательные данные'!$C$24))</f>
        <v>положительный</v>
      </c>
      <c r="G315" s="65">
        <f>(18-ЦТО!AM219-ЦТО!AL219)/(18-ЦТО!AL219-ЦТО!AP219)</f>
        <v>1</v>
      </c>
      <c r="H315" s="66" t="str">
        <f>IF(G315&lt;0.51,'вспомогательные данные'!$C$19,IF(G315&lt;0.92,'вспомогательные данные'!$C$20, IF(G315&lt;2,'вспомогательные данные'!$C$21,'вспомогательные данные'!$C$22)))</f>
        <v>оптимальная работоспособность</v>
      </c>
      <c r="I315" s="61" t="b">
        <f>IF(OR(ЦТО!AT219=1,ЦТО!AU219=1,ЦТО!AV219=1,ЦТО!AX219=1),"Положительная",IF(OR(ЦТО!AY219=1,ЦТО!AZ219=1,ЦТО!BA219=1),"Отрицательная",IF(OR(ЦТО!AW219=1),"Инфантильная")))</f>
        <v>0</v>
      </c>
    </row>
    <row r="316" spans="1:9">
      <c r="A316" s="62">
        <f>ЦТО!A220</f>
        <v>0</v>
      </c>
      <c r="B316" s="62">
        <f>ЦТО!B220</f>
        <v>0</v>
      </c>
      <c r="C316" s="67">
        <f>ЦТО!C220</f>
        <v>0</v>
      </c>
      <c r="D316" s="63">
        <f>ЦТО!D220</f>
        <v>0</v>
      </c>
      <c r="E316" s="68">
        <f>SUM(ЦТО!BB220:BI220)</f>
        <v>0</v>
      </c>
      <c r="F316" s="64" t="str">
        <f>IF(E316&lt;10,'вспомогательные данные'!$C$26,IF(E316&lt;19,'вспомогательные данные'!$C$25,'вспомогательные данные'!$C$24))</f>
        <v>положительный</v>
      </c>
      <c r="G316" s="65">
        <f>(18-ЦТО!AM220-ЦТО!AL220)/(18-ЦТО!AL220-ЦТО!AP220)</f>
        <v>1</v>
      </c>
      <c r="H316" s="66" t="str">
        <f>IF(G316&lt;0.51,'вспомогательные данные'!$C$19,IF(G316&lt;0.92,'вспомогательные данные'!$C$20, IF(G316&lt;2,'вспомогательные данные'!$C$21,'вспомогательные данные'!$C$22)))</f>
        <v>оптимальная работоспособность</v>
      </c>
      <c r="I316" s="61" t="b">
        <f>IF(OR(ЦТО!AT220=1,ЦТО!AU220=1,ЦТО!AV220=1,ЦТО!AX220=1),"Положительная",IF(OR(ЦТО!AY220=1,ЦТО!AZ220=1,ЦТО!BA220=1),"Отрицательная",IF(OR(ЦТО!AW220=1),"Инфантильная")))</f>
        <v>0</v>
      </c>
    </row>
    <row r="317" spans="1:9">
      <c r="A317" s="62">
        <f>ЦТО!A221</f>
        <v>0</v>
      </c>
      <c r="B317" s="62">
        <f>ЦТО!B221</f>
        <v>0</v>
      </c>
      <c r="C317" s="67">
        <f>ЦТО!C221</f>
        <v>0</v>
      </c>
      <c r="D317" s="63">
        <f>ЦТО!D221</f>
        <v>0</v>
      </c>
      <c r="E317" s="68">
        <f>SUM(ЦТО!BB221:BI221)</f>
        <v>0</v>
      </c>
      <c r="F317" s="64" t="str">
        <f>IF(E317&lt;10,'вспомогательные данные'!$C$26,IF(E317&lt;19,'вспомогательные данные'!$C$25,'вспомогательные данные'!$C$24))</f>
        <v>положительный</v>
      </c>
      <c r="G317" s="65">
        <f>(18-ЦТО!AM221-ЦТО!AL221)/(18-ЦТО!AL221-ЦТО!AP221)</f>
        <v>1</v>
      </c>
      <c r="H317" s="66" t="str">
        <f>IF(G317&lt;0.51,'вспомогательные данные'!$C$19,IF(G317&lt;0.92,'вспомогательные данные'!$C$20, IF(G317&lt;2,'вспомогательные данные'!$C$21,'вспомогательные данные'!$C$22)))</f>
        <v>оптимальная работоспособность</v>
      </c>
      <c r="I317" s="61" t="b">
        <f>IF(OR(ЦТО!AT221=1,ЦТО!AU221=1,ЦТО!AV221=1,ЦТО!AX221=1),"Положительная",IF(OR(ЦТО!AY221=1,ЦТО!AZ221=1,ЦТО!BA221=1),"Отрицательная",IF(OR(ЦТО!AW221=1),"Инфантильная")))</f>
        <v>0</v>
      </c>
    </row>
    <row r="318" spans="1:9">
      <c r="A318" s="62">
        <f>ЦТО!A222</f>
        <v>0</v>
      </c>
      <c r="B318" s="62">
        <f>ЦТО!B222</f>
        <v>0</v>
      </c>
      <c r="C318" s="67">
        <f>ЦТО!C222</f>
        <v>0</v>
      </c>
      <c r="D318" s="63">
        <f>ЦТО!D222</f>
        <v>0</v>
      </c>
      <c r="E318" s="68">
        <f>SUM(ЦТО!BB222:BI222)</f>
        <v>0</v>
      </c>
      <c r="F318" s="64" t="str">
        <f>IF(E318&lt;10,'вспомогательные данные'!$C$26,IF(E318&lt;19,'вспомогательные данные'!$C$25,'вспомогательные данные'!$C$24))</f>
        <v>положительный</v>
      </c>
      <c r="G318" s="65">
        <f>(18-ЦТО!AM222-ЦТО!AL222)/(18-ЦТО!AL222-ЦТО!AP222)</f>
        <v>1</v>
      </c>
      <c r="H318" s="66" t="str">
        <f>IF(G318&lt;0.51,'вспомогательные данные'!$C$19,IF(G318&lt;0.92,'вспомогательные данные'!$C$20, IF(G318&lt;2,'вспомогательные данные'!$C$21,'вспомогательные данные'!$C$22)))</f>
        <v>оптимальная работоспособность</v>
      </c>
      <c r="I318" s="61" t="b">
        <f>IF(OR(ЦТО!AT222=1,ЦТО!AU222=1,ЦТО!AV222=1,ЦТО!AX222=1),"Положительная",IF(OR(ЦТО!AY222=1,ЦТО!AZ222=1,ЦТО!BA222=1),"Отрицательная",IF(OR(ЦТО!AW222=1),"Инфантильная")))</f>
        <v>0</v>
      </c>
    </row>
    <row r="319" spans="1:9">
      <c r="A319" s="62">
        <f>ЦТО!A223</f>
        <v>0</v>
      </c>
      <c r="B319" s="62">
        <f>ЦТО!B223</f>
        <v>0</v>
      </c>
      <c r="C319" s="67">
        <f>ЦТО!C223</f>
        <v>0</v>
      </c>
      <c r="D319" s="63">
        <f>ЦТО!D223</f>
        <v>0</v>
      </c>
      <c r="E319" s="68">
        <f>SUM(ЦТО!BB223:BI223)</f>
        <v>0</v>
      </c>
      <c r="F319" s="64" t="str">
        <f>IF(E319&lt;10,'вспомогательные данные'!$C$26,IF(E319&lt;19,'вспомогательные данные'!$C$25,'вспомогательные данные'!$C$24))</f>
        <v>положительный</v>
      </c>
      <c r="G319" s="65">
        <f>(18-ЦТО!AM223-ЦТО!AL223)/(18-ЦТО!AL223-ЦТО!AP223)</f>
        <v>1</v>
      </c>
      <c r="H319" s="66" t="str">
        <f>IF(G319&lt;0.51,'вспомогательные данные'!$C$19,IF(G319&lt;0.92,'вспомогательные данные'!$C$20, IF(G319&lt;2,'вспомогательные данные'!$C$21,'вспомогательные данные'!$C$22)))</f>
        <v>оптимальная работоспособность</v>
      </c>
      <c r="I319" s="61" t="b">
        <f>IF(OR(ЦТО!AT223=1,ЦТО!AU223=1,ЦТО!AV223=1,ЦТО!AX223=1),"Положительная",IF(OR(ЦТО!AY223=1,ЦТО!AZ223=1,ЦТО!BA223=1),"Отрицательная",IF(OR(ЦТО!AW223=1),"Инфантильная")))</f>
        <v>0</v>
      </c>
    </row>
    <row r="320" spans="1:9">
      <c r="A320" s="62">
        <f>ЦТО!A224</f>
        <v>0</v>
      </c>
      <c r="B320" s="62">
        <f>ЦТО!B224</f>
        <v>0</v>
      </c>
      <c r="C320" s="67">
        <f>ЦТО!C224</f>
        <v>0</v>
      </c>
      <c r="D320" s="63">
        <f>ЦТО!D224</f>
        <v>0</v>
      </c>
      <c r="E320" s="68">
        <f>SUM(ЦТО!BB224:BI224)</f>
        <v>0</v>
      </c>
      <c r="F320" s="64" t="str">
        <f>IF(E320&lt;10,'вспомогательные данные'!$C$26,IF(E320&lt;19,'вспомогательные данные'!$C$25,'вспомогательные данные'!$C$24))</f>
        <v>положительный</v>
      </c>
      <c r="G320" s="65">
        <f>(18-ЦТО!AM224-ЦТО!AL224)/(18-ЦТО!AL224-ЦТО!AP224)</f>
        <v>1</v>
      </c>
      <c r="H320" s="66" t="str">
        <f>IF(G320&lt;0.51,'вспомогательные данные'!$C$19,IF(G320&lt;0.92,'вспомогательные данные'!$C$20, IF(G320&lt;2,'вспомогательные данные'!$C$21,'вспомогательные данные'!$C$22)))</f>
        <v>оптимальная работоспособность</v>
      </c>
      <c r="I320" s="61" t="b">
        <f>IF(OR(ЦТО!AT224=1,ЦТО!AU224=1,ЦТО!AV224=1,ЦТО!AX224=1),"Положительная",IF(OR(ЦТО!AY224=1,ЦТО!AZ224=1,ЦТО!BA224=1),"Отрицательная",IF(OR(ЦТО!AW224=1),"Инфантильная")))</f>
        <v>0</v>
      </c>
    </row>
    <row r="321" spans="1:9">
      <c r="A321" s="62">
        <f>ЦТО!A225</f>
        <v>0</v>
      </c>
      <c r="B321" s="62">
        <f>ЦТО!B225</f>
        <v>0</v>
      </c>
      <c r="C321" s="67">
        <f>ЦТО!C225</f>
        <v>0</v>
      </c>
      <c r="D321" s="63">
        <f>ЦТО!D225</f>
        <v>0</v>
      </c>
      <c r="E321" s="68">
        <f>SUM(ЦТО!BB225:BI225)</f>
        <v>0</v>
      </c>
      <c r="F321" s="64" t="str">
        <f>IF(E321&lt;10,'вспомогательные данные'!$C$26,IF(E321&lt;19,'вспомогательные данные'!$C$25,'вспомогательные данные'!$C$24))</f>
        <v>положительный</v>
      </c>
      <c r="G321" s="65">
        <f>(18-ЦТО!AM225-ЦТО!AL225)/(18-ЦТО!AL225-ЦТО!AP225)</f>
        <v>1</v>
      </c>
      <c r="H321" s="66" t="str">
        <f>IF(G321&lt;0.51,'вспомогательные данные'!$C$19,IF(G321&lt;0.92,'вспомогательные данные'!$C$20, IF(G321&lt;2,'вспомогательные данные'!$C$21,'вспомогательные данные'!$C$22)))</f>
        <v>оптимальная работоспособность</v>
      </c>
      <c r="I321" s="61" t="b">
        <f>IF(OR(ЦТО!AT225=1,ЦТО!AU225=1,ЦТО!AV225=1,ЦТО!AX225=1),"Положительная",IF(OR(ЦТО!AY225=1,ЦТО!AZ225=1,ЦТО!BA225=1),"Отрицательная",IF(OR(ЦТО!AW225=1),"Инфантильная")))</f>
        <v>0</v>
      </c>
    </row>
    <row r="322" spans="1:9">
      <c r="A322" s="62">
        <f>ЦТО!A226</f>
        <v>0</v>
      </c>
      <c r="B322" s="62">
        <f>ЦТО!B226</f>
        <v>0</v>
      </c>
      <c r="C322" s="67">
        <f>ЦТО!C226</f>
        <v>0</v>
      </c>
      <c r="D322" s="63">
        <f>ЦТО!D226</f>
        <v>0</v>
      </c>
      <c r="E322" s="68">
        <f>SUM(ЦТО!BB226:BI226)</f>
        <v>0</v>
      </c>
      <c r="F322" s="64" t="str">
        <f>IF(E322&lt;10,'вспомогательные данные'!$C$26,IF(E322&lt;19,'вспомогательные данные'!$C$25,'вспомогательные данные'!$C$24))</f>
        <v>положительный</v>
      </c>
      <c r="G322" s="65">
        <f>(18-ЦТО!AM226-ЦТО!AL226)/(18-ЦТО!AL226-ЦТО!AP226)</f>
        <v>1</v>
      </c>
      <c r="H322" s="66" t="str">
        <f>IF(G322&lt;0.51,'вспомогательные данные'!$C$19,IF(G322&lt;0.92,'вспомогательные данные'!$C$20, IF(G322&lt;2,'вспомогательные данные'!$C$21,'вспомогательные данные'!$C$22)))</f>
        <v>оптимальная работоспособность</v>
      </c>
      <c r="I322" s="61" t="b">
        <f>IF(OR(ЦТО!AT226=1,ЦТО!AU226=1,ЦТО!AV226=1,ЦТО!AX226=1),"Положительная",IF(OR(ЦТО!AY226=1,ЦТО!AZ226=1,ЦТО!BA226=1),"Отрицательная",IF(OR(ЦТО!AW226=1),"Инфантильная")))</f>
        <v>0</v>
      </c>
    </row>
    <row r="323" spans="1:9">
      <c r="A323" s="62">
        <f>ЦТО!A227</f>
        <v>0</v>
      </c>
      <c r="B323" s="62">
        <f>ЦТО!B227</f>
        <v>0</v>
      </c>
      <c r="C323" s="67">
        <f>ЦТО!C227</f>
        <v>0</v>
      </c>
      <c r="D323" s="63">
        <f>ЦТО!D227</f>
        <v>0</v>
      </c>
      <c r="E323" s="68">
        <f>SUM(ЦТО!BB227:BI227)</f>
        <v>0</v>
      </c>
      <c r="F323" s="64" t="str">
        <f>IF(E323&lt;10,'вспомогательные данные'!$C$26,IF(E323&lt;19,'вспомогательные данные'!$C$25,'вспомогательные данные'!$C$24))</f>
        <v>положительный</v>
      </c>
      <c r="G323" s="65">
        <f>(18-ЦТО!AM227-ЦТО!AL227)/(18-ЦТО!AL227-ЦТО!AP227)</f>
        <v>1</v>
      </c>
      <c r="H323" s="66" t="str">
        <f>IF(G323&lt;0.51,'вспомогательные данные'!$C$19,IF(G323&lt;0.92,'вспомогательные данные'!$C$20, IF(G323&lt;2,'вспомогательные данные'!$C$21,'вспомогательные данные'!$C$22)))</f>
        <v>оптимальная работоспособность</v>
      </c>
      <c r="I323" s="61" t="b">
        <f>IF(OR(ЦТО!AT227=1,ЦТО!AU227=1,ЦТО!AV227=1,ЦТО!AX227=1),"Положительная",IF(OR(ЦТО!AY227=1,ЦТО!AZ227=1,ЦТО!BA227=1),"Отрицательная",IF(OR(ЦТО!AW227=1),"Инфантильная")))</f>
        <v>0</v>
      </c>
    </row>
    <row r="324" spans="1:9">
      <c r="A324" s="62">
        <f>ЦТО!A228</f>
        <v>0</v>
      </c>
      <c r="B324" s="62">
        <f>ЦТО!B228</f>
        <v>0</v>
      </c>
      <c r="C324" s="67">
        <f>ЦТО!C228</f>
        <v>0</v>
      </c>
      <c r="D324" s="63">
        <f>ЦТО!D228</f>
        <v>0</v>
      </c>
      <c r="E324" s="68">
        <f>SUM(ЦТО!BB228:BI228)</f>
        <v>0</v>
      </c>
      <c r="F324" s="64" t="str">
        <f>IF(E324&lt;10,'вспомогательные данные'!$C$26,IF(E324&lt;19,'вспомогательные данные'!$C$25,'вспомогательные данные'!$C$24))</f>
        <v>положительный</v>
      </c>
      <c r="G324" s="65">
        <f>(18-ЦТО!AM228-ЦТО!AL228)/(18-ЦТО!AL228-ЦТО!AP228)</f>
        <v>1</v>
      </c>
      <c r="H324" s="66" t="str">
        <f>IF(G324&lt;0.51,'вспомогательные данные'!$C$19,IF(G324&lt;0.92,'вспомогательные данные'!$C$20, IF(G324&lt;2,'вспомогательные данные'!$C$21,'вспомогательные данные'!$C$22)))</f>
        <v>оптимальная работоспособность</v>
      </c>
      <c r="I324" s="61" t="b">
        <f>IF(OR(ЦТО!AT228=1,ЦТО!AU228=1,ЦТО!AV228=1,ЦТО!AX228=1),"Положительная",IF(OR(ЦТО!AY228=1,ЦТО!AZ228=1,ЦТО!BA228=1),"Отрицательная",IF(OR(ЦТО!AW228=1),"Инфантильная")))</f>
        <v>0</v>
      </c>
    </row>
    <row r="325" spans="1:9">
      <c r="A325" s="62">
        <f>ЦТО!A229</f>
        <v>0</v>
      </c>
      <c r="B325" s="62">
        <f>ЦТО!B229</f>
        <v>0</v>
      </c>
      <c r="C325" s="67">
        <f>ЦТО!C229</f>
        <v>0</v>
      </c>
      <c r="D325" s="63">
        <f>ЦТО!D229</f>
        <v>0</v>
      </c>
      <c r="E325" s="68">
        <f>SUM(ЦТО!BB229:BI229)</f>
        <v>0</v>
      </c>
      <c r="F325" s="64" t="str">
        <f>IF(E325&lt;10,'вспомогательные данные'!$C$26,IF(E325&lt;19,'вспомогательные данные'!$C$25,'вспомогательные данные'!$C$24))</f>
        <v>положительный</v>
      </c>
      <c r="G325" s="65">
        <f>(18-ЦТО!AM229-ЦТО!AL229)/(18-ЦТО!AL229-ЦТО!AP229)</f>
        <v>1</v>
      </c>
      <c r="H325" s="66" t="str">
        <f>IF(G325&lt;0.51,'вспомогательные данные'!$C$19,IF(G325&lt;0.92,'вспомогательные данные'!$C$20, IF(G325&lt;2,'вспомогательные данные'!$C$21,'вспомогательные данные'!$C$22)))</f>
        <v>оптимальная работоспособность</v>
      </c>
      <c r="I325" s="61" t="b">
        <f>IF(OR(ЦТО!AT229=1,ЦТО!AU229=1,ЦТО!AV229=1,ЦТО!AX229=1),"Положительная",IF(OR(ЦТО!AY229=1,ЦТО!AZ229=1,ЦТО!BA229=1),"Отрицательная",IF(OR(ЦТО!AW229=1),"Инфантильная")))</f>
        <v>0</v>
      </c>
    </row>
    <row r="326" spans="1:9">
      <c r="A326" s="62">
        <f>ЦТО!A230</f>
        <v>0</v>
      </c>
      <c r="B326" s="62">
        <f>ЦТО!B230</f>
        <v>0</v>
      </c>
      <c r="C326" s="67">
        <f>ЦТО!C230</f>
        <v>0</v>
      </c>
      <c r="D326" s="63">
        <f>ЦТО!D230</f>
        <v>0</v>
      </c>
      <c r="E326" s="68">
        <f>SUM(ЦТО!BB230:BI230)</f>
        <v>0</v>
      </c>
      <c r="F326" s="64" t="str">
        <f>IF(E326&lt;10,'вспомогательные данные'!$C$26,IF(E326&lt;19,'вспомогательные данные'!$C$25,'вспомогательные данные'!$C$24))</f>
        <v>положительный</v>
      </c>
      <c r="G326" s="65">
        <f>(18-ЦТО!AM230-ЦТО!AL230)/(18-ЦТО!AL230-ЦТО!AP230)</f>
        <v>1</v>
      </c>
      <c r="H326" s="66" t="str">
        <f>IF(G326&lt;0.51,'вспомогательные данные'!$C$19,IF(G326&lt;0.92,'вспомогательные данные'!$C$20, IF(G326&lt;2,'вспомогательные данные'!$C$21,'вспомогательные данные'!$C$22)))</f>
        <v>оптимальная работоспособность</v>
      </c>
      <c r="I326" s="61" t="b">
        <f>IF(OR(ЦТО!AT230=1,ЦТО!AU230=1,ЦТО!AV230=1,ЦТО!AX230=1),"Положительная",IF(OR(ЦТО!AY230=1,ЦТО!AZ230=1,ЦТО!BA230=1),"Отрицательная",IF(OR(ЦТО!AW230=1),"Инфантильная")))</f>
        <v>0</v>
      </c>
    </row>
    <row r="327" spans="1:9">
      <c r="A327" s="62">
        <f>ЦТО!A231</f>
        <v>0</v>
      </c>
      <c r="B327" s="62">
        <f>ЦТО!B231</f>
        <v>0</v>
      </c>
      <c r="C327" s="67">
        <f>ЦТО!C231</f>
        <v>0</v>
      </c>
      <c r="D327" s="63">
        <f>ЦТО!D231</f>
        <v>0</v>
      </c>
      <c r="E327" s="68">
        <f>SUM(ЦТО!BB231:BI231)</f>
        <v>0</v>
      </c>
      <c r="F327" s="64" t="str">
        <f>IF(E327&lt;10,'вспомогательные данные'!$C$26,IF(E327&lt;19,'вспомогательные данные'!$C$25,'вспомогательные данные'!$C$24))</f>
        <v>положительный</v>
      </c>
      <c r="G327" s="65">
        <f>(18-ЦТО!AM231-ЦТО!AL231)/(18-ЦТО!AL231-ЦТО!AP231)</f>
        <v>1</v>
      </c>
      <c r="H327" s="66" t="str">
        <f>IF(G327&lt;0.51,'вспомогательные данные'!$C$19,IF(G327&lt;0.92,'вспомогательные данные'!$C$20, IF(G327&lt;2,'вспомогательные данные'!$C$21,'вспомогательные данные'!$C$22)))</f>
        <v>оптимальная работоспособность</v>
      </c>
      <c r="I327" s="61" t="b">
        <f>IF(OR(ЦТО!AT231=1,ЦТО!AU231=1,ЦТО!AV231=1,ЦТО!AX231=1),"Положительная",IF(OR(ЦТО!AY231=1,ЦТО!AZ231=1,ЦТО!BA231=1),"Отрицательная",IF(OR(ЦТО!AW231=1),"Инфантильная")))</f>
        <v>0</v>
      </c>
    </row>
    <row r="328" spans="1:9">
      <c r="A328" s="62">
        <f>ЦТО!A232</f>
        <v>0</v>
      </c>
      <c r="B328" s="62">
        <f>ЦТО!B232</f>
        <v>0</v>
      </c>
      <c r="C328" s="67">
        <f>ЦТО!C232</f>
        <v>0</v>
      </c>
      <c r="D328" s="63">
        <f>ЦТО!D232</f>
        <v>0</v>
      </c>
      <c r="E328" s="68">
        <f>SUM(ЦТО!BB232:BI232)</f>
        <v>0</v>
      </c>
      <c r="F328" s="64" t="str">
        <f>IF(E328&lt;10,'вспомогательные данные'!$C$26,IF(E328&lt;19,'вспомогательные данные'!$C$25,'вспомогательные данные'!$C$24))</f>
        <v>положительный</v>
      </c>
      <c r="G328" s="65">
        <f>(18-ЦТО!AM232-ЦТО!AL232)/(18-ЦТО!AL232-ЦТО!AP232)</f>
        <v>1</v>
      </c>
      <c r="H328" s="66" t="str">
        <f>IF(G328&lt;0.51,'вспомогательные данные'!$C$19,IF(G328&lt;0.92,'вспомогательные данные'!$C$20, IF(G328&lt;2,'вспомогательные данные'!$C$21,'вспомогательные данные'!$C$22)))</f>
        <v>оптимальная работоспособность</v>
      </c>
      <c r="I328" s="61" t="b">
        <f>IF(OR(ЦТО!AT232=1,ЦТО!AU232=1,ЦТО!AV232=1,ЦТО!AX232=1),"Положительная",IF(OR(ЦТО!AY232=1,ЦТО!AZ232=1,ЦТО!BA232=1),"Отрицательная",IF(OR(ЦТО!AW232=1),"Инфантильная")))</f>
        <v>0</v>
      </c>
    </row>
    <row r="329" spans="1:9">
      <c r="A329" s="62">
        <f>ЦТО!A233</f>
        <v>0</v>
      </c>
      <c r="B329" s="62">
        <f>ЦТО!B233</f>
        <v>0</v>
      </c>
      <c r="C329" s="67">
        <f>ЦТО!C233</f>
        <v>0</v>
      </c>
      <c r="D329" s="63">
        <f>ЦТО!D233</f>
        <v>0</v>
      </c>
      <c r="E329" s="68">
        <f>SUM(ЦТО!BB233:BI233)</f>
        <v>0</v>
      </c>
      <c r="F329" s="64" t="str">
        <f>IF(E329&lt;10,'вспомогательные данные'!$C$26,IF(E329&lt;19,'вспомогательные данные'!$C$25,'вспомогательные данные'!$C$24))</f>
        <v>положительный</v>
      </c>
      <c r="G329" s="65">
        <f>(18-ЦТО!AM233-ЦТО!AL233)/(18-ЦТО!AL233-ЦТО!AP233)</f>
        <v>1</v>
      </c>
      <c r="H329" s="66" t="str">
        <f>IF(G329&lt;0.51,'вспомогательные данные'!$C$19,IF(G329&lt;0.92,'вспомогательные данные'!$C$20, IF(G329&lt;2,'вспомогательные данные'!$C$21,'вспомогательные данные'!$C$22)))</f>
        <v>оптимальная работоспособность</v>
      </c>
      <c r="I329" s="61" t="b">
        <f>IF(OR(ЦТО!AT233=1,ЦТО!AU233=1,ЦТО!AV233=1,ЦТО!AX233=1),"Положительная",IF(OR(ЦТО!AY233=1,ЦТО!AZ233=1,ЦТО!BA233=1),"Отрицательная",IF(OR(ЦТО!AW233=1),"Инфантильная")))</f>
        <v>0</v>
      </c>
    </row>
    <row r="330" spans="1:9">
      <c r="A330" s="62">
        <f>ЦТО!A234</f>
        <v>0</v>
      </c>
      <c r="B330" s="62">
        <f>ЦТО!B234</f>
        <v>0</v>
      </c>
      <c r="C330" s="67">
        <f>ЦТО!C234</f>
        <v>0</v>
      </c>
      <c r="D330" s="63">
        <f>ЦТО!D234</f>
        <v>0</v>
      </c>
      <c r="E330" s="68">
        <f>SUM(ЦТО!BB234:BI234)</f>
        <v>0</v>
      </c>
      <c r="F330" s="64" t="str">
        <f>IF(E330&lt;10,'вспомогательные данные'!$C$26,IF(E330&lt;19,'вспомогательные данные'!$C$25,'вспомогательные данные'!$C$24))</f>
        <v>положительный</v>
      </c>
      <c r="G330" s="65">
        <f>(18-ЦТО!AM234-ЦТО!AL234)/(18-ЦТО!AL234-ЦТО!AP234)</f>
        <v>1</v>
      </c>
      <c r="H330" s="66" t="str">
        <f>IF(G330&lt;0.51,'вспомогательные данные'!$C$19,IF(G330&lt;0.92,'вспомогательные данные'!$C$20, IF(G330&lt;2,'вспомогательные данные'!$C$21,'вспомогательные данные'!$C$22)))</f>
        <v>оптимальная работоспособность</v>
      </c>
      <c r="I330" s="61" t="b">
        <f>IF(OR(ЦТО!AT234=1,ЦТО!AU234=1,ЦТО!AV234=1,ЦТО!AX234=1),"Положительная",IF(OR(ЦТО!AY234=1,ЦТО!AZ234=1,ЦТО!BA234=1),"Отрицательная",IF(OR(ЦТО!AW234=1),"Инфантильная")))</f>
        <v>0</v>
      </c>
    </row>
    <row r="331" spans="1:9">
      <c r="A331" s="62">
        <f>ЦТО!A235</f>
        <v>0</v>
      </c>
      <c r="B331" s="62">
        <f>ЦТО!B235</f>
        <v>0</v>
      </c>
      <c r="C331" s="67">
        <f>ЦТО!C235</f>
        <v>0</v>
      </c>
      <c r="D331" s="63">
        <f>ЦТО!D235</f>
        <v>0</v>
      </c>
      <c r="E331" s="68">
        <f>SUM(ЦТО!BB235:BI235)</f>
        <v>0</v>
      </c>
      <c r="F331" s="64" t="str">
        <f>IF(E331&lt;10,'вспомогательные данные'!$C$26,IF(E331&lt;19,'вспомогательные данные'!$C$25,'вспомогательные данные'!$C$24))</f>
        <v>положительный</v>
      </c>
      <c r="G331" s="65">
        <f>(18-ЦТО!AM235-ЦТО!AL235)/(18-ЦТО!AL235-ЦТО!AP235)</f>
        <v>1</v>
      </c>
      <c r="H331" s="66" t="str">
        <f>IF(G331&lt;0.51,'вспомогательные данные'!$C$19,IF(G331&lt;0.92,'вспомогательные данные'!$C$20, IF(G331&lt;2,'вспомогательные данные'!$C$21,'вспомогательные данные'!$C$22)))</f>
        <v>оптимальная работоспособность</v>
      </c>
      <c r="I331" s="61" t="b">
        <f>IF(OR(ЦТО!AT235=1,ЦТО!AU235=1,ЦТО!AV235=1,ЦТО!AX235=1),"Положительная",IF(OR(ЦТО!AY235=1,ЦТО!AZ235=1,ЦТО!BA235=1),"Отрицательная",IF(OR(ЦТО!AW235=1),"Инфантильная")))</f>
        <v>0</v>
      </c>
    </row>
    <row r="332" spans="1:9">
      <c r="A332" s="62">
        <f>ЦТО!A236</f>
        <v>0</v>
      </c>
      <c r="B332" s="62">
        <f>ЦТО!B236</f>
        <v>0</v>
      </c>
      <c r="C332" s="67">
        <f>ЦТО!C236</f>
        <v>0</v>
      </c>
      <c r="D332" s="63">
        <f>ЦТО!D236</f>
        <v>0</v>
      </c>
      <c r="E332" s="68">
        <f>SUM(ЦТО!BB236:BI236)</f>
        <v>0</v>
      </c>
      <c r="F332" s="64" t="str">
        <f>IF(E332&lt;10,'вспомогательные данные'!$C$26,IF(E332&lt;19,'вспомогательные данные'!$C$25,'вспомогательные данные'!$C$24))</f>
        <v>положительный</v>
      </c>
      <c r="G332" s="65">
        <f>(18-ЦТО!AM236-ЦТО!AL236)/(18-ЦТО!AL236-ЦТО!AP236)</f>
        <v>1</v>
      </c>
      <c r="H332" s="66" t="str">
        <f>IF(G332&lt;0.51,'вспомогательные данные'!$C$19,IF(G332&lt;0.92,'вспомогательные данные'!$C$20, IF(G332&lt;2,'вспомогательные данные'!$C$21,'вспомогательные данные'!$C$22)))</f>
        <v>оптимальная работоспособность</v>
      </c>
      <c r="I332" s="61" t="b">
        <f>IF(OR(ЦТО!AT236=1,ЦТО!AU236=1,ЦТО!AV236=1,ЦТО!AX236=1),"Положительная",IF(OR(ЦТО!AY236=1,ЦТО!AZ236=1,ЦТО!BA236=1),"Отрицательная",IF(OR(ЦТО!AW236=1),"Инфантильная")))</f>
        <v>0</v>
      </c>
    </row>
    <row r="333" spans="1:9">
      <c r="A333" s="62">
        <f>ЦТО!A237</f>
        <v>0</v>
      </c>
      <c r="B333" s="62">
        <f>ЦТО!B237</f>
        <v>0</v>
      </c>
      <c r="C333" s="67">
        <f>ЦТО!C237</f>
        <v>0</v>
      </c>
      <c r="D333" s="63">
        <f>ЦТО!D237</f>
        <v>0</v>
      </c>
      <c r="E333" s="68">
        <f>SUM(ЦТО!BB237:BI237)</f>
        <v>0</v>
      </c>
      <c r="F333" s="64" t="str">
        <f>IF(E333&lt;10,'вспомогательные данные'!$C$26,IF(E333&lt;19,'вспомогательные данные'!$C$25,'вспомогательные данные'!$C$24))</f>
        <v>положительный</v>
      </c>
      <c r="G333" s="65">
        <f>(18-ЦТО!AM237-ЦТО!AL237)/(18-ЦТО!AL237-ЦТО!AP237)</f>
        <v>1</v>
      </c>
      <c r="H333" s="66" t="str">
        <f>IF(G333&lt;0.51,'вспомогательные данные'!$C$19,IF(G333&lt;0.92,'вспомогательные данные'!$C$20, IF(G333&lt;2,'вспомогательные данные'!$C$21,'вспомогательные данные'!$C$22)))</f>
        <v>оптимальная работоспособность</v>
      </c>
      <c r="I333" s="61" t="b">
        <f>IF(OR(ЦТО!AT237=1,ЦТО!AU237=1,ЦТО!AV237=1,ЦТО!AX237=1),"Положительная",IF(OR(ЦТО!AY237=1,ЦТО!AZ237=1,ЦТО!BA237=1),"Отрицательная",IF(OR(ЦТО!AW237=1),"Инфантильная")))</f>
        <v>0</v>
      </c>
    </row>
    <row r="334" spans="1:9">
      <c r="A334" s="62">
        <f>ЦТО!A238</f>
        <v>0</v>
      </c>
      <c r="B334" s="62">
        <f>ЦТО!B238</f>
        <v>0</v>
      </c>
      <c r="C334" s="67">
        <f>ЦТО!C238</f>
        <v>0</v>
      </c>
      <c r="D334" s="63">
        <f>ЦТО!D238</f>
        <v>0</v>
      </c>
      <c r="E334" s="68">
        <f>SUM(ЦТО!BB238:BI238)</f>
        <v>0</v>
      </c>
      <c r="F334" s="64" t="str">
        <f>IF(E334&lt;10,'вспомогательные данные'!$C$26,IF(E334&lt;19,'вспомогательные данные'!$C$25,'вспомогательные данные'!$C$24))</f>
        <v>положительный</v>
      </c>
      <c r="G334" s="65">
        <f>(18-ЦТО!AM238-ЦТО!AL238)/(18-ЦТО!AL238-ЦТО!AP238)</f>
        <v>1</v>
      </c>
      <c r="H334" s="66" t="str">
        <f>IF(G334&lt;0.51,'вспомогательные данные'!$C$19,IF(G334&lt;0.92,'вспомогательные данные'!$C$20, IF(G334&lt;2,'вспомогательные данные'!$C$21,'вспомогательные данные'!$C$22)))</f>
        <v>оптимальная работоспособность</v>
      </c>
      <c r="I334" s="61" t="b">
        <f>IF(OR(ЦТО!AT238=1,ЦТО!AU238=1,ЦТО!AV238=1,ЦТО!AX238=1),"Положительная",IF(OR(ЦТО!AY238=1,ЦТО!AZ238=1,ЦТО!BA238=1),"Отрицательная",IF(OR(ЦТО!AW238=1),"Инфантильная")))</f>
        <v>0</v>
      </c>
    </row>
    <row r="335" spans="1:9">
      <c r="A335" s="62">
        <f>ЦТО!A239</f>
        <v>0</v>
      </c>
      <c r="B335" s="62">
        <f>ЦТО!B239</f>
        <v>0</v>
      </c>
      <c r="C335" s="67">
        <f>ЦТО!C239</f>
        <v>0</v>
      </c>
      <c r="D335" s="63">
        <f>ЦТО!D239</f>
        <v>0</v>
      </c>
      <c r="E335" s="68">
        <f>SUM(ЦТО!BB239:BI239)</f>
        <v>0</v>
      </c>
      <c r="F335" s="64" t="str">
        <f>IF(E335&lt;10,'вспомогательные данные'!$C$26,IF(E335&lt;19,'вспомогательные данные'!$C$25,'вспомогательные данные'!$C$24))</f>
        <v>положительный</v>
      </c>
      <c r="G335" s="65">
        <f>(18-ЦТО!AM239-ЦТО!AL239)/(18-ЦТО!AL239-ЦТО!AP239)</f>
        <v>1</v>
      </c>
      <c r="H335" s="66" t="str">
        <f>IF(G335&lt;0.51,'вспомогательные данные'!$C$19,IF(G335&lt;0.92,'вспомогательные данные'!$C$20, IF(G335&lt;2,'вспомогательные данные'!$C$21,'вспомогательные данные'!$C$22)))</f>
        <v>оптимальная работоспособность</v>
      </c>
      <c r="I335" s="61" t="b">
        <f>IF(OR(ЦТО!AT239=1,ЦТО!AU239=1,ЦТО!AV239=1,ЦТО!AX239=1),"Положительная",IF(OR(ЦТО!AY239=1,ЦТО!AZ239=1,ЦТО!BA239=1),"Отрицательная",IF(OR(ЦТО!AW239=1),"Инфантильная")))</f>
        <v>0</v>
      </c>
    </row>
    <row r="336" spans="1:9">
      <c r="A336" s="62">
        <f>ЦТО!A240</f>
        <v>0</v>
      </c>
      <c r="B336" s="62">
        <f>ЦТО!B240</f>
        <v>0</v>
      </c>
      <c r="C336" s="67">
        <f>ЦТО!C240</f>
        <v>0</v>
      </c>
      <c r="D336" s="63">
        <f>ЦТО!D240</f>
        <v>0</v>
      </c>
      <c r="E336" s="68">
        <f>SUM(ЦТО!BB240:BI240)</f>
        <v>0</v>
      </c>
      <c r="F336" s="64" t="str">
        <f>IF(E336&lt;10,'вспомогательные данные'!$C$26,IF(E336&lt;19,'вспомогательные данные'!$C$25,'вспомогательные данные'!$C$24))</f>
        <v>положительный</v>
      </c>
      <c r="G336" s="65">
        <f>(18-ЦТО!AM240-ЦТО!AL240)/(18-ЦТО!AL240-ЦТО!AP240)</f>
        <v>1</v>
      </c>
      <c r="H336" s="66" t="str">
        <f>IF(G336&lt;0.51,'вспомогательные данные'!$C$19,IF(G336&lt;0.92,'вспомогательные данные'!$C$20, IF(G336&lt;2,'вспомогательные данные'!$C$21,'вспомогательные данные'!$C$22)))</f>
        <v>оптимальная работоспособность</v>
      </c>
      <c r="I336" s="61" t="b">
        <f>IF(OR(ЦТО!AT240=1,ЦТО!AU240=1,ЦТО!AV240=1,ЦТО!AX240=1),"Положительная",IF(OR(ЦТО!AY240=1,ЦТО!AZ240=1,ЦТО!BA240=1),"Отрицательная",IF(OR(ЦТО!AW240=1),"Инфантильная")))</f>
        <v>0</v>
      </c>
    </row>
    <row r="337" spans="1:9">
      <c r="A337" s="62">
        <f>ЦТО!A241</f>
        <v>0</v>
      </c>
      <c r="B337" s="62">
        <f>ЦТО!B241</f>
        <v>0</v>
      </c>
      <c r="C337" s="67">
        <f>ЦТО!C241</f>
        <v>0</v>
      </c>
      <c r="D337" s="63">
        <f>ЦТО!D241</f>
        <v>0</v>
      </c>
      <c r="E337" s="68">
        <f>SUM(ЦТО!BB241:BI241)</f>
        <v>0</v>
      </c>
      <c r="F337" s="64" t="str">
        <f>IF(E337&lt;10,'вспомогательные данные'!$C$26,IF(E337&lt;19,'вспомогательные данные'!$C$25,'вспомогательные данные'!$C$24))</f>
        <v>положительный</v>
      </c>
      <c r="G337" s="65">
        <f>(18-ЦТО!AM241-ЦТО!AL241)/(18-ЦТО!AL241-ЦТО!AP241)</f>
        <v>1</v>
      </c>
      <c r="H337" s="66" t="str">
        <f>IF(G337&lt;0.51,'вспомогательные данные'!$C$19,IF(G337&lt;0.92,'вспомогательные данные'!$C$20, IF(G337&lt;2,'вспомогательные данные'!$C$21,'вспомогательные данные'!$C$22)))</f>
        <v>оптимальная работоспособность</v>
      </c>
      <c r="I337" s="61" t="b">
        <f>IF(OR(ЦТО!AT241=1,ЦТО!AU241=1,ЦТО!AV241=1,ЦТО!AX241=1),"Положительная",IF(OR(ЦТО!AY241=1,ЦТО!AZ241=1,ЦТО!BA241=1),"Отрицательная",IF(OR(ЦТО!AW241=1),"Инфантильная")))</f>
        <v>0</v>
      </c>
    </row>
    <row r="338" spans="1:9">
      <c r="A338" s="62">
        <f>ЦТО!A242</f>
        <v>0</v>
      </c>
      <c r="B338" s="62">
        <f>ЦТО!B242</f>
        <v>0</v>
      </c>
      <c r="C338" s="67">
        <f>ЦТО!C242</f>
        <v>0</v>
      </c>
      <c r="D338" s="63">
        <f>ЦТО!D242</f>
        <v>0</v>
      </c>
      <c r="E338" s="68">
        <f>SUM(ЦТО!BB242:BI242)</f>
        <v>0</v>
      </c>
      <c r="F338" s="64" t="str">
        <f>IF(E338&lt;10,'вспомогательные данные'!$C$26,IF(E338&lt;19,'вспомогательные данные'!$C$25,'вспомогательные данные'!$C$24))</f>
        <v>положительный</v>
      </c>
      <c r="G338" s="65">
        <f>(18-ЦТО!AM242-ЦТО!AL242)/(18-ЦТО!AL242-ЦТО!AP242)</f>
        <v>1</v>
      </c>
      <c r="H338" s="66" t="str">
        <f>IF(G338&lt;0.51,'вспомогательные данные'!$C$19,IF(G338&lt;0.92,'вспомогательные данные'!$C$20, IF(G338&lt;2,'вспомогательные данные'!$C$21,'вспомогательные данные'!$C$22)))</f>
        <v>оптимальная работоспособность</v>
      </c>
      <c r="I338" s="61" t="b">
        <f>IF(OR(ЦТО!AT242=1,ЦТО!AU242=1,ЦТО!AV242=1,ЦТО!AX242=1),"Положительная",IF(OR(ЦТО!AY242=1,ЦТО!AZ242=1,ЦТО!BA242=1),"Отрицательная",IF(OR(ЦТО!AW242=1),"Инфантильная")))</f>
        <v>0</v>
      </c>
    </row>
    <row r="339" spans="1:9">
      <c r="A339" s="62">
        <f>ЦТО!A243</f>
        <v>0</v>
      </c>
      <c r="B339" s="62">
        <f>ЦТО!B243</f>
        <v>0</v>
      </c>
      <c r="C339" s="67">
        <f>ЦТО!C243</f>
        <v>0</v>
      </c>
      <c r="D339" s="63">
        <f>ЦТО!D243</f>
        <v>0</v>
      </c>
      <c r="E339" s="68">
        <f>SUM(ЦТО!BB243:BI243)</f>
        <v>0</v>
      </c>
      <c r="F339" s="64" t="str">
        <f>IF(E339&lt;10,'вспомогательные данные'!$C$26,IF(E339&lt;19,'вспомогательные данные'!$C$25,'вспомогательные данные'!$C$24))</f>
        <v>положительный</v>
      </c>
      <c r="G339" s="65">
        <f>(18-ЦТО!AM243-ЦТО!AL243)/(18-ЦТО!AL243-ЦТО!AP243)</f>
        <v>1</v>
      </c>
      <c r="H339" s="66" t="str">
        <f>IF(G339&lt;0.51,'вспомогательные данные'!$C$19,IF(G339&lt;0.92,'вспомогательные данные'!$C$20, IF(G339&lt;2,'вспомогательные данные'!$C$21,'вспомогательные данные'!$C$22)))</f>
        <v>оптимальная работоспособность</v>
      </c>
      <c r="I339" s="61" t="b">
        <f>IF(OR(ЦТО!AT243=1,ЦТО!AU243=1,ЦТО!AV243=1,ЦТО!AX243=1),"Положительная",IF(OR(ЦТО!AY243=1,ЦТО!AZ243=1,ЦТО!BA243=1),"Отрицательная",IF(OR(ЦТО!AW243=1),"Инфантильная")))</f>
        <v>0</v>
      </c>
    </row>
    <row r="340" spans="1:9">
      <c r="A340" s="62">
        <f>ЦТО!A244</f>
        <v>0</v>
      </c>
      <c r="B340" s="62">
        <f>ЦТО!B244</f>
        <v>0</v>
      </c>
      <c r="C340" s="67">
        <f>ЦТО!C244</f>
        <v>0</v>
      </c>
      <c r="D340" s="63">
        <f>ЦТО!D244</f>
        <v>0</v>
      </c>
      <c r="E340" s="68">
        <f>SUM(ЦТО!BB244:BI244)</f>
        <v>0</v>
      </c>
      <c r="F340" s="64" t="str">
        <f>IF(E340&lt;10,'вспомогательные данные'!$C$26,IF(E340&lt;19,'вспомогательные данные'!$C$25,'вспомогательные данные'!$C$24))</f>
        <v>положительный</v>
      </c>
      <c r="G340" s="65">
        <f>(18-ЦТО!AM244-ЦТО!AL244)/(18-ЦТО!AL244-ЦТО!AP244)</f>
        <v>1</v>
      </c>
      <c r="H340" s="66" t="str">
        <f>IF(G340&lt;0.51,'вспомогательные данные'!$C$19,IF(G340&lt;0.92,'вспомогательные данные'!$C$20, IF(G340&lt;2,'вспомогательные данные'!$C$21,'вспомогательные данные'!$C$22)))</f>
        <v>оптимальная работоспособность</v>
      </c>
      <c r="I340" s="61" t="b">
        <f>IF(OR(ЦТО!AT244=1,ЦТО!AU244=1,ЦТО!AV244=1,ЦТО!AX244=1),"Положительная",IF(OR(ЦТО!AY244=1,ЦТО!AZ244=1,ЦТО!BA244=1),"Отрицательная",IF(OR(ЦТО!AW244=1),"Инфантильная")))</f>
        <v>0</v>
      </c>
    </row>
    <row r="341" spans="1:9">
      <c r="A341" s="62">
        <f>ЦТО!A245</f>
        <v>0</v>
      </c>
      <c r="B341" s="62">
        <f>ЦТО!B245</f>
        <v>0</v>
      </c>
      <c r="C341" s="67">
        <f>ЦТО!C245</f>
        <v>0</v>
      </c>
      <c r="D341" s="63">
        <f>ЦТО!D245</f>
        <v>0</v>
      </c>
      <c r="E341" s="68">
        <f>SUM(ЦТО!BB245:BI245)</f>
        <v>0</v>
      </c>
      <c r="F341" s="64" t="str">
        <f>IF(E341&lt;10,'вспомогательные данные'!$C$26,IF(E341&lt;19,'вспомогательные данные'!$C$25,'вспомогательные данные'!$C$24))</f>
        <v>положительный</v>
      </c>
      <c r="G341" s="65">
        <f>(18-ЦТО!AM245-ЦТО!AL245)/(18-ЦТО!AL245-ЦТО!AP245)</f>
        <v>1</v>
      </c>
      <c r="H341" s="66" t="str">
        <f>IF(G341&lt;0.51,'вспомогательные данные'!$C$19,IF(G341&lt;0.92,'вспомогательные данные'!$C$20, IF(G341&lt;2,'вспомогательные данные'!$C$21,'вспомогательные данные'!$C$22)))</f>
        <v>оптимальная работоспособность</v>
      </c>
      <c r="I341" s="61" t="b">
        <f>IF(OR(ЦТО!AT245=1,ЦТО!AU245=1,ЦТО!AV245=1,ЦТО!AX245=1),"Положительная",IF(OR(ЦТО!AY245=1,ЦТО!AZ245=1,ЦТО!BA245=1),"Отрицательная",IF(OR(ЦТО!AW245=1),"Инфантильная")))</f>
        <v>0</v>
      </c>
    </row>
    <row r="342" spans="1:9">
      <c r="A342" s="62">
        <f>ЦТО!A246</f>
        <v>0</v>
      </c>
      <c r="B342" s="62">
        <f>ЦТО!B246</f>
        <v>0</v>
      </c>
      <c r="C342" s="67">
        <f>ЦТО!C246</f>
        <v>0</v>
      </c>
      <c r="D342" s="63">
        <f>ЦТО!D246</f>
        <v>0</v>
      </c>
      <c r="E342" s="68">
        <f>SUM(ЦТО!BB246:BI246)</f>
        <v>0</v>
      </c>
      <c r="F342" s="64" t="str">
        <f>IF(E342&lt;10,'вспомогательные данные'!$C$26,IF(E342&lt;19,'вспомогательные данные'!$C$25,'вспомогательные данные'!$C$24))</f>
        <v>положительный</v>
      </c>
      <c r="G342" s="65">
        <f>(18-ЦТО!AM246-ЦТО!AL246)/(18-ЦТО!AL246-ЦТО!AP246)</f>
        <v>1</v>
      </c>
      <c r="H342" s="66" t="str">
        <f>IF(G342&lt;0.51,'вспомогательные данные'!$C$19,IF(G342&lt;0.92,'вспомогательные данные'!$C$20, IF(G342&lt;2,'вспомогательные данные'!$C$21,'вспомогательные данные'!$C$22)))</f>
        <v>оптимальная работоспособность</v>
      </c>
      <c r="I342" s="61" t="b">
        <f>IF(OR(ЦТО!AT246=1,ЦТО!AU246=1,ЦТО!AV246=1,ЦТО!AX246=1),"Положительная",IF(OR(ЦТО!AY246=1,ЦТО!AZ246=1,ЦТО!BA246=1),"Отрицательная",IF(OR(ЦТО!AW246=1),"Инфантильная")))</f>
        <v>0</v>
      </c>
    </row>
    <row r="343" spans="1:9">
      <c r="A343" s="62">
        <f>ЦТО!A247</f>
        <v>0</v>
      </c>
      <c r="B343" s="62">
        <f>ЦТО!B247</f>
        <v>0</v>
      </c>
      <c r="C343" s="67">
        <f>ЦТО!C247</f>
        <v>0</v>
      </c>
      <c r="D343" s="63">
        <f>ЦТО!D247</f>
        <v>0</v>
      </c>
      <c r="E343" s="68">
        <f>SUM(ЦТО!BB247:BI247)</f>
        <v>0</v>
      </c>
      <c r="F343" s="64" t="str">
        <f>IF(E343&lt;10,'вспомогательные данные'!$C$26,IF(E343&lt;19,'вспомогательные данные'!$C$25,'вспомогательные данные'!$C$24))</f>
        <v>положительный</v>
      </c>
      <c r="G343" s="65">
        <f>(18-ЦТО!AM247-ЦТО!AL247)/(18-ЦТО!AL247-ЦТО!AP247)</f>
        <v>1</v>
      </c>
      <c r="H343" s="66" t="str">
        <f>IF(G343&lt;0.51,'вспомогательные данные'!$C$19,IF(G343&lt;0.92,'вспомогательные данные'!$C$20, IF(G343&lt;2,'вспомогательные данные'!$C$21,'вспомогательные данные'!$C$22)))</f>
        <v>оптимальная работоспособность</v>
      </c>
      <c r="I343" s="61" t="b">
        <f>IF(OR(ЦТО!AT247=1,ЦТО!AU247=1,ЦТО!AV247=1,ЦТО!AX247=1),"Положительная",IF(OR(ЦТО!AY247=1,ЦТО!AZ247=1,ЦТО!BA247=1),"Отрицательная",IF(OR(ЦТО!AW247=1),"Инфантильная")))</f>
        <v>0</v>
      </c>
    </row>
    <row r="344" spans="1:9">
      <c r="A344" s="62">
        <f>ЦТО!A248</f>
        <v>0</v>
      </c>
      <c r="B344" s="62">
        <f>ЦТО!B248</f>
        <v>0</v>
      </c>
      <c r="C344" s="67">
        <f>ЦТО!C248</f>
        <v>0</v>
      </c>
      <c r="D344" s="63">
        <f>ЦТО!D248</f>
        <v>0</v>
      </c>
      <c r="E344" s="68">
        <f>SUM(ЦТО!BB248:BI248)</f>
        <v>0</v>
      </c>
      <c r="F344" s="64" t="str">
        <f>IF(E344&lt;10,'вспомогательные данные'!$C$26,IF(E344&lt;19,'вспомогательные данные'!$C$25,'вспомогательные данные'!$C$24))</f>
        <v>положительный</v>
      </c>
      <c r="G344" s="65">
        <f>(18-ЦТО!AM248-ЦТО!AL248)/(18-ЦТО!AL248-ЦТО!AP248)</f>
        <v>1</v>
      </c>
      <c r="H344" s="66" t="str">
        <f>IF(G344&lt;0.51,'вспомогательные данные'!$C$19,IF(G344&lt;0.92,'вспомогательные данные'!$C$20, IF(G344&lt;2,'вспомогательные данные'!$C$21,'вспомогательные данные'!$C$22)))</f>
        <v>оптимальная работоспособность</v>
      </c>
      <c r="I344" s="61" t="b">
        <f>IF(OR(ЦТО!AT248=1,ЦТО!AU248=1,ЦТО!AV248=1,ЦТО!AX248=1),"Положительная",IF(OR(ЦТО!AY248=1,ЦТО!AZ248=1,ЦТО!BA248=1),"Отрицательная",IF(OR(ЦТО!AW248=1),"Инфантильная")))</f>
        <v>0</v>
      </c>
    </row>
    <row r="345" spans="1:9">
      <c r="A345" s="62">
        <f>ЦТО!A249</f>
        <v>0</v>
      </c>
      <c r="B345" s="62">
        <f>ЦТО!B249</f>
        <v>0</v>
      </c>
      <c r="C345" s="67">
        <f>ЦТО!C249</f>
        <v>0</v>
      </c>
      <c r="D345" s="63">
        <f>ЦТО!D249</f>
        <v>0</v>
      </c>
      <c r="E345" s="68">
        <f>SUM(ЦТО!BB249:BI249)</f>
        <v>0</v>
      </c>
      <c r="F345" s="64" t="str">
        <f>IF(E345&lt;10,'вспомогательные данные'!$C$26,IF(E345&lt;19,'вспомогательные данные'!$C$25,'вспомогательные данные'!$C$24))</f>
        <v>положительный</v>
      </c>
      <c r="G345" s="65">
        <f>(18-ЦТО!AM249-ЦТО!AL249)/(18-ЦТО!AL249-ЦТО!AP249)</f>
        <v>1</v>
      </c>
      <c r="H345" s="66" t="str">
        <f>IF(G345&lt;0.51,'вспомогательные данные'!$C$19,IF(G345&lt;0.92,'вспомогательные данные'!$C$20, IF(G345&lt;2,'вспомогательные данные'!$C$21,'вспомогательные данные'!$C$22)))</f>
        <v>оптимальная работоспособность</v>
      </c>
      <c r="I345" s="61" t="b">
        <f>IF(OR(ЦТО!AT249=1,ЦТО!AU249=1,ЦТО!AV249=1,ЦТО!AX249=1),"Положительная",IF(OR(ЦТО!AY249=1,ЦТО!AZ249=1,ЦТО!BA249=1),"Отрицательная",IF(OR(ЦТО!AW249=1),"Инфантильная")))</f>
        <v>0</v>
      </c>
    </row>
    <row r="346" spans="1:9">
      <c r="A346" s="62">
        <f>ЦТО!A250</f>
        <v>0</v>
      </c>
      <c r="B346" s="62">
        <f>ЦТО!B250</f>
        <v>0</v>
      </c>
      <c r="C346" s="67">
        <f>ЦТО!C250</f>
        <v>0</v>
      </c>
      <c r="D346" s="63">
        <f>ЦТО!D250</f>
        <v>0</v>
      </c>
      <c r="E346" s="68">
        <f>SUM(ЦТО!BB250:BI250)</f>
        <v>0</v>
      </c>
      <c r="F346" s="64" t="str">
        <f>IF(E346&lt;10,'вспомогательные данные'!$C$26,IF(E346&lt;19,'вспомогательные данные'!$C$25,'вспомогательные данные'!$C$24))</f>
        <v>положительный</v>
      </c>
      <c r="G346" s="65">
        <f>(18-ЦТО!AM250-ЦТО!AL250)/(18-ЦТО!AL250-ЦТО!AP250)</f>
        <v>1</v>
      </c>
      <c r="H346" s="66" t="str">
        <f>IF(G346&lt;0.51,'вспомогательные данные'!$C$19,IF(G346&lt;0.92,'вспомогательные данные'!$C$20, IF(G346&lt;2,'вспомогательные данные'!$C$21,'вспомогательные данные'!$C$22)))</f>
        <v>оптимальная работоспособность</v>
      </c>
      <c r="I346" s="61" t="b">
        <f>IF(OR(ЦТО!AT250=1,ЦТО!AU250=1,ЦТО!AV250=1,ЦТО!AX250=1),"Положительная",IF(OR(ЦТО!AY250=1,ЦТО!AZ250=1,ЦТО!BA250=1),"Отрицательная",IF(OR(ЦТО!AW250=1),"Инфантильная")))</f>
        <v>0</v>
      </c>
    </row>
    <row r="347" spans="1:9">
      <c r="A347" s="62">
        <f>ЦТО!A251</f>
        <v>0</v>
      </c>
      <c r="B347" s="62">
        <f>ЦТО!B251</f>
        <v>0</v>
      </c>
      <c r="C347" s="67">
        <f>ЦТО!C251</f>
        <v>0</v>
      </c>
      <c r="D347" s="63">
        <f>ЦТО!D251</f>
        <v>0</v>
      </c>
      <c r="E347" s="68">
        <f>SUM(ЦТО!BB251:BI251)</f>
        <v>0</v>
      </c>
      <c r="F347" s="64" t="str">
        <f>IF(E347&lt;10,'вспомогательные данные'!$C$26,IF(E347&lt;19,'вспомогательные данные'!$C$25,'вспомогательные данные'!$C$24))</f>
        <v>положительный</v>
      </c>
      <c r="G347" s="65">
        <f>(18-ЦТО!AM251-ЦТО!AL251)/(18-ЦТО!AL251-ЦТО!AP251)</f>
        <v>1</v>
      </c>
      <c r="H347" s="66" t="str">
        <f>IF(G347&lt;0.51,'вспомогательные данные'!$C$19,IF(G347&lt;0.92,'вспомогательные данные'!$C$20, IF(G347&lt;2,'вспомогательные данные'!$C$21,'вспомогательные данные'!$C$22)))</f>
        <v>оптимальная работоспособность</v>
      </c>
      <c r="I347" s="61" t="b">
        <f>IF(OR(ЦТО!AT251=1,ЦТО!AU251=1,ЦТО!AV251=1,ЦТО!AX251=1),"Положительная",IF(OR(ЦТО!AY251=1,ЦТО!AZ251=1,ЦТО!BA251=1),"Отрицательная",IF(OR(ЦТО!AW251=1),"Инфантильная")))</f>
        <v>0</v>
      </c>
    </row>
    <row r="348" spans="1:9">
      <c r="A348" s="62">
        <f>ЦТО!A252</f>
        <v>0</v>
      </c>
      <c r="B348" s="62">
        <f>ЦТО!B252</f>
        <v>0</v>
      </c>
      <c r="C348" s="67">
        <f>ЦТО!C252</f>
        <v>0</v>
      </c>
      <c r="D348" s="63">
        <f>ЦТО!D252</f>
        <v>0</v>
      </c>
      <c r="E348" s="68">
        <f>SUM(ЦТО!BB252:BI252)</f>
        <v>0</v>
      </c>
      <c r="F348" s="64" t="str">
        <f>IF(E348&lt;10,'вспомогательные данные'!$C$26,IF(E348&lt;19,'вспомогательные данные'!$C$25,'вспомогательные данные'!$C$24))</f>
        <v>положительный</v>
      </c>
      <c r="G348" s="65">
        <f>(18-ЦТО!AM252-ЦТО!AL252)/(18-ЦТО!AL252-ЦТО!AP252)</f>
        <v>1</v>
      </c>
      <c r="H348" s="66" t="str">
        <f>IF(G348&lt;0.51,'вспомогательные данные'!$C$19,IF(G348&lt;0.92,'вспомогательные данные'!$C$20, IF(G348&lt;2,'вспомогательные данные'!$C$21,'вспомогательные данные'!$C$22)))</f>
        <v>оптимальная работоспособность</v>
      </c>
      <c r="I348" s="61" t="b">
        <f>IF(OR(ЦТО!AT252=1,ЦТО!AU252=1,ЦТО!AV252=1,ЦТО!AX252=1),"Положительная",IF(OR(ЦТО!AY252=1,ЦТО!AZ252=1,ЦТО!BA252=1),"Отрицательная",IF(OR(ЦТО!AW252=1),"Инфантильная")))</f>
        <v>0</v>
      </c>
    </row>
    <row r="349" spans="1:9">
      <c r="A349" s="62">
        <f>ЦТО!A253</f>
        <v>0</v>
      </c>
      <c r="B349" s="62">
        <f>ЦТО!B253</f>
        <v>0</v>
      </c>
      <c r="C349" s="67">
        <f>ЦТО!C253</f>
        <v>0</v>
      </c>
      <c r="D349" s="63">
        <f>ЦТО!D253</f>
        <v>0</v>
      </c>
      <c r="E349" s="68">
        <f>SUM(ЦТО!BB253:BI253)</f>
        <v>0</v>
      </c>
      <c r="F349" s="64" t="str">
        <f>IF(E349&lt;10,'вспомогательные данные'!$C$26,IF(E349&lt;19,'вспомогательные данные'!$C$25,'вспомогательные данные'!$C$24))</f>
        <v>положительный</v>
      </c>
      <c r="G349" s="65">
        <f>(18-ЦТО!AM253-ЦТО!AL253)/(18-ЦТО!AL253-ЦТО!AP253)</f>
        <v>1</v>
      </c>
      <c r="H349" s="66" t="str">
        <f>IF(G349&lt;0.51,'вспомогательные данные'!$C$19,IF(G349&lt;0.92,'вспомогательные данные'!$C$20, IF(G349&lt;2,'вспомогательные данные'!$C$21,'вспомогательные данные'!$C$22)))</f>
        <v>оптимальная работоспособность</v>
      </c>
      <c r="I349" s="61" t="b">
        <f>IF(OR(ЦТО!AT253=1,ЦТО!AU253=1,ЦТО!AV253=1,ЦТО!AX253=1),"Положительная",IF(OR(ЦТО!AY253=1,ЦТО!AZ253=1,ЦТО!BA253=1),"Отрицательная",IF(OR(ЦТО!AW253=1),"Инфантильная")))</f>
        <v>0</v>
      </c>
    </row>
    <row r="350" spans="1:9">
      <c r="A350" s="62">
        <f>ЦТО!A254</f>
        <v>0</v>
      </c>
      <c r="B350" s="62">
        <f>ЦТО!B254</f>
        <v>0</v>
      </c>
      <c r="C350" s="67">
        <f>ЦТО!C254</f>
        <v>0</v>
      </c>
      <c r="D350" s="63">
        <f>ЦТО!D254</f>
        <v>0</v>
      </c>
      <c r="E350" s="68">
        <f>SUM(ЦТО!BB254:BI254)</f>
        <v>0</v>
      </c>
      <c r="F350" s="64" t="str">
        <f>IF(E350&lt;10,'вспомогательные данные'!$C$26,IF(E350&lt;19,'вспомогательные данные'!$C$25,'вспомогательные данные'!$C$24))</f>
        <v>положительный</v>
      </c>
      <c r="G350" s="65">
        <f>(18-ЦТО!AM254-ЦТО!AL254)/(18-ЦТО!AL254-ЦТО!AP254)</f>
        <v>1</v>
      </c>
      <c r="H350" s="66" t="str">
        <f>IF(G350&lt;0.51,'вспомогательные данные'!$C$19,IF(G350&lt;0.92,'вспомогательные данные'!$C$20, IF(G350&lt;2,'вспомогательные данные'!$C$21,'вспомогательные данные'!$C$22)))</f>
        <v>оптимальная работоспособность</v>
      </c>
      <c r="I350" s="61" t="b">
        <f>IF(OR(ЦТО!AT254=1,ЦТО!AU254=1,ЦТО!AV254=1,ЦТО!AX254=1),"Положительная",IF(OR(ЦТО!AY254=1,ЦТО!AZ254=1,ЦТО!BA254=1),"Отрицательная",IF(OR(ЦТО!AW254=1),"Инфантильная")))</f>
        <v>0</v>
      </c>
    </row>
    <row r="351" spans="1:9">
      <c r="A351" s="62">
        <f>ЦТО!A255</f>
        <v>0</v>
      </c>
      <c r="B351" s="62">
        <f>ЦТО!B255</f>
        <v>0</v>
      </c>
      <c r="C351" s="67">
        <f>ЦТО!C255</f>
        <v>0</v>
      </c>
      <c r="D351" s="63">
        <f>ЦТО!D255</f>
        <v>0</v>
      </c>
      <c r="E351" s="68">
        <f>SUM(ЦТО!BB255:BI255)</f>
        <v>0</v>
      </c>
      <c r="F351" s="64" t="str">
        <f>IF(E351&lt;10,'вспомогательные данные'!$C$26,IF(E351&lt;19,'вспомогательные данные'!$C$25,'вспомогательные данные'!$C$24))</f>
        <v>положительный</v>
      </c>
      <c r="G351" s="65">
        <f>(18-ЦТО!AM255-ЦТО!AL255)/(18-ЦТО!AL255-ЦТО!AP255)</f>
        <v>1</v>
      </c>
      <c r="H351" s="66" t="str">
        <f>IF(G351&lt;0.51,'вспомогательные данные'!$C$19,IF(G351&lt;0.92,'вспомогательные данные'!$C$20, IF(G351&lt;2,'вспомогательные данные'!$C$21,'вспомогательные данные'!$C$22)))</f>
        <v>оптимальная работоспособность</v>
      </c>
      <c r="I351" s="61" t="b">
        <f>IF(OR(ЦТО!AT255=1,ЦТО!AU255=1,ЦТО!AV255=1,ЦТО!AX255=1),"Положительная",IF(OR(ЦТО!AY255=1,ЦТО!AZ255=1,ЦТО!BA255=1),"Отрицательная",IF(OR(ЦТО!AW255=1),"Инфантильная")))</f>
        <v>0</v>
      </c>
    </row>
    <row r="352" spans="1:9">
      <c r="A352" s="62">
        <f>ЦТО!A256</f>
        <v>0</v>
      </c>
      <c r="B352" s="62">
        <f>ЦТО!B256</f>
        <v>0</v>
      </c>
      <c r="C352" s="67">
        <f>ЦТО!C256</f>
        <v>0</v>
      </c>
      <c r="D352" s="63">
        <f>ЦТО!D256</f>
        <v>0</v>
      </c>
      <c r="E352" s="68">
        <f>SUM(ЦТО!BB256:BI256)</f>
        <v>0</v>
      </c>
      <c r="F352" s="64" t="str">
        <f>IF(E352&lt;10,'вспомогательные данные'!$C$26,IF(E352&lt;19,'вспомогательные данные'!$C$25,'вспомогательные данные'!$C$24))</f>
        <v>положительный</v>
      </c>
      <c r="G352" s="65">
        <f>(18-ЦТО!AM256-ЦТО!AL256)/(18-ЦТО!AL256-ЦТО!AP256)</f>
        <v>1</v>
      </c>
      <c r="H352" s="66" t="str">
        <f>IF(G352&lt;0.51,'вспомогательные данные'!$C$19,IF(G352&lt;0.92,'вспомогательные данные'!$C$20, IF(G352&lt;2,'вспомогательные данные'!$C$21,'вспомогательные данные'!$C$22)))</f>
        <v>оптимальная работоспособность</v>
      </c>
      <c r="I352" s="61" t="b">
        <f>IF(OR(ЦТО!AT256=1,ЦТО!AU256=1,ЦТО!AV256=1,ЦТО!AX256=1),"Положительная",IF(OR(ЦТО!AY256=1,ЦТО!AZ256=1,ЦТО!BA256=1),"Отрицательная",IF(OR(ЦТО!AW256=1),"Инфантильная")))</f>
        <v>0</v>
      </c>
    </row>
    <row r="353" spans="1:9">
      <c r="A353" s="62">
        <f>ЦТО!A257</f>
        <v>0</v>
      </c>
      <c r="B353" s="62">
        <f>ЦТО!B257</f>
        <v>0</v>
      </c>
      <c r="C353" s="67">
        <f>ЦТО!C257</f>
        <v>0</v>
      </c>
      <c r="D353" s="63">
        <f>ЦТО!D257</f>
        <v>0</v>
      </c>
      <c r="E353" s="68">
        <f>SUM(ЦТО!BB257:BI257)</f>
        <v>0</v>
      </c>
      <c r="F353" s="64" t="str">
        <f>IF(E353&lt;10,'вспомогательные данные'!$C$26,IF(E353&lt;19,'вспомогательные данные'!$C$25,'вспомогательные данные'!$C$24))</f>
        <v>положительный</v>
      </c>
      <c r="G353" s="65">
        <f>(18-ЦТО!AM257-ЦТО!AL257)/(18-ЦТО!AL257-ЦТО!AP257)</f>
        <v>1</v>
      </c>
      <c r="H353" s="66" t="str">
        <f>IF(G353&lt;0.51,'вспомогательные данные'!$C$19,IF(G353&lt;0.92,'вспомогательные данные'!$C$20, IF(G353&lt;2,'вспомогательные данные'!$C$21,'вспомогательные данные'!$C$22)))</f>
        <v>оптимальная работоспособность</v>
      </c>
      <c r="I353" s="61" t="b">
        <f>IF(OR(ЦТО!AT257=1,ЦТО!AU257=1,ЦТО!AV257=1,ЦТО!AX257=1),"Положительная",IF(OR(ЦТО!AY257=1,ЦТО!AZ257=1,ЦТО!BA257=1),"Отрицательная",IF(OR(ЦТО!AW257=1),"Инфантильная")))</f>
        <v>0</v>
      </c>
    </row>
    <row r="354" spans="1:9">
      <c r="A354" s="62">
        <f>ЦТО!A258</f>
        <v>0</v>
      </c>
      <c r="B354" s="62">
        <f>ЦТО!B258</f>
        <v>0</v>
      </c>
      <c r="C354" s="67">
        <f>ЦТО!C258</f>
        <v>0</v>
      </c>
      <c r="D354" s="63">
        <f>ЦТО!D258</f>
        <v>0</v>
      </c>
      <c r="E354" s="68">
        <f>SUM(ЦТО!BB258:BI258)</f>
        <v>0</v>
      </c>
      <c r="F354" s="64" t="str">
        <f>IF(E354&lt;10,'вспомогательные данные'!$C$26,IF(E354&lt;19,'вспомогательные данные'!$C$25,'вспомогательные данные'!$C$24))</f>
        <v>положительный</v>
      </c>
      <c r="G354" s="65">
        <f>(18-ЦТО!AM258-ЦТО!AL258)/(18-ЦТО!AL258-ЦТО!AP258)</f>
        <v>1</v>
      </c>
      <c r="H354" s="66" t="str">
        <f>IF(G354&lt;0.51,'вспомогательные данные'!$C$19,IF(G354&lt;0.92,'вспомогательные данные'!$C$20, IF(G354&lt;2,'вспомогательные данные'!$C$21,'вспомогательные данные'!$C$22)))</f>
        <v>оптимальная работоспособность</v>
      </c>
      <c r="I354" s="61" t="b">
        <f>IF(OR(ЦТО!AT258=1,ЦТО!AU258=1,ЦТО!AV258=1,ЦТО!AX258=1),"Положительная",IF(OR(ЦТО!AY258=1,ЦТО!AZ258=1,ЦТО!BA258=1),"Отрицательная",IF(OR(ЦТО!AW258=1),"Инфантильная")))</f>
        <v>0</v>
      </c>
    </row>
    <row r="355" spans="1:9">
      <c r="A355" s="62">
        <f>ЦТО!A259</f>
        <v>0</v>
      </c>
      <c r="B355" s="62">
        <f>ЦТО!B259</f>
        <v>0</v>
      </c>
      <c r="C355" s="67">
        <f>ЦТО!C259</f>
        <v>0</v>
      </c>
      <c r="D355" s="63">
        <f>ЦТО!D259</f>
        <v>0</v>
      </c>
      <c r="E355" s="68">
        <f>SUM(ЦТО!BB259:BI259)</f>
        <v>0</v>
      </c>
      <c r="F355" s="64" t="str">
        <f>IF(E355&lt;10,'вспомогательные данные'!$C$26,IF(E355&lt;19,'вспомогательные данные'!$C$25,'вспомогательные данные'!$C$24))</f>
        <v>положительный</v>
      </c>
      <c r="G355" s="65">
        <f>(18-ЦТО!AM259-ЦТО!AL259)/(18-ЦТО!AL259-ЦТО!AP259)</f>
        <v>1</v>
      </c>
      <c r="H355" s="66" t="str">
        <f>IF(G355&lt;0.51,'вспомогательные данные'!$C$19,IF(G355&lt;0.92,'вспомогательные данные'!$C$20, IF(G355&lt;2,'вспомогательные данные'!$C$21,'вспомогательные данные'!$C$22)))</f>
        <v>оптимальная работоспособность</v>
      </c>
      <c r="I355" s="61" t="b">
        <f>IF(OR(ЦТО!AT259=1,ЦТО!AU259=1,ЦТО!AV259=1,ЦТО!AX259=1),"Положительная",IF(OR(ЦТО!AY259=1,ЦТО!AZ259=1,ЦТО!BA259=1),"Отрицательная",IF(OR(ЦТО!AW259=1),"Инфантильная")))</f>
        <v>0</v>
      </c>
    </row>
    <row r="356" spans="1:9">
      <c r="A356" s="62">
        <f>ЦТО!A260</f>
        <v>0</v>
      </c>
      <c r="B356" s="62">
        <f>ЦТО!B260</f>
        <v>0</v>
      </c>
      <c r="C356" s="67">
        <f>ЦТО!C260</f>
        <v>0</v>
      </c>
      <c r="D356" s="63">
        <f>ЦТО!D260</f>
        <v>0</v>
      </c>
      <c r="E356" s="68">
        <f>SUM(ЦТО!BB260:BI260)</f>
        <v>0</v>
      </c>
      <c r="F356" s="64" t="str">
        <f>IF(E356&lt;10,'вспомогательные данные'!$C$26,IF(E356&lt;19,'вспомогательные данные'!$C$25,'вспомогательные данные'!$C$24))</f>
        <v>положительный</v>
      </c>
      <c r="G356" s="65">
        <f>(18-ЦТО!AM260-ЦТО!AL260)/(18-ЦТО!AL260-ЦТО!AP260)</f>
        <v>1</v>
      </c>
      <c r="H356" s="66" t="str">
        <f>IF(G356&lt;0.51,'вспомогательные данные'!$C$19,IF(G356&lt;0.92,'вспомогательные данные'!$C$20, IF(G356&lt;2,'вспомогательные данные'!$C$21,'вспомогательные данные'!$C$22)))</f>
        <v>оптимальная работоспособность</v>
      </c>
      <c r="I356" s="61" t="b">
        <f>IF(OR(ЦТО!AT260=1,ЦТО!AU260=1,ЦТО!AV260=1,ЦТО!AX260=1),"Положительная",IF(OR(ЦТО!AY260=1,ЦТО!AZ260=1,ЦТО!BA260=1),"Отрицательная",IF(OR(ЦТО!AW260=1),"Инфантильная")))</f>
        <v>0</v>
      </c>
    </row>
    <row r="357" spans="1:9">
      <c r="A357" s="62">
        <f>ЦТО!A261</f>
        <v>0</v>
      </c>
      <c r="B357" s="62">
        <f>ЦТО!B261</f>
        <v>0</v>
      </c>
      <c r="C357" s="67">
        <f>ЦТО!C261</f>
        <v>0</v>
      </c>
      <c r="D357" s="63">
        <f>ЦТО!D261</f>
        <v>0</v>
      </c>
      <c r="E357" s="68">
        <f>SUM(ЦТО!BB261:BI261)</f>
        <v>0</v>
      </c>
      <c r="F357" s="64" t="str">
        <f>IF(E357&lt;10,'вспомогательные данные'!$C$26,IF(E357&lt;19,'вспомогательные данные'!$C$25,'вспомогательные данные'!$C$24))</f>
        <v>положительный</v>
      </c>
      <c r="G357" s="65">
        <f>(18-ЦТО!AM261-ЦТО!AL261)/(18-ЦТО!AL261-ЦТО!AP261)</f>
        <v>1</v>
      </c>
      <c r="H357" s="66" t="str">
        <f>IF(G357&lt;0.51,'вспомогательные данные'!$C$19,IF(G357&lt;0.92,'вспомогательные данные'!$C$20, IF(G357&lt;2,'вспомогательные данные'!$C$21,'вспомогательные данные'!$C$22)))</f>
        <v>оптимальная работоспособность</v>
      </c>
      <c r="I357" s="61" t="b">
        <f>IF(OR(ЦТО!AT261=1,ЦТО!AU261=1,ЦТО!AV261=1,ЦТО!AX261=1),"Положительная",IF(OR(ЦТО!AY261=1,ЦТО!AZ261=1,ЦТО!BA261=1),"Отрицательная",IF(OR(ЦТО!AW261=1),"Инфантильная")))</f>
        <v>0</v>
      </c>
    </row>
    <row r="358" spans="1:9">
      <c r="A358" s="62">
        <f>ЦТО!A262</f>
        <v>0</v>
      </c>
      <c r="B358" s="62">
        <f>ЦТО!B262</f>
        <v>0</v>
      </c>
      <c r="C358" s="67">
        <f>ЦТО!C262</f>
        <v>0</v>
      </c>
      <c r="D358" s="63">
        <f>ЦТО!D262</f>
        <v>0</v>
      </c>
      <c r="E358" s="68">
        <f>SUM(ЦТО!BB262:BI262)</f>
        <v>0</v>
      </c>
      <c r="F358" s="64" t="str">
        <f>IF(E358&lt;10,'вспомогательные данные'!$C$26,IF(E358&lt;19,'вспомогательные данные'!$C$25,'вспомогательные данные'!$C$24))</f>
        <v>положительный</v>
      </c>
      <c r="G358" s="65">
        <f>(18-ЦТО!AM262-ЦТО!AL262)/(18-ЦТО!AL262-ЦТО!AP262)</f>
        <v>1</v>
      </c>
      <c r="H358" s="66" t="str">
        <f>IF(G358&lt;0.51,'вспомогательные данные'!$C$19,IF(G358&lt;0.92,'вспомогательные данные'!$C$20, IF(G358&lt;2,'вспомогательные данные'!$C$21,'вспомогательные данные'!$C$22)))</f>
        <v>оптимальная работоспособность</v>
      </c>
      <c r="I358" s="61" t="b">
        <f>IF(OR(ЦТО!AT262=1,ЦТО!AU262=1,ЦТО!AV262=1,ЦТО!AX262=1),"Положительная",IF(OR(ЦТО!AY262=1,ЦТО!AZ262=1,ЦТО!BA262=1),"Отрицательная",IF(OR(ЦТО!AW262=1),"Инфантильная")))</f>
        <v>0</v>
      </c>
    </row>
    <row r="359" spans="1:9">
      <c r="A359" s="62">
        <f>ЦТО!A263</f>
        <v>0</v>
      </c>
      <c r="B359" s="62">
        <f>ЦТО!B263</f>
        <v>0</v>
      </c>
      <c r="C359" s="67">
        <f>ЦТО!C263</f>
        <v>0</v>
      </c>
      <c r="D359" s="63">
        <f>ЦТО!D263</f>
        <v>0</v>
      </c>
      <c r="E359" s="68">
        <f>SUM(ЦТО!BB263:BI263)</f>
        <v>0</v>
      </c>
      <c r="F359" s="64" t="str">
        <f>IF(E359&lt;10,'вспомогательные данные'!$C$26,IF(E359&lt;19,'вспомогательные данные'!$C$25,'вспомогательные данные'!$C$24))</f>
        <v>положительный</v>
      </c>
      <c r="G359" s="65">
        <f>(18-ЦТО!AM263-ЦТО!AL263)/(18-ЦТО!AL263-ЦТО!AP263)</f>
        <v>1</v>
      </c>
      <c r="H359" s="66" t="str">
        <f>IF(G359&lt;0.51,'вспомогательные данные'!$C$19,IF(G359&lt;0.92,'вспомогательные данные'!$C$20, IF(G359&lt;2,'вспомогательные данные'!$C$21,'вспомогательные данные'!$C$22)))</f>
        <v>оптимальная работоспособность</v>
      </c>
      <c r="I359" s="61" t="b">
        <f>IF(OR(ЦТО!AT263=1,ЦТО!AU263=1,ЦТО!AV263=1,ЦТО!AX263=1),"Положительная",IF(OR(ЦТО!AY263=1,ЦТО!AZ263=1,ЦТО!BA263=1),"Отрицательная",IF(OR(ЦТО!AW263=1),"Инфантильная")))</f>
        <v>0</v>
      </c>
    </row>
    <row r="360" spans="1:9">
      <c r="A360" s="62">
        <f>ЦТО!A264</f>
        <v>0</v>
      </c>
      <c r="B360" s="62">
        <f>ЦТО!B264</f>
        <v>0</v>
      </c>
      <c r="C360" s="67">
        <f>ЦТО!C264</f>
        <v>0</v>
      </c>
      <c r="D360" s="63">
        <f>ЦТО!D264</f>
        <v>0</v>
      </c>
      <c r="E360" s="68">
        <f>SUM(ЦТО!BB264:BI264)</f>
        <v>0</v>
      </c>
      <c r="F360" s="64" t="str">
        <f>IF(E360&lt;10,'вспомогательные данные'!$C$26,IF(E360&lt;19,'вспомогательные данные'!$C$25,'вспомогательные данные'!$C$24))</f>
        <v>положительный</v>
      </c>
      <c r="G360" s="65">
        <f>(18-ЦТО!AM264-ЦТО!AL264)/(18-ЦТО!AL264-ЦТО!AP264)</f>
        <v>1</v>
      </c>
      <c r="H360" s="66" t="str">
        <f>IF(G360&lt;0.51,'вспомогательные данные'!$C$19,IF(G360&lt;0.92,'вспомогательные данные'!$C$20, IF(G360&lt;2,'вспомогательные данные'!$C$21,'вспомогательные данные'!$C$22)))</f>
        <v>оптимальная работоспособность</v>
      </c>
      <c r="I360" s="61" t="b">
        <f>IF(OR(ЦТО!AT264=1,ЦТО!AU264=1,ЦТО!AV264=1,ЦТО!AX264=1),"Положительная",IF(OR(ЦТО!AY264=1,ЦТО!AZ264=1,ЦТО!BA264=1),"Отрицательная",IF(OR(ЦТО!AW264=1),"Инфантильная")))</f>
        <v>0</v>
      </c>
    </row>
    <row r="361" spans="1:9">
      <c r="A361" s="62">
        <f>ЦТО!A265</f>
        <v>0</v>
      </c>
      <c r="B361" s="62">
        <f>ЦТО!B265</f>
        <v>0</v>
      </c>
      <c r="C361" s="67">
        <f>ЦТО!C265</f>
        <v>0</v>
      </c>
      <c r="D361" s="63">
        <f>ЦТО!D265</f>
        <v>0</v>
      </c>
      <c r="E361" s="68">
        <f>SUM(ЦТО!BB265:BI265)</f>
        <v>0</v>
      </c>
      <c r="F361" s="64" t="str">
        <f>IF(E361&lt;10,'вспомогательные данные'!$C$26,IF(E361&lt;19,'вспомогательные данные'!$C$25,'вспомогательные данные'!$C$24))</f>
        <v>положительный</v>
      </c>
      <c r="G361" s="65">
        <f>(18-ЦТО!AM265-ЦТО!AL265)/(18-ЦТО!AL265-ЦТО!AP265)</f>
        <v>1</v>
      </c>
      <c r="H361" s="66" t="str">
        <f>IF(G361&lt;0.51,'вспомогательные данные'!$C$19,IF(G361&lt;0.92,'вспомогательные данные'!$C$20, IF(G361&lt;2,'вспомогательные данные'!$C$21,'вспомогательные данные'!$C$22)))</f>
        <v>оптимальная работоспособность</v>
      </c>
      <c r="I361" s="61" t="b">
        <f>IF(OR(ЦТО!AT265=1,ЦТО!AU265=1,ЦТО!AV265=1,ЦТО!AX265=1),"Положительная",IF(OR(ЦТО!AY265=1,ЦТО!AZ265=1,ЦТО!BA265=1),"Отрицательная",IF(OR(ЦТО!AW265=1),"Инфантильная")))</f>
        <v>0</v>
      </c>
    </row>
    <row r="362" spans="1:9">
      <c r="A362" s="62">
        <f>ЦТО!A266</f>
        <v>0</v>
      </c>
      <c r="B362" s="62">
        <f>ЦТО!B266</f>
        <v>0</v>
      </c>
      <c r="C362" s="67">
        <f>ЦТО!C266</f>
        <v>0</v>
      </c>
      <c r="D362" s="63">
        <f>ЦТО!D266</f>
        <v>0</v>
      </c>
      <c r="E362" s="68">
        <f>SUM(ЦТО!BB266:BI266)</f>
        <v>0</v>
      </c>
      <c r="F362" s="64" t="str">
        <f>IF(E362&lt;10,'вспомогательные данные'!$C$26,IF(E362&lt;19,'вспомогательные данные'!$C$25,'вспомогательные данные'!$C$24))</f>
        <v>положительный</v>
      </c>
      <c r="G362" s="65">
        <f>(18-ЦТО!AM266-ЦТО!AL266)/(18-ЦТО!AL266-ЦТО!AP266)</f>
        <v>1</v>
      </c>
      <c r="H362" s="66" t="str">
        <f>IF(G362&lt;0.51,'вспомогательные данные'!$C$19,IF(G362&lt;0.92,'вспомогательные данные'!$C$20, IF(G362&lt;2,'вспомогательные данные'!$C$21,'вспомогательные данные'!$C$22)))</f>
        <v>оптимальная работоспособность</v>
      </c>
      <c r="I362" s="61" t="b">
        <f>IF(OR(ЦТО!AT266=1,ЦТО!AU266=1,ЦТО!AV266=1,ЦТО!AX266=1),"Положительная",IF(OR(ЦТО!AY266=1,ЦТО!AZ266=1,ЦТО!BA266=1),"Отрицательная",IF(OR(ЦТО!AW266=1),"Инфантильная")))</f>
        <v>0</v>
      </c>
    </row>
    <row r="363" spans="1:9">
      <c r="A363" s="62">
        <f>ЦТО!A267</f>
        <v>0</v>
      </c>
      <c r="B363" s="62">
        <f>ЦТО!B267</f>
        <v>0</v>
      </c>
      <c r="C363" s="67">
        <f>ЦТО!C267</f>
        <v>0</v>
      </c>
      <c r="D363" s="63">
        <f>ЦТО!D267</f>
        <v>0</v>
      </c>
      <c r="E363" s="68">
        <f>SUM(ЦТО!BB267:BI267)</f>
        <v>0</v>
      </c>
      <c r="F363" s="64" t="str">
        <f>IF(E363&lt;10,'вспомогательные данные'!$C$26,IF(E363&lt;19,'вспомогательные данные'!$C$25,'вспомогательные данные'!$C$24))</f>
        <v>положительный</v>
      </c>
      <c r="G363" s="65">
        <f>(18-ЦТО!AM267-ЦТО!AL267)/(18-ЦТО!AL267-ЦТО!AP267)</f>
        <v>1</v>
      </c>
      <c r="H363" s="66" t="str">
        <f>IF(G363&lt;0.51,'вспомогательные данные'!$C$19,IF(G363&lt;0.92,'вспомогательные данные'!$C$20, IF(G363&lt;2,'вспомогательные данные'!$C$21,'вспомогательные данные'!$C$22)))</f>
        <v>оптимальная работоспособность</v>
      </c>
      <c r="I363" s="61" t="b">
        <f>IF(OR(ЦТО!AT267=1,ЦТО!AU267=1,ЦТО!AV267=1,ЦТО!AX267=1),"Положительная",IF(OR(ЦТО!AY267=1,ЦТО!AZ267=1,ЦТО!BA267=1),"Отрицательная",IF(OR(ЦТО!AW267=1),"Инфантильная")))</f>
        <v>0</v>
      </c>
    </row>
    <row r="364" spans="1:9">
      <c r="A364" s="62">
        <f>ЦТО!A268</f>
        <v>0</v>
      </c>
      <c r="B364" s="62">
        <f>ЦТО!B268</f>
        <v>0</v>
      </c>
      <c r="C364" s="67">
        <f>ЦТО!C268</f>
        <v>0</v>
      </c>
      <c r="D364" s="63">
        <f>ЦТО!D268</f>
        <v>0</v>
      </c>
      <c r="E364" s="68">
        <f>SUM(ЦТО!BB268:BI268)</f>
        <v>0</v>
      </c>
      <c r="F364" s="64" t="str">
        <f>IF(E364&lt;10,'вспомогательные данные'!$C$26,IF(E364&lt;19,'вспомогательные данные'!$C$25,'вспомогательные данные'!$C$24))</f>
        <v>положительный</v>
      </c>
      <c r="G364" s="65">
        <f>(18-ЦТО!AM268-ЦТО!AL268)/(18-ЦТО!AL268-ЦТО!AP268)</f>
        <v>1</v>
      </c>
      <c r="H364" s="66" t="str">
        <f>IF(G364&lt;0.51,'вспомогательные данные'!$C$19,IF(G364&lt;0.92,'вспомогательные данные'!$C$20, IF(G364&lt;2,'вспомогательные данные'!$C$21,'вспомогательные данные'!$C$22)))</f>
        <v>оптимальная работоспособность</v>
      </c>
      <c r="I364" s="61" t="b">
        <f>IF(OR(ЦТО!AT268=1,ЦТО!AU268=1,ЦТО!AV268=1,ЦТО!AX268=1),"Положительная",IF(OR(ЦТО!AY268=1,ЦТО!AZ268=1,ЦТО!BA268=1),"Отрицательная",IF(OR(ЦТО!AW268=1),"Инфантильная")))</f>
        <v>0</v>
      </c>
    </row>
    <row r="365" spans="1:9">
      <c r="A365" s="62">
        <f>ЦТО!A269</f>
        <v>0</v>
      </c>
      <c r="B365" s="62">
        <f>ЦТО!B269</f>
        <v>0</v>
      </c>
      <c r="C365" s="67">
        <f>ЦТО!C269</f>
        <v>0</v>
      </c>
      <c r="D365" s="63">
        <f>ЦТО!D269</f>
        <v>0</v>
      </c>
      <c r="E365" s="68">
        <f>SUM(ЦТО!BB269:BI269)</f>
        <v>0</v>
      </c>
      <c r="F365" s="64" t="str">
        <f>IF(E365&lt;10,'вспомогательные данные'!$C$26,IF(E365&lt;19,'вспомогательные данные'!$C$25,'вспомогательные данные'!$C$24))</f>
        <v>положительный</v>
      </c>
      <c r="G365" s="65">
        <f>(18-ЦТО!AM269-ЦТО!AL269)/(18-ЦТО!AL269-ЦТО!AP269)</f>
        <v>1</v>
      </c>
      <c r="H365" s="66" t="str">
        <f>IF(G365&lt;0.51,'вспомогательные данные'!$C$19,IF(G365&lt;0.92,'вспомогательные данные'!$C$20, IF(G365&lt;2,'вспомогательные данные'!$C$21,'вспомогательные данные'!$C$22)))</f>
        <v>оптимальная работоспособность</v>
      </c>
      <c r="I365" s="61" t="b">
        <f>IF(OR(ЦТО!AT269=1,ЦТО!AU269=1,ЦТО!AV269=1,ЦТО!AX269=1),"Положительная",IF(OR(ЦТО!AY269=1,ЦТО!AZ269=1,ЦТО!BA269=1),"Отрицательная",IF(OR(ЦТО!AW269=1),"Инфантильная")))</f>
        <v>0</v>
      </c>
    </row>
    <row r="366" spans="1:9">
      <c r="A366" s="62">
        <f>ЦТО!A270</f>
        <v>0</v>
      </c>
      <c r="B366" s="62">
        <f>ЦТО!B270</f>
        <v>0</v>
      </c>
      <c r="C366" s="67">
        <f>ЦТО!C270</f>
        <v>0</v>
      </c>
      <c r="D366" s="63">
        <f>ЦТО!D270</f>
        <v>0</v>
      </c>
      <c r="E366" s="68">
        <f>SUM(ЦТО!BB270:BI270)</f>
        <v>0</v>
      </c>
      <c r="F366" s="64" t="str">
        <f>IF(E366&lt;10,'вспомогательные данные'!$C$26,IF(E366&lt;19,'вспомогательные данные'!$C$25,'вспомогательные данные'!$C$24))</f>
        <v>положительный</v>
      </c>
      <c r="G366" s="65">
        <f>(18-ЦТО!AM270-ЦТО!AL270)/(18-ЦТО!AL270-ЦТО!AP270)</f>
        <v>1</v>
      </c>
      <c r="H366" s="66" t="str">
        <f>IF(G366&lt;0.51,'вспомогательные данные'!$C$19,IF(G366&lt;0.92,'вспомогательные данные'!$C$20, IF(G366&lt;2,'вспомогательные данные'!$C$21,'вспомогательные данные'!$C$22)))</f>
        <v>оптимальная работоспособность</v>
      </c>
      <c r="I366" s="61" t="b">
        <f>IF(OR(ЦТО!AT270=1,ЦТО!AU270=1,ЦТО!AV270=1,ЦТО!AX270=1),"Положительная",IF(OR(ЦТО!AY270=1,ЦТО!AZ270=1,ЦТО!BA270=1),"Отрицательная",IF(OR(ЦТО!AW270=1),"Инфантильная")))</f>
        <v>0</v>
      </c>
    </row>
    <row r="367" spans="1:9">
      <c r="A367" s="62">
        <f>ЦТО!A271</f>
        <v>0</v>
      </c>
      <c r="B367" s="62">
        <f>ЦТО!B271</f>
        <v>0</v>
      </c>
      <c r="C367" s="67">
        <f>ЦТО!C271</f>
        <v>0</v>
      </c>
      <c r="D367" s="63">
        <f>ЦТО!D271</f>
        <v>0</v>
      </c>
      <c r="E367" s="68">
        <f>SUM(ЦТО!BB271:BI271)</f>
        <v>0</v>
      </c>
      <c r="F367" s="64" t="str">
        <f>IF(E367&lt;10,'вспомогательные данные'!$C$26,IF(E367&lt;19,'вспомогательные данные'!$C$25,'вспомогательные данные'!$C$24))</f>
        <v>положительный</v>
      </c>
      <c r="G367" s="65">
        <f>(18-ЦТО!AM271-ЦТО!AL271)/(18-ЦТО!AL271-ЦТО!AP271)</f>
        <v>1</v>
      </c>
      <c r="H367" s="66" t="str">
        <f>IF(G367&lt;0.51,'вспомогательные данные'!$C$19,IF(G367&lt;0.92,'вспомогательные данные'!$C$20, IF(G367&lt;2,'вспомогательные данные'!$C$21,'вспомогательные данные'!$C$22)))</f>
        <v>оптимальная работоспособность</v>
      </c>
      <c r="I367" s="61" t="b">
        <f>IF(OR(ЦТО!AT271=1,ЦТО!AU271=1,ЦТО!AV271=1,ЦТО!AX271=1),"Положительная",IF(OR(ЦТО!AY271=1,ЦТО!AZ271=1,ЦТО!BA271=1),"Отрицательная",IF(OR(ЦТО!AW271=1),"Инфантильная")))</f>
        <v>0</v>
      </c>
    </row>
    <row r="368" spans="1:9">
      <c r="A368" s="62">
        <f>ЦТО!A272</f>
        <v>0</v>
      </c>
      <c r="B368" s="62">
        <f>ЦТО!B272</f>
        <v>0</v>
      </c>
      <c r="C368" s="67">
        <f>ЦТО!C272</f>
        <v>0</v>
      </c>
      <c r="D368" s="63">
        <f>ЦТО!D272</f>
        <v>0</v>
      </c>
      <c r="E368" s="68">
        <f>SUM(ЦТО!BB272:BI272)</f>
        <v>0</v>
      </c>
      <c r="F368" s="64" t="str">
        <f>IF(E368&lt;10,'вспомогательные данные'!$C$26,IF(E368&lt;19,'вспомогательные данные'!$C$25,'вспомогательные данные'!$C$24))</f>
        <v>положительный</v>
      </c>
      <c r="G368" s="65">
        <f>(18-ЦТО!AM272-ЦТО!AL272)/(18-ЦТО!AL272-ЦТО!AP272)</f>
        <v>1</v>
      </c>
      <c r="H368" s="66" t="str">
        <f>IF(G368&lt;0.51,'вспомогательные данные'!$C$19,IF(G368&lt;0.92,'вспомогательные данные'!$C$20, IF(G368&lt;2,'вспомогательные данные'!$C$21,'вспомогательные данные'!$C$22)))</f>
        <v>оптимальная работоспособность</v>
      </c>
      <c r="I368" s="61" t="b">
        <f>IF(OR(ЦТО!AT272=1,ЦТО!AU272=1,ЦТО!AV272=1,ЦТО!AX272=1),"Положительная",IF(OR(ЦТО!AY272=1,ЦТО!AZ272=1,ЦТО!BA272=1),"Отрицательная",IF(OR(ЦТО!AW272=1),"Инфантильная")))</f>
        <v>0</v>
      </c>
    </row>
    <row r="369" spans="1:9">
      <c r="A369" s="62">
        <f>ЦТО!A273</f>
        <v>0</v>
      </c>
      <c r="B369" s="62">
        <f>ЦТО!B273</f>
        <v>0</v>
      </c>
      <c r="C369" s="67">
        <f>ЦТО!C273</f>
        <v>0</v>
      </c>
      <c r="D369" s="63">
        <f>ЦТО!D273</f>
        <v>0</v>
      </c>
      <c r="E369" s="68">
        <f>SUM(ЦТО!BB273:BI273)</f>
        <v>0</v>
      </c>
      <c r="F369" s="64" t="str">
        <f>IF(E369&lt;10,'вспомогательные данные'!$C$26,IF(E369&lt;19,'вспомогательные данные'!$C$25,'вспомогательные данные'!$C$24))</f>
        <v>положительный</v>
      </c>
      <c r="G369" s="65">
        <f>(18-ЦТО!AM273-ЦТО!AL273)/(18-ЦТО!AL273-ЦТО!AP273)</f>
        <v>1</v>
      </c>
      <c r="H369" s="66" t="str">
        <f>IF(G369&lt;0.51,'вспомогательные данные'!$C$19,IF(G369&lt;0.92,'вспомогательные данные'!$C$20, IF(G369&lt;2,'вспомогательные данные'!$C$21,'вспомогательные данные'!$C$22)))</f>
        <v>оптимальная работоспособность</v>
      </c>
      <c r="I369" s="61" t="b">
        <f>IF(OR(ЦТО!AT273=1,ЦТО!AU273=1,ЦТО!AV273=1,ЦТО!AX273=1),"Положительная",IF(OR(ЦТО!AY273=1,ЦТО!AZ273=1,ЦТО!BA273=1),"Отрицательная",IF(OR(ЦТО!AW273=1),"Инфантильная")))</f>
        <v>0</v>
      </c>
    </row>
    <row r="370" spans="1:9">
      <c r="A370" s="62">
        <f>ЦТО!A274</f>
        <v>0</v>
      </c>
      <c r="B370" s="62">
        <f>ЦТО!B274</f>
        <v>0</v>
      </c>
      <c r="C370" s="67">
        <f>ЦТО!C274</f>
        <v>0</v>
      </c>
      <c r="D370" s="63">
        <f>ЦТО!D274</f>
        <v>0</v>
      </c>
      <c r="E370" s="68">
        <f>SUM(ЦТО!BB274:BI274)</f>
        <v>0</v>
      </c>
      <c r="F370" s="64" t="str">
        <f>IF(E370&lt;10,'вспомогательные данные'!$C$26,IF(E370&lt;19,'вспомогательные данные'!$C$25,'вспомогательные данные'!$C$24))</f>
        <v>положительный</v>
      </c>
      <c r="G370" s="65">
        <f>(18-ЦТО!AM274-ЦТО!AL274)/(18-ЦТО!AL274-ЦТО!AP274)</f>
        <v>1</v>
      </c>
      <c r="H370" s="66" t="str">
        <f>IF(G370&lt;0.51,'вспомогательные данные'!$C$19,IF(G370&lt;0.92,'вспомогательные данные'!$C$20, IF(G370&lt;2,'вспомогательные данные'!$C$21,'вспомогательные данные'!$C$22)))</f>
        <v>оптимальная работоспособность</v>
      </c>
      <c r="I370" s="61" t="b">
        <f>IF(OR(ЦТО!AT274=1,ЦТО!AU274=1,ЦТО!AV274=1,ЦТО!AX274=1),"Положительная",IF(OR(ЦТО!AY274=1,ЦТО!AZ274=1,ЦТО!BA274=1),"Отрицательная",IF(OR(ЦТО!AW274=1),"Инфантильная")))</f>
        <v>0</v>
      </c>
    </row>
    <row r="371" spans="1:9">
      <c r="A371" s="62">
        <f>ЦТО!A275</f>
        <v>0</v>
      </c>
      <c r="B371" s="62">
        <f>ЦТО!B275</f>
        <v>0</v>
      </c>
      <c r="C371" s="67">
        <f>ЦТО!C275</f>
        <v>0</v>
      </c>
      <c r="D371" s="63">
        <f>ЦТО!D275</f>
        <v>0</v>
      </c>
      <c r="E371" s="68">
        <f>SUM(ЦТО!BB275:BI275)</f>
        <v>0</v>
      </c>
      <c r="F371" s="64" t="str">
        <f>IF(E371&lt;10,'вспомогательные данные'!$C$26,IF(E371&lt;19,'вспомогательные данные'!$C$25,'вспомогательные данные'!$C$24))</f>
        <v>положительный</v>
      </c>
      <c r="G371" s="65">
        <f>(18-ЦТО!AM275-ЦТО!AL275)/(18-ЦТО!AL275-ЦТО!AP275)</f>
        <v>1</v>
      </c>
      <c r="H371" s="66" t="str">
        <f>IF(G371&lt;0.51,'вспомогательные данные'!$C$19,IF(G371&lt;0.92,'вспомогательные данные'!$C$20, IF(G371&lt;2,'вспомогательные данные'!$C$21,'вспомогательные данные'!$C$22)))</f>
        <v>оптимальная работоспособность</v>
      </c>
      <c r="I371" s="61" t="b">
        <f>IF(OR(ЦТО!AT275=1,ЦТО!AU275=1,ЦТО!AV275=1,ЦТО!AX275=1),"Положительная",IF(OR(ЦТО!AY275=1,ЦТО!AZ275=1,ЦТО!BA275=1),"Отрицательная",IF(OR(ЦТО!AW275=1),"Инфантильная")))</f>
        <v>0</v>
      </c>
    </row>
    <row r="372" spans="1:9">
      <c r="A372" s="62">
        <f>ЦТО!A276</f>
        <v>0</v>
      </c>
      <c r="B372" s="62">
        <f>ЦТО!B276</f>
        <v>0</v>
      </c>
      <c r="C372" s="67">
        <f>ЦТО!C276</f>
        <v>0</v>
      </c>
      <c r="D372" s="63">
        <f>ЦТО!D276</f>
        <v>0</v>
      </c>
      <c r="E372" s="68">
        <f>SUM(ЦТО!BB276:BI276)</f>
        <v>0</v>
      </c>
      <c r="F372" s="64" t="str">
        <f>IF(E372&lt;10,'вспомогательные данные'!$C$26,IF(E372&lt;19,'вспомогательные данные'!$C$25,'вспомогательные данные'!$C$24))</f>
        <v>положительный</v>
      </c>
      <c r="G372" s="65">
        <f>(18-ЦТО!AM276-ЦТО!AL276)/(18-ЦТО!AL276-ЦТО!AP276)</f>
        <v>1</v>
      </c>
      <c r="H372" s="66" t="str">
        <f>IF(G372&lt;0.51,'вспомогательные данные'!$C$19,IF(G372&lt;0.92,'вспомогательные данные'!$C$20, IF(G372&lt;2,'вспомогательные данные'!$C$21,'вспомогательные данные'!$C$22)))</f>
        <v>оптимальная работоспособность</v>
      </c>
      <c r="I372" s="61" t="b">
        <f>IF(OR(ЦТО!AT276=1,ЦТО!AU276=1,ЦТО!AV276=1,ЦТО!AX276=1),"Положительная",IF(OR(ЦТО!AY276=1,ЦТО!AZ276=1,ЦТО!BA276=1),"Отрицательная",IF(OR(ЦТО!AW276=1),"Инфантильная")))</f>
        <v>0</v>
      </c>
    </row>
    <row r="373" spans="1:9">
      <c r="A373" s="62">
        <f>ЦТО!A277</f>
        <v>0</v>
      </c>
      <c r="B373" s="62">
        <f>ЦТО!B277</f>
        <v>0</v>
      </c>
      <c r="C373" s="67">
        <f>ЦТО!C277</f>
        <v>0</v>
      </c>
      <c r="D373" s="63">
        <f>ЦТО!D277</f>
        <v>0</v>
      </c>
      <c r="E373" s="68">
        <f>SUM(ЦТО!BB277:BI277)</f>
        <v>0</v>
      </c>
      <c r="F373" s="64" t="str">
        <f>IF(E373&lt;10,'вспомогательные данные'!$C$26,IF(E373&lt;19,'вспомогательные данные'!$C$25,'вспомогательные данные'!$C$24))</f>
        <v>положительный</v>
      </c>
      <c r="G373" s="65">
        <f>(18-ЦТО!AM277-ЦТО!AL277)/(18-ЦТО!AL277-ЦТО!AP277)</f>
        <v>1</v>
      </c>
      <c r="H373" s="66" t="str">
        <f>IF(G373&lt;0.51,'вспомогательные данные'!$C$19,IF(G373&lt;0.92,'вспомогательные данные'!$C$20, IF(G373&lt;2,'вспомогательные данные'!$C$21,'вспомогательные данные'!$C$22)))</f>
        <v>оптимальная работоспособность</v>
      </c>
      <c r="I373" s="61" t="b">
        <f>IF(OR(ЦТО!AT277=1,ЦТО!AU277=1,ЦТО!AV277=1,ЦТО!AX277=1),"Положительная",IF(OR(ЦТО!AY277=1,ЦТО!AZ277=1,ЦТО!BA277=1),"Отрицательная",IF(OR(ЦТО!AW277=1),"Инфантильная")))</f>
        <v>0</v>
      </c>
    </row>
    <row r="374" spans="1:9">
      <c r="A374" s="62">
        <f>ЦТО!A278</f>
        <v>0</v>
      </c>
      <c r="B374" s="62">
        <f>ЦТО!B278</f>
        <v>0</v>
      </c>
      <c r="C374" s="67">
        <f>ЦТО!C278</f>
        <v>0</v>
      </c>
      <c r="D374" s="63">
        <f>ЦТО!D278</f>
        <v>0</v>
      </c>
      <c r="E374" s="68">
        <f>SUM(ЦТО!BB278:BI278)</f>
        <v>0</v>
      </c>
      <c r="F374" s="64" t="str">
        <f>IF(E374&lt;10,'вспомогательные данные'!$C$26,IF(E374&lt;19,'вспомогательные данные'!$C$25,'вспомогательные данные'!$C$24))</f>
        <v>положительный</v>
      </c>
      <c r="G374" s="65">
        <f>(18-ЦТО!AM278-ЦТО!AL278)/(18-ЦТО!AL278-ЦТО!AP278)</f>
        <v>1</v>
      </c>
      <c r="H374" s="66" t="str">
        <f>IF(G374&lt;0.51,'вспомогательные данные'!$C$19,IF(G374&lt;0.92,'вспомогательные данные'!$C$20, IF(G374&lt;2,'вспомогательные данные'!$C$21,'вспомогательные данные'!$C$22)))</f>
        <v>оптимальная работоспособность</v>
      </c>
      <c r="I374" s="61" t="b">
        <f>IF(OR(ЦТО!AT278=1,ЦТО!AU278=1,ЦТО!AV278=1,ЦТО!AX278=1),"Положительная",IF(OR(ЦТО!AY278=1,ЦТО!AZ278=1,ЦТО!BA278=1),"Отрицательная",IF(OR(ЦТО!AW278=1),"Инфантильная")))</f>
        <v>0</v>
      </c>
    </row>
    <row r="375" spans="1:9">
      <c r="A375" s="62">
        <f>ЦТО!A279</f>
        <v>0</v>
      </c>
      <c r="B375" s="62">
        <f>ЦТО!B279</f>
        <v>0</v>
      </c>
      <c r="C375" s="67">
        <f>ЦТО!C279</f>
        <v>0</v>
      </c>
      <c r="D375" s="63">
        <f>ЦТО!D279</f>
        <v>0</v>
      </c>
      <c r="E375" s="68">
        <f>SUM(ЦТО!BB279:BI279)</f>
        <v>0</v>
      </c>
      <c r="F375" s="64" t="str">
        <f>IF(E375&lt;10,'вспомогательные данные'!$C$26,IF(E375&lt;19,'вспомогательные данные'!$C$25,'вспомогательные данные'!$C$24))</f>
        <v>положительный</v>
      </c>
      <c r="G375" s="65">
        <f>(18-ЦТО!AM279-ЦТО!AL279)/(18-ЦТО!AL279-ЦТО!AP279)</f>
        <v>1</v>
      </c>
      <c r="H375" s="66" t="str">
        <f>IF(G375&lt;0.51,'вспомогательные данные'!$C$19,IF(G375&lt;0.92,'вспомогательные данные'!$C$20, IF(G375&lt;2,'вспомогательные данные'!$C$21,'вспомогательные данные'!$C$22)))</f>
        <v>оптимальная работоспособность</v>
      </c>
      <c r="I375" s="61" t="b">
        <f>IF(OR(ЦТО!AT279=1,ЦТО!AU279=1,ЦТО!AV279=1,ЦТО!AX279=1),"Положительная",IF(OR(ЦТО!AY279=1,ЦТО!AZ279=1,ЦТО!BA279=1),"Отрицательная",IF(OR(ЦТО!AW279=1),"Инфантильная")))</f>
        <v>0</v>
      </c>
    </row>
    <row r="376" spans="1:9">
      <c r="A376" s="62">
        <f>ЦТО!A280</f>
        <v>0</v>
      </c>
      <c r="B376" s="62">
        <f>ЦТО!B280</f>
        <v>0</v>
      </c>
      <c r="C376" s="67">
        <f>ЦТО!C280</f>
        <v>0</v>
      </c>
      <c r="D376" s="63">
        <f>ЦТО!D280</f>
        <v>0</v>
      </c>
      <c r="E376" s="68">
        <f>SUM(ЦТО!BB280:BI280)</f>
        <v>0</v>
      </c>
      <c r="F376" s="64" t="str">
        <f>IF(E376&lt;10,'вспомогательные данные'!$C$26,IF(E376&lt;19,'вспомогательные данные'!$C$25,'вспомогательные данные'!$C$24))</f>
        <v>положительный</v>
      </c>
      <c r="G376" s="65">
        <f>(18-ЦТО!AM280-ЦТО!AL280)/(18-ЦТО!AL280-ЦТО!AP280)</f>
        <v>1</v>
      </c>
      <c r="H376" s="66" t="str">
        <f>IF(G376&lt;0.51,'вспомогательные данные'!$C$19,IF(G376&lt;0.92,'вспомогательные данные'!$C$20, IF(G376&lt;2,'вспомогательные данные'!$C$21,'вспомогательные данные'!$C$22)))</f>
        <v>оптимальная работоспособность</v>
      </c>
      <c r="I376" s="61" t="b">
        <f>IF(OR(ЦТО!AT280=1,ЦТО!AU280=1,ЦТО!AV280=1,ЦТО!AX280=1),"Положительная",IF(OR(ЦТО!AY280=1,ЦТО!AZ280=1,ЦТО!BA280=1),"Отрицательная",IF(OR(ЦТО!AW280=1),"Инфантильная")))</f>
        <v>0</v>
      </c>
    </row>
    <row r="377" spans="1:9">
      <c r="A377" s="62">
        <f>ЦТО!A281</f>
        <v>0</v>
      </c>
      <c r="B377" s="62">
        <f>ЦТО!B281</f>
        <v>0</v>
      </c>
      <c r="C377" s="67">
        <f>ЦТО!C281</f>
        <v>0</v>
      </c>
      <c r="D377" s="63">
        <f>ЦТО!D281</f>
        <v>0</v>
      </c>
      <c r="E377" s="68">
        <f>SUM(ЦТО!BB281:BI281)</f>
        <v>0</v>
      </c>
      <c r="F377" s="64" t="str">
        <f>IF(E377&lt;10,'вспомогательные данные'!$C$26,IF(E377&lt;19,'вспомогательные данные'!$C$25,'вспомогательные данные'!$C$24))</f>
        <v>положительный</v>
      </c>
      <c r="G377" s="65">
        <f>(18-ЦТО!AM281-ЦТО!AL281)/(18-ЦТО!AL281-ЦТО!AP281)</f>
        <v>1</v>
      </c>
      <c r="H377" s="66" t="str">
        <f>IF(G377&lt;0.51,'вспомогательные данные'!$C$19,IF(G377&lt;0.92,'вспомогательные данные'!$C$20, IF(G377&lt;2,'вспомогательные данные'!$C$21,'вспомогательные данные'!$C$22)))</f>
        <v>оптимальная работоспособность</v>
      </c>
      <c r="I377" s="61" t="b">
        <f>IF(OR(ЦТО!AT281=1,ЦТО!AU281=1,ЦТО!AV281=1,ЦТО!AX281=1),"Положительная",IF(OR(ЦТО!AY281=1,ЦТО!AZ281=1,ЦТО!BA281=1),"Отрицательная",IF(OR(ЦТО!AW281=1),"Инфантильная")))</f>
        <v>0</v>
      </c>
    </row>
    <row r="378" spans="1:9">
      <c r="A378" s="62">
        <f>ЦТО!A282</f>
        <v>0</v>
      </c>
      <c r="B378" s="62">
        <f>ЦТО!B282</f>
        <v>0</v>
      </c>
      <c r="C378" s="67">
        <f>ЦТО!C282</f>
        <v>0</v>
      </c>
      <c r="D378" s="63">
        <f>ЦТО!D282</f>
        <v>0</v>
      </c>
      <c r="E378" s="68">
        <f>SUM(ЦТО!BB282:BI282)</f>
        <v>0</v>
      </c>
      <c r="F378" s="64" t="str">
        <f>IF(E378&lt;10,'вспомогательные данные'!$C$26,IF(E378&lt;19,'вспомогательные данные'!$C$25,'вспомогательные данные'!$C$24))</f>
        <v>положительный</v>
      </c>
      <c r="G378" s="65">
        <f>(18-ЦТО!AM282-ЦТО!AL282)/(18-ЦТО!AL282-ЦТО!AP282)</f>
        <v>1</v>
      </c>
      <c r="H378" s="66" t="str">
        <f>IF(G378&lt;0.51,'вспомогательные данные'!$C$19,IF(G378&lt;0.92,'вспомогательные данные'!$C$20, IF(G378&lt;2,'вспомогательные данные'!$C$21,'вспомогательные данные'!$C$22)))</f>
        <v>оптимальная работоспособность</v>
      </c>
      <c r="I378" s="61" t="b">
        <f>IF(OR(ЦТО!AT282=1,ЦТО!AU282=1,ЦТО!AV282=1,ЦТО!AX282=1),"Положительная",IF(OR(ЦТО!AY282=1,ЦТО!AZ282=1,ЦТО!BA282=1),"Отрицательная",IF(OR(ЦТО!AW282=1),"Инфантильная")))</f>
        <v>0</v>
      </c>
    </row>
    <row r="379" spans="1:9">
      <c r="A379" s="62">
        <f>ЦТО!A283</f>
        <v>0</v>
      </c>
      <c r="B379" s="62">
        <f>ЦТО!B283</f>
        <v>0</v>
      </c>
      <c r="C379" s="67">
        <f>ЦТО!C283</f>
        <v>0</v>
      </c>
      <c r="D379" s="63">
        <f>ЦТО!D283</f>
        <v>0</v>
      </c>
      <c r="E379" s="68">
        <f>SUM(ЦТО!BB283:BI283)</f>
        <v>0</v>
      </c>
      <c r="F379" s="64" t="str">
        <f>IF(E379&lt;10,'вспомогательные данные'!$C$26,IF(E379&lt;19,'вспомогательные данные'!$C$25,'вспомогательные данные'!$C$24))</f>
        <v>положительный</v>
      </c>
      <c r="G379" s="65">
        <f>(18-ЦТО!AM283-ЦТО!AL283)/(18-ЦТО!AL283-ЦТО!AP283)</f>
        <v>1</v>
      </c>
      <c r="H379" s="66" t="str">
        <f>IF(G379&lt;0.51,'вспомогательные данные'!$C$19,IF(G379&lt;0.92,'вспомогательные данные'!$C$20, IF(G379&lt;2,'вспомогательные данные'!$C$21,'вспомогательные данные'!$C$22)))</f>
        <v>оптимальная работоспособность</v>
      </c>
      <c r="I379" s="61" t="b">
        <f>IF(OR(ЦТО!AT283=1,ЦТО!AU283=1,ЦТО!AV283=1,ЦТО!AX283=1),"Положительная",IF(OR(ЦТО!AY283=1,ЦТО!AZ283=1,ЦТО!BA283=1),"Отрицательная",IF(OR(ЦТО!AW283=1),"Инфантильная")))</f>
        <v>0</v>
      </c>
    </row>
    <row r="380" spans="1:9">
      <c r="A380" s="62">
        <f>ЦТО!A284</f>
        <v>0</v>
      </c>
      <c r="B380" s="62">
        <f>ЦТО!B284</f>
        <v>0</v>
      </c>
      <c r="C380" s="67">
        <f>ЦТО!C284</f>
        <v>0</v>
      </c>
      <c r="D380" s="63">
        <f>ЦТО!D284</f>
        <v>0</v>
      </c>
      <c r="E380" s="68">
        <f>SUM(ЦТО!BB284:BI284)</f>
        <v>0</v>
      </c>
      <c r="F380" s="64" t="str">
        <f>IF(E380&lt;10,'вспомогательные данные'!$C$26,IF(E380&lt;19,'вспомогательные данные'!$C$25,'вспомогательные данные'!$C$24))</f>
        <v>положительный</v>
      </c>
      <c r="G380" s="65">
        <f>(18-ЦТО!AM284-ЦТО!AL284)/(18-ЦТО!AL284-ЦТО!AP284)</f>
        <v>1</v>
      </c>
      <c r="H380" s="66" t="str">
        <f>IF(G380&lt;0.51,'вспомогательные данные'!$C$19,IF(G380&lt;0.92,'вспомогательные данные'!$C$20, IF(G380&lt;2,'вспомогательные данные'!$C$21,'вспомогательные данные'!$C$22)))</f>
        <v>оптимальная работоспособность</v>
      </c>
      <c r="I380" s="61" t="b">
        <f>IF(OR(ЦТО!AT284=1,ЦТО!AU284=1,ЦТО!AV284=1,ЦТО!AX284=1),"Положительная",IF(OR(ЦТО!AY284=1,ЦТО!AZ284=1,ЦТО!BA284=1),"Отрицательная",IF(OR(ЦТО!AW284=1),"Инфантильная")))</f>
        <v>0</v>
      </c>
    </row>
    <row r="381" spans="1:9">
      <c r="A381" s="62">
        <f>ЦТО!A285</f>
        <v>0</v>
      </c>
      <c r="B381" s="62">
        <f>ЦТО!B285</f>
        <v>0</v>
      </c>
      <c r="C381" s="67">
        <f>ЦТО!C285</f>
        <v>0</v>
      </c>
      <c r="D381" s="63">
        <f>ЦТО!D285</f>
        <v>0</v>
      </c>
      <c r="E381" s="68">
        <f>SUM(ЦТО!BB285:BI285)</f>
        <v>0</v>
      </c>
      <c r="F381" s="64" t="str">
        <f>IF(E381&lt;10,'вспомогательные данные'!$C$26,IF(E381&lt;19,'вспомогательные данные'!$C$25,'вспомогательные данные'!$C$24))</f>
        <v>положительный</v>
      </c>
      <c r="G381" s="65">
        <f>(18-ЦТО!AM285-ЦТО!AL285)/(18-ЦТО!AL285-ЦТО!AP285)</f>
        <v>1</v>
      </c>
      <c r="H381" s="66" t="str">
        <f>IF(G381&lt;0.51,'вспомогательные данные'!$C$19,IF(G381&lt;0.92,'вспомогательные данные'!$C$20, IF(G381&lt;2,'вспомогательные данные'!$C$21,'вспомогательные данные'!$C$22)))</f>
        <v>оптимальная работоспособность</v>
      </c>
      <c r="I381" s="61" t="b">
        <f>IF(OR(ЦТО!AT285=1,ЦТО!AU285=1,ЦТО!AV285=1,ЦТО!AX285=1),"Положительная",IF(OR(ЦТО!AY285=1,ЦТО!AZ285=1,ЦТО!BA285=1),"Отрицательная",IF(OR(ЦТО!AW285=1),"Инфантильная")))</f>
        <v>0</v>
      </c>
    </row>
    <row r="382" spans="1:9">
      <c r="A382" s="62">
        <f>ЦТО!A286</f>
        <v>0</v>
      </c>
      <c r="B382" s="62">
        <f>ЦТО!B286</f>
        <v>0</v>
      </c>
      <c r="C382" s="67">
        <f>ЦТО!C286</f>
        <v>0</v>
      </c>
      <c r="D382" s="63">
        <f>ЦТО!D286</f>
        <v>0</v>
      </c>
      <c r="E382" s="68">
        <f>SUM(ЦТО!BB286:BI286)</f>
        <v>0</v>
      </c>
      <c r="F382" s="64" t="str">
        <f>IF(E382&lt;10,'вспомогательные данные'!$C$26,IF(E382&lt;19,'вспомогательные данные'!$C$25,'вспомогательные данные'!$C$24))</f>
        <v>положительный</v>
      </c>
      <c r="G382" s="65">
        <f>(18-ЦТО!AM286-ЦТО!AL286)/(18-ЦТО!AL286-ЦТО!AP286)</f>
        <v>1</v>
      </c>
      <c r="H382" s="66" t="str">
        <f>IF(G382&lt;0.51,'вспомогательные данные'!$C$19,IF(G382&lt;0.92,'вспомогательные данные'!$C$20, IF(G382&lt;2,'вспомогательные данные'!$C$21,'вспомогательные данные'!$C$22)))</f>
        <v>оптимальная работоспособность</v>
      </c>
      <c r="I382" s="61" t="b">
        <f>IF(OR(ЦТО!AT286=1,ЦТО!AU286=1,ЦТО!AV286=1,ЦТО!AX286=1),"Положительная",IF(OR(ЦТО!AY286=1,ЦТО!AZ286=1,ЦТО!BA286=1),"Отрицательная",IF(OR(ЦТО!AW286=1),"Инфантильная")))</f>
        <v>0</v>
      </c>
    </row>
    <row r="383" spans="1:9">
      <c r="A383" s="62">
        <f>ЦТО!A287</f>
        <v>0</v>
      </c>
      <c r="B383" s="62">
        <f>ЦТО!B287</f>
        <v>0</v>
      </c>
      <c r="C383" s="67">
        <f>ЦТО!C287</f>
        <v>0</v>
      </c>
      <c r="D383" s="63">
        <f>ЦТО!D287</f>
        <v>0</v>
      </c>
      <c r="E383" s="68">
        <f>SUM(ЦТО!BB287:BI287)</f>
        <v>0</v>
      </c>
      <c r="F383" s="64" t="str">
        <f>IF(E383&lt;10,'вспомогательные данные'!$C$26,IF(E383&lt;19,'вспомогательные данные'!$C$25,'вспомогательные данные'!$C$24))</f>
        <v>положительный</v>
      </c>
      <c r="G383" s="65">
        <f>(18-ЦТО!AM287-ЦТО!AL287)/(18-ЦТО!AL287-ЦТО!AP287)</f>
        <v>1</v>
      </c>
      <c r="H383" s="66" t="str">
        <f>IF(G383&lt;0.51,'вспомогательные данные'!$C$19,IF(G383&lt;0.92,'вспомогательные данные'!$C$20, IF(G383&lt;2,'вспомогательные данные'!$C$21,'вспомогательные данные'!$C$22)))</f>
        <v>оптимальная работоспособность</v>
      </c>
      <c r="I383" s="61" t="b">
        <f>IF(OR(ЦТО!AT287=1,ЦТО!AU287=1,ЦТО!AV287=1,ЦТО!AX287=1),"Положительная",IF(OR(ЦТО!AY287=1,ЦТО!AZ287=1,ЦТО!BA287=1),"Отрицательная",IF(OR(ЦТО!AW287=1),"Инфантильная")))</f>
        <v>0</v>
      </c>
    </row>
    <row r="384" spans="1:9">
      <c r="A384" s="62">
        <f>ЦТО!A288</f>
        <v>0</v>
      </c>
      <c r="B384" s="62">
        <f>ЦТО!B288</f>
        <v>0</v>
      </c>
      <c r="C384" s="67">
        <f>ЦТО!C288</f>
        <v>0</v>
      </c>
      <c r="D384" s="63">
        <f>ЦТО!D288</f>
        <v>0</v>
      </c>
      <c r="E384" s="68">
        <f>SUM(ЦТО!BB288:BI288)</f>
        <v>0</v>
      </c>
      <c r="F384" s="64" t="str">
        <f>IF(E384&lt;10,'вспомогательные данные'!$C$26,IF(E384&lt;19,'вспомогательные данные'!$C$25,'вспомогательные данные'!$C$24))</f>
        <v>положительный</v>
      </c>
      <c r="G384" s="65">
        <f>(18-ЦТО!AM288-ЦТО!AL288)/(18-ЦТО!AL288-ЦТО!AP288)</f>
        <v>1</v>
      </c>
      <c r="H384" s="66" t="str">
        <f>IF(G384&lt;0.51,'вспомогательные данные'!$C$19,IF(G384&lt;0.92,'вспомогательные данные'!$C$20, IF(G384&lt;2,'вспомогательные данные'!$C$21,'вспомогательные данные'!$C$22)))</f>
        <v>оптимальная работоспособность</v>
      </c>
      <c r="I384" s="61" t="b">
        <f>IF(OR(ЦТО!AT288=1,ЦТО!AU288=1,ЦТО!AV288=1,ЦТО!AX288=1),"Положительная",IF(OR(ЦТО!AY288=1,ЦТО!AZ288=1,ЦТО!BA288=1),"Отрицательная",IF(OR(ЦТО!AW288=1),"Инфантильная")))</f>
        <v>0</v>
      </c>
    </row>
    <row r="385" spans="1:9">
      <c r="A385" s="62">
        <f>ЦТО!A289</f>
        <v>0</v>
      </c>
      <c r="B385" s="62">
        <f>ЦТО!B289</f>
        <v>0</v>
      </c>
      <c r="C385" s="67">
        <f>ЦТО!C289</f>
        <v>0</v>
      </c>
      <c r="D385" s="63">
        <f>ЦТО!D289</f>
        <v>0</v>
      </c>
      <c r="E385" s="68">
        <f>SUM(ЦТО!BB289:BI289)</f>
        <v>0</v>
      </c>
      <c r="F385" s="64" t="str">
        <f>IF(E385&lt;10,'вспомогательные данные'!$C$26,IF(E385&lt;19,'вспомогательные данные'!$C$25,'вспомогательные данные'!$C$24))</f>
        <v>положительный</v>
      </c>
      <c r="G385" s="65">
        <f>(18-ЦТО!AM289-ЦТО!AL289)/(18-ЦТО!AL289-ЦТО!AP289)</f>
        <v>1</v>
      </c>
      <c r="H385" s="66" t="str">
        <f>IF(G385&lt;0.51,'вспомогательные данные'!$C$19,IF(G385&lt;0.92,'вспомогательные данные'!$C$20, IF(G385&lt;2,'вспомогательные данные'!$C$21,'вспомогательные данные'!$C$22)))</f>
        <v>оптимальная работоспособность</v>
      </c>
      <c r="I385" s="61" t="b">
        <f>IF(OR(ЦТО!AT289=1,ЦТО!AU289=1,ЦТО!AV289=1,ЦТО!AX289=1),"Положительная",IF(OR(ЦТО!AY289=1,ЦТО!AZ289=1,ЦТО!BA289=1),"Отрицательная",IF(OR(ЦТО!AW289=1),"Инфантильная")))</f>
        <v>0</v>
      </c>
    </row>
    <row r="386" spans="1:9">
      <c r="A386" s="62">
        <f>ЦТО!A290</f>
        <v>0</v>
      </c>
      <c r="B386" s="62">
        <f>ЦТО!B290</f>
        <v>0</v>
      </c>
      <c r="C386" s="67">
        <f>ЦТО!C290</f>
        <v>0</v>
      </c>
      <c r="D386" s="63">
        <f>ЦТО!D290</f>
        <v>0</v>
      </c>
      <c r="E386" s="68">
        <f>SUM(ЦТО!BB290:BI290)</f>
        <v>0</v>
      </c>
      <c r="F386" s="64" t="str">
        <f>IF(E386&lt;10,'вспомогательные данные'!$C$26,IF(E386&lt;19,'вспомогательные данные'!$C$25,'вспомогательные данные'!$C$24))</f>
        <v>положительный</v>
      </c>
      <c r="G386" s="65">
        <f>(18-ЦТО!AM290-ЦТО!AL290)/(18-ЦТО!AL290-ЦТО!AP290)</f>
        <v>1</v>
      </c>
      <c r="H386" s="66" t="str">
        <f>IF(G386&lt;0.51,'вспомогательные данные'!$C$19,IF(G386&lt;0.92,'вспомогательные данные'!$C$20, IF(G386&lt;2,'вспомогательные данные'!$C$21,'вспомогательные данные'!$C$22)))</f>
        <v>оптимальная работоспособность</v>
      </c>
      <c r="I386" s="61" t="b">
        <f>IF(OR(ЦТО!AT290=1,ЦТО!AU290=1,ЦТО!AV290=1,ЦТО!AX290=1),"Положительная",IF(OR(ЦТО!AY290=1,ЦТО!AZ290=1,ЦТО!BA290=1),"Отрицательная",IF(OR(ЦТО!AW290=1),"Инфантильная")))</f>
        <v>0</v>
      </c>
    </row>
    <row r="387" spans="1:9">
      <c r="A387" s="62">
        <f>ЦТО!A291</f>
        <v>0</v>
      </c>
      <c r="B387" s="62">
        <f>ЦТО!B291</f>
        <v>0</v>
      </c>
      <c r="C387" s="67">
        <f>ЦТО!C291</f>
        <v>0</v>
      </c>
      <c r="D387" s="63">
        <f>ЦТО!D291</f>
        <v>0</v>
      </c>
      <c r="E387" s="68">
        <f>SUM(ЦТО!BB291:BI291)</f>
        <v>0</v>
      </c>
      <c r="F387" s="64" t="str">
        <f>IF(E387&lt;10,'вспомогательные данные'!$C$26,IF(E387&lt;19,'вспомогательные данные'!$C$25,'вспомогательные данные'!$C$24))</f>
        <v>положительный</v>
      </c>
      <c r="G387" s="65">
        <f>(18-ЦТО!AM291-ЦТО!AL291)/(18-ЦТО!AL291-ЦТО!AP291)</f>
        <v>1</v>
      </c>
      <c r="H387" s="66" t="str">
        <f>IF(G387&lt;0.51,'вспомогательные данные'!$C$19,IF(G387&lt;0.92,'вспомогательные данные'!$C$20, IF(G387&lt;2,'вспомогательные данные'!$C$21,'вспомогательные данные'!$C$22)))</f>
        <v>оптимальная работоспособность</v>
      </c>
      <c r="I387" s="61" t="b">
        <f>IF(OR(ЦТО!AT291=1,ЦТО!AU291=1,ЦТО!AV291=1,ЦТО!AX291=1),"Положительная",IF(OR(ЦТО!AY291=1,ЦТО!AZ291=1,ЦТО!BA291=1),"Отрицательная",IF(OR(ЦТО!AW291=1),"Инфантильная")))</f>
        <v>0</v>
      </c>
    </row>
    <row r="388" spans="1:9">
      <c r="A388" s="62">
        <f>ЦТО!A292</f>
        <v>0</v>
      </c>
      <c r="B388" s="62">
        <f>ЦТО!B292</f>
        <v>0</v>
      </c>
      <c r="C388" s="67">
        <f>ЦТО!C292</f>
        <v>0</v>
      </c>
      <c r="D388" s="63">
        <f>ЦТО!D292</f>
        <v>0</v>
      </c>
      <c r="E388" s="68">
        <f>SUM(ЦТО!BB292:BI292)</f>
        <v>0</v>
      </c>
      <c r="F388" s="64" t="str">
        <f>IF(E388&lt;10,'вспомогательные данные'!$C$26,IF(E388&lt;19,'вспомогательные данные'!$C$25,'вспомогательные данные'!$C$24))</f>
        <v>положительный</v>
      </c>
      <c r="G388" s="65">
        <f>(18-ЦТО!AM292-ЦТО!AL292)/(18-ЦТО!AL292-ЦТО!AP292)</f>
        <v>1</v>
      </c>
      <c r="H388" s="66" t="str">
        <f>IF(G388&lt;0.51,'вспомогательные данные'!$C$19,IF(G388&lt;0.92,'вспомогательные данные'!$C$20, IF(G388&lt;2,'вспомогательные данные'!$C$21,'вспомогательные данные'!$C$22)))</f>
        <v>оптимальная работоспособность</v>
      </c>
      <c r="I388" s="61" t="b">
        <f>IF(OR(ЦТО!AT292=1,ЦТО!AU292=1,ЦТО!AV292=1,ЦТО!AX292=1),"Положительная",IF(OR(ЦТО!AY292=1,ЦТО!AZ292=1,ЦТО!BA292=1),"Отрицательная",IF(OR(ЦТО!AW292=1),"Инфантильная")))</f>
        <v>0</v>
      </c>
    </row>
    <row r="389" spans="1:9">
      <c r="A389" s="62">
        <f>ЦТО!A293</f>
        <v>0</v>
      </c>
      <c r="B389" s="62">
        <f>ЦТО!B293</f>
        <v>0</v>
      </c>
      <c r="C389" s="67">
        <f>ЦТО!C293</f>
        <v>0</v>
      </c>
      <c r="D389" s="63">
        <f>ЦТО!D293</f>
        <v>0</v>
      </c>
      <c r="E389" s="68">
        <f>SUM(ЦТО!BB293:BI293)</f>
        <v>0</v>
      </c>
      <c r="F389" s="64" t="str">
        <f>IF(E389&lt;10,'вспомогательные данные'!$C$26,IF(E389&lt;19,'вспомогательные данные'!$C$25,'вспомогательные данные'!$C$24))</f>
        <v>положительный</v>
      </c>
      <c r="G389" s="65">
        <f>(18-ЦТО!AM293-ЦТО!AL293)/(18-ЦТО!AL293-ЦТО!AP293)</f>
        <v>1</v>
      </c>
      <c r="H389" s="66" t="str">
        <f>IF(G389&lt;0.51,'вспомогательные данные'!$C$19,IF(G389&lt;0.92,'вспомогательные данные'!$C$20, IF(G389&lt;2,'вспомогательные данные'!$C$21,'вспомогательные данные'!$C$22)))</f>
        <v>оптимальная работоспособность</v>
      </c>
      <c r="I389" s="61" t="b">
        <f>IF(OR(ЦТО!AT293=1,ЦТО!AU293=1,ЦТО!AV293=1,ЦТО!AX293=1),"Положительная",IF(OR(ЦТО!AY293=1,ЦТО!AZ293=1,ЦТО!BA293=1),"Отрицательная",IF(OR(ЦТО!AW293=1),"Инфантильная")))</f>
        <v>0</v>
      </c>
    </row>
    <row r="390" spans="1:9">
      <c r="A390" s="62">
        <f>ЦТО!A294</f>
        <v>0</v>
      </c>
      <c r="B390" s="62">
        <f>ЦТО!B294</f>
        <v>0</v>
      </c>
      <c r="C390" s="67">
        <f>ЦТО!C294</f>
        <v>0</v>
      </c>
      <c r="D390" s="63">
        <f>ЦТО!D294</f>
        <v>0</v>
      </c>
      <c r="E390" s="68">
        <f>SUM(ЦТО!BB294:BI294)</f>
        <v>0</v>
      </c>
      <c r="F390" s="64" t="str">
        <f>IF(E390&lt;10,'вспомогательные данные'!$C$26,IF(E390&lt;19,'вспомогательные данные'!$C$25,'вспомогательные данные'!$C$24))</f>
        <v>положительный</v>
      </c>
      <c r="G390" s="65">
        <f>(18-ЦТО!AM294-ЦТО!AL294)/(18-ЦТО!AL294-ЦТО!AP294)</f>
        <v>1</v>
      </c>
      <c r="H390" s="66" t="str">
        <f>IF(G390&lt;0.51,'вспомогательные данные'!$C$19,IF(G390&lt;0.92,'вспомогательные данные'!$C$20, IF(G390&lt;2,'вспомогательные данные'!$C$21,'вспомогательные данные'!$C$22)))</f>
        <v>оптимальная работоспособность</v>
      </c>
      <c r="I390" s="61" t="b">
        <f>IF(OR(ЦТО!AT294=1,ЦТО!AU294=1,ЦТО!AV294=1,ЦТО!AX294=1),"Положительная",IF(OR(ЦТО!AY294=1,ЦТО!AZ294=1,ЦТО!BA294=1),"Отрицательная",IF(OR(ЦТО!AW294=1),"Инфантильная")))</f>
        <v>0</v>
      </c>
    </row>
    <row r="391" spans="1:9">
      <c r="A391" s="62">
        <f>ЦТО!A295</f>
        <v>0</v>
      </c>
      <c r="B391" s="62">
        <f>ЦТО!B295</f>
        <v>0</v>
      </c>
      <c r="C391" s="67">
        <f>ЦТО!C295</f>
        <v>0</v>
      </c>
      <c r="D391" s="63">
        <f>ЦТО!D295</f>
        <v>0</v>
      </c>
      <c r="E391" s="68">
        <f>SUM(ЦТО!BB295:BI295)</f>
        <v>0</v>
      </c>
      <c r="F391" s="64" t="str">
        <f>IF(E391&lt;10,'вспомогательные данные'!$C$26,IF(E391&lt;19,'вспомогательные данные'!$C$25,'вспомогательные данные'!$C$24))</f>
        <v>положительный</v>
      </c>
      <c r="G391" s="65">
        <f>(18-ЦТО!AM295-ЦТО!AL295)/(18-ЦТО!AL295-ЦТО!AP295)</f>
        <v>1</v>
      </c>
      <c r="H391" s="66" t="str">
        <f>IF(G391&lt;0.51,'вспомогательные данные'!$C$19,IF(G391&lt;0.92,'вспомогательные данные'!$C$20, IF(G391&lt;2,'вспомогательные данные'!$C$21,'вспомогательные данные'!$C$22)))</f>
        <v>оптимальная работоспособность</v>
      </c>
      <c r="I391" s="61" t="b">
        <f>IF(OR(ЦТО!AT295=1,ЦТО!AU295=1,ЦТО!AV295=1,ЦТО!AX295=1),"Положительная",IF(OR(ЦТО!AY295=1,ЦТО!AZ295=1,ЦТО!BA295=1),"Отрицательная",IF(OR(ЦТО!AW295=1),"Инфантильная")))</f>
        <v>0</v>
      </c>
    </row>
    <row r="392" spans="1:9">
      <c r="A392" s="62">
        <f>ЦТО!A296</f>
        <v>0</v>
      </c>
      <c r="B392" s="62">
        <f>ЦТО!B296</f>
        <v>0</v>
      </c>
      <c r="C392" s="67">
        <f>ЦТО!C296</f>
        <v>0</v>
      </c>
      <c r="D392" s="63">
        <f>ЦТО!D296</f>
        <v>0</v>
      </c>
      <c r="E392" s="68">
        <f>SUM(ЦТО!BB296:BI296)</f>
        <v>0</v>
      </c>
      <c r="F392" s="64" t="str">
        <f>IF(E392&lt;10,'вспомогательные данные'!$C$26,IF(E392&lt;19,'вспомогательные данные'!$C$25,'вспомогательные данные'!$C$24))</f>
        <v>положительный</v>
      </c>
      <c r="G392" s="65">
        <f>(18-ЦТО!AM296-ЦТО!AL296)/(18-ЦТО!AL296-ЦТО!AP296)</f>
        <v>1</v>
      </c>
      <c r="H392" s="66" t="str">
        <f>IF(G392&lt;0.51,'вспомогательные данные'!$C$19,IF(G392&lt;0.92,'вспомогательные данные'!$C$20, IF(G392&lt;2,'вспомогательные данные'!$C$21,'вспомогательные данные'!$C$22)))</f>
        <v>оптимальная работоспособность</v>
      </c>
      <c r="I392" s="61" t="b">
        <f>IF(OR(ЦТО!AT296=1,ЦТО!AU296=1,ЦТО!AV296=1,ЦТО!AX296=1),"Положительная",IF(OR(ЦТО!AY296=1,ЦТО!AZ296=1,ЦТО!BA296=1),"Отрицательная",IF(OR(ЦТО!AW296=1),"Инфантильная")))</f>
        <v>0</v>
      </c>
    </row>
    <row r="393" spans="1:9">
      <c r="A393" s="62">
        <f>ЦТО!A297</f>
        <v>0</v>
      </c>
      <c r="B393" s="62">
        <f>ЦТО!B297</f>
        <v>0</v>
      </c>
      <c r="C393" s="67">
        <f>ЦТО!C297</f>
        <v>0</v>
      </c>
      <c r="D393" s="63">
        <f>ЦТО!D297</f>
        <v>0</v>
      </c>
      <c r="E393" s="68">
        <f>SUM(ЦТО!BB297:BI297)</f>
        <v>0</v>
      </c>
      <c r="F393" s="64" t="str">
        <f>IF(E393&lt;10,'вспомогательные данные'!$C$26,IF(E393&lt;19,'вспомогательные данные'!$C$25,'вспомогательные данные'!$C$24))</f>
        <v>положительный</v>
      </c>
      <c r="G393" s="65">
        <f>(18-ЦТО!AM297-ЦТО!AL297)/(18-ЦТО!AL297-ЦТО!AP297)</f>
        <v>1</v>
      </c>
      <c r="H393" s="66" t="str">
        <f>IF(G393&lt;0.51,'вспомогательные данные'!$C$19,IF(G393&lt;0.92,'вспомогательные данные'!$C$20, IF(G393&lt;2,'вспомогательные данные'!$C$21,'вспомогательные данные'!$C$22)))</f>
        <v>оптимальная работоспособность</v>
      </c>
      <c r="I393" s="61" t="b">
        <f>IF(OR(ЦТО!AT297=1,ЦТО!AU297=1,ЦТО!AV297=1,ЦТО!AX297=1),"Положительная",IF(OR(ЦТО!AY297=1,ЦТО!AZ297=1,ЦТО!BA297=1),"Отрицательная",IF(OR(ЦТО!AW297=1),"Инфантильная")))</f>
        <v>0</v>
      </c>
    </row>
    <row r="394" spans="1:9">
      <c r="A394" s="62">
        <f>ЦТО!A298</f>
        <v>0</v>
      </c>
      <c r="B394" s="62">
        <f>ЦТО!B298</f>
        <v>0</v>
      </c>
      <c r="C394" s="67">
        <f>ЦТО!C298</f>
        <v>0</v>
      </c>
      <c r="D394" s="63">
        <f>ЦТО!D298</f>
        <v>0</v>
      </c>
      <c r="E394" s="68">
        <f>SUM(ЦТО!BB298:BI298)</f>
        <v>0</v>
      </c>
      <c r="F394" s="64" t="str">
        <f>IF(E394&lt;10,'вспомогательные данные'!$C$26,IF(E394&lt;19,'вспомогательные данные'!$C$25,'вспомогательные данные'!$C$24))</f>
        <v>положительный</v>
      </c>
      <c r="G394" s="65">
        <f>(18-ЦТО!AM298-ЦТО!AL298)/(18-ЦТО!AL298-ЦТО!AP298)</f>
        <v>1</v>
      </c>
      <c r="H394" s="66" t="str">
        <f>IF(G394&lt;0.51,'вспомогательные данные'!$C$19,IF(G394&lt;0.92,'вспомогательные данные'!$C$20, IF(G394&lt;2,'вспомогательные данные'!$C$21,'вспомогательные данные'!$C$22)))</f>
        <v>оптимальная работоспособность</v>
      </c>
      <c r="I394" s="61" t="b">
        <f>IF(OR(ЦТО!AT298=1,ЦТО!AU298=1,ЦТО!AV298=1,ЦТО!AX298=1),"Положительная",IF(OR(ЦТО!AY298=1,ЦТО!AZ298=1,ЦТО!BA298=1),"Отрицательная",IF(OR(ЦТО!AW298=1),"Инфантильная")))</f>
        <v>0</v>
      </c>
    </row>
    <row r="395" spans="1:9">
      <c r="A395" s="62">
        <f>ЦТО!A299</f>
        <v>0</v>
      </c>
      <c r="B395" s="62">
        <f>ЦТО!B299</f>
        <v>0</v>
      </c>
      <c r="C395" s="67">
        <f>ЦТО!C299</f>
        <v>0</v>
      </c>
      <c r="D395" s="63">
        <f>ЦТО!D299</f>
        <v>0</v>
      </c>
      <c r="E395" s="68">
        <f>SUM(ЦТО!BB299:BI299)</f>
        <v>0</v>
      </c>
      <c r="F395" s="64" t="str">
        <f>IF(E395&lt;10,'вспомогательные данные'!$C$26,IF(E395&lt;19,'вспомогательные данные'!$C$25,'вспомогательные данные'!$C$24))</f>
        <v>положительный</v>
      </c>
      <c r="G395" s="65">
        <f>(18-ЦТО!AM299-ЦТО!AL299)/(18-ЦТО!AL299-ЦТО!AP299)</f>
        <v>1</v>
      </c>
      <c r="H395" s="66" t="str">
        <f>IF(G395&lt;0.51,'вспомогательные данные'!$C$19,IF(G395&lt;0.92,'вспомогательные данные'!$C$20, IF(G395&lt;2,'вспомогательные данные'!$C$21,'вспомогательные данные'!$C$22)))</f>
        <v>оптимальная работоспособность</v>
      </c>
      <c r="I395" s="61" t="b">
        <f>IF(OR(ЦТО!AT299=1,ЦТО!AU299=1,ЦТО!AV299=1,ЦТО!AX299=1),"Положительная",IF(OR(ЦТО!AY299=1,ЦТО!AZ299=1,ЦТО!BA299=1),"Отрицательная",IF(OR(ЦТО!AW299=1),"Инфантильная")))</f>
        <v>0</v>
      </c>
    </row>
    <row r="396" spans="1:9">
      <c r="A396" s="62">
        <f>ЦТО!A300</f>
        <v>0</v>
      </c>
      <c r="B396" s="62">
        <f>ЦТО!B300</f>
        <v>0</v>
      </c>
      <c r="C396" s="67">
        <f>ЦТО!C300</f>
        <v>0</v>
      </c>
      <c r="D396" s="63">
        <f>ЦТО!D300</f>
        <v>0</v>
      </c>
      <c r="E396" s="68">
        <f>SUM(ЦТО!BB300:BI300)</f>
        <v>0</v>
      </c>
      <c r="F396" s="64" t="str">
        <f>IF(E396&lt;10,'вспомогательные данные'!$C$26,IF(E396&lt;19,'вспомогательные данные'!$C$25,'вспомогательные данные'!$C$24))</f>
        <v>положительный</v>
      </c>
      <c r="G396" s="65">
        <f>(18-ЦТО!AM300-ЦТО!AL300)/(18-ЦТО!AL300-ЦТО!AP300)</f>
        <v>1</v>
      </c>
      <c r="H396" s="66" t="str">
        <f>IF(G396&lt;0.51,'вспомогательные данные'!$C$19,IF(G396&lt;0.92,'вспомогательные данные'!$C$20, IF(G396&lt;2,'вспомогательные данные'!$C$21,'вспомогательные данные'!$C$22)))</f>
        <v>оптимальная работоспособность</v>
      </c>
      <c r="I396" s="61" t="b">
        <f>IF(OR(ЦТО!AT300=1,ЦТО!AU300=1,ЦТО!AV300=1,ЦТО!AX300=1),"Положительная",IF(OR(ЦТО!AY300=1,ЦТО!AZ300=1,ЦТО!BA300=1),"Отрицательная",IF(OR(ЦТО!AW300=1),"Инфантильная")))</f>
        <v>0</v>
      </c>
    </row>
    <row r="397" spans="1:9">
      <c r="A397" s="62">
        <f>ЦТО!A301</f>
        <v>0</v>
      </c>
      <c r="B397" s="62">
        <f>ЦТО!B301</f>
        <v>0</v>
      </c>
      <c r="C397" s="67">
        <f>ЦТО!C301</f>
        <v>0</v>
      </c>
      <c r="D397" s="63">
        <f>ЦТО!D301</f>
        <v>0</v>
      </c>
      <c r="E397" s="68">
        <f>SUM(ЦТО!BB301:BI301)</f>
        <v>0</v>
      </c>
      <c r="F397" s="64" t="str">
        <f>IF(E397&lt;10,'вспомогательные данные'!$C$26,IF(E397&lt;19,'вспомогательные данные'!$C$25,'вспомогательные данные'!$C$24))</f>
        <v>положительный</v>
      </c>
      <c r="G397" s="65">
        <f>(18-ЦТО!AM301-ЦТО!AL301)/(18-ЦТО!AL301-ЦТО!AP301)</f>
        <v>1</v>
      </c>
      <c r="H397" s="66" t="str">
        <f>IF(G397&lt;0.51,'вспомогательные данные'!$C$19,IF(G397&lt;0.92,'вспомогательные данные'!$C$20, IF(G397&lt;2,'вспомогательные данные'!$C$21,'вспомогательные данные'!$C$22)))</f>
        <v>оптимальная работоспособность</v>
      </c>
      <c r="I397" s="61" t="b">
        <f>IF(OR(ЦТО!AT301=1,ЦТО!AU301=1,ЦТО!AV301=1,ЦТО!AX301=1),"Положительная",IF(OR(ЦТО!AY301=1,ЦТО!AZ301=1,ЦТО!BA301=1),"Отрицательная",IF(OR(ЦТО!AW301=1),"Инфантильная")))</f>
        <v>0</v>
      </c>
    </row>
    <row r="398" spans="1:9">
      <c r="A398" s="62">
        <f>ЦТО!A302</f>
        <v>0</v>
      </c>
      <c r="B398" s="62">
        <f>ЦТО!B302</f>
        <v>0</v>
      </c>
      <c r="C398" s="67">
        <f>ЦТО!C302</f>
        <v>0</v>
      </c>
      <c r="D398" s="63">
        <f>ЦТО!D302</f>
        <v>0</v>
      </c>
      <c r="E398" s="68">
        <f>SUM(ЦТО!BB302:BI302)</f>
        <v>0</v>
      </c>
      <c r="F398" s="64" t="str">
        <f>IF(E398&lt;10,'вспомогательные данные'!$C$26,IF(E398&lt;19,'вспомогательные данные'!$C$25,'вспомогательные данные'!$C$24))</f>
        <v>положительный</v>
      </c>
      <c r="G398" s="65">
        <f>(18-ЦТО!AM302-ЦТО!AL302)/(18-ЦТО!AL302-ЦТО!AP302)</f>
        <v>1</v>
      </c>
      <c r="H398" s="66" t="str">
        <f>IF(G398&lt;0.51,'вспомогательные данные'!$C$19,IF(G398&lt;0.92,'вспомогательные данные'!$C$20, IF(G398&lt;2,'вспомогательные данные'!$C$21,'вспомогательные данные'!$C$22)))</f>
        <v>оптимальная работоспособность</v>
      </c>
      <c r="I398" s="61" t="b">
        <f>IF(OR(ЦТО!AT302=1,ЦТО!AU302=1,ЦТО!AV302=1,ЦТО!AX302=1),"Положительная",IF(OR(ЦТО!AY302=1,ЦТО!AZ302=1,ЦТО!BA302=1),"Отрицательная",IF(OR(ЦТО!AW302=1),"Инфантильная")))</f>
        <v>0</v>
      </c>
    </row>
    <row r="399" spans="1:9">
      <c r="A399" s="62">
        <f>ЦТО!A303</f>
        <v>0</v>
      </c>
      <c r="B399" s="62">
        <f>ЦТО!B303</f>
        <v>0</v>
      </c>
      <c r="C399" s="67">
        <f>ЦТО!C303</f>
        <v>0</v>
      </c>
      <c r="D399" s="63">
        <f>ЦТО!D303</f>
        <v>0</v>
      </c>
      <c r="E399" s="68">
        <f>SUM(ЦТО!BB303:BI303)</f>
        <v>0</v>
      </c>
      <c r="F399" s="64" t="str">
        <f>IF(E399&lt;10,'вспомогательные данные'!$C$26,IF(E399&lt;19,'вспомогательные данные'!$C$25,'вспомогательные данные'!$C$24))</f>
        <v>положительный</v>
      </c>
      <c r="G399" s="65">
        <f>(18-ЦТО!AM303-ЦТО!AL303)/(18-ЦТО!AL303-ЦТО!AP303)</f>
        <v>1</v>
      </c>
      <c r="H399" s="66" t="str">
        <f>IF(G399&lt;0.51,'вспомогательные данные'!$C$19,IF(G399&lt;0.92,'вспомогательные данные'!$C$20, IF(G399&lt;2,'вспомогательные данные'!$C$21,'вспомогательные данные'!$C$22)))</f>
        <v>оптимальная работоспособность</v>
      </c>
      <c r="I399" s="61" t="b">
        <f>IF(OR(ЦТО!AT303=1,ЦТО!AU303=1,ЦТО!AV303=1,ЦТО!AX303=1),"Положительная",IF(OR(ЦТО!AY303=1,ЦТО!AZ303=1,ЦТО!BA303=1),"Отрицательная",IF(OR(ЦТО!AW303=1),"Инфантильная")))</f>
        <v>0</v>
      </c>
    </row>
    <row r="400" spans="1:9">
      <c r="A400" s="62">
        <f>ЦТО!A304</f>
        <v>0</v>
      </c>
      <c r="B400" s="62">
        <f>ЦТО!B304</f>
        <v>0</v>
      </c>
      <c r="C400" s="67">
        <f>ЦТО!C304</f>
        <v>0</v>
      </c>
      <c r="D400" s="63">
        <f>ЦТО!D304</f>
        <v>0</v>
      </c>
      <c r="E400" s="68">
        <f>SUM(ЦТО!BB304:BI304)</f>
        <v>0</v>
      </c>
      <c r="F400" s="64" t="str">
        <f>IF(E400&lt;10,'вспомогательные данные'!$C$26,IF(E400&lt;19,'вспомогательные данные'!$C$25,'вспомогательные данные'!$C$24))</f>
        <v>положительный</v>
      </c>
      <c r="G400" s="65">
        <f>(18-ЦТО!AM304-ЦТО!AL304)/(18-ЦТО!AL304-ЦТО!AP304)</f>
        <v>1</v>
      </c>
      <c r="H400" s="66" t="str">
        <f>IF(G400&lt;0.51,'вспомогательные данные'!$C$19,IF(G400&lt;0.92,'вспомогательные данные'!$C$20, IF(G400&lt;2,'вспомогательные данные'!$C$21,'вспомогательные данные'!$C$22)))</f>
        <v>оптимальная работоспособность</v>
      </c>
      <c r="I400" s="61" t="b">
        <f>IF(OR(ЦТО!AT304=1,ЦТО!AU304=1,ЦТО!AV304=1,ЦТО!AX304=1),"Положительная",IF(OR(ЦТО!AY304=1,ЦТО!AZ304=1,ЦТО!BA304=1),"Отрицательная",IF(OR(ЦТО!AW304=1),"Инфантильная")))</f>
        <v>0</v>
      </c>
    </row>
    <row r="401" spans="1:9">
      <c r="A401" s="62">
        <f>ЦТО!A305</f>
        <v>0</v>
      </c>
      <c r="B401" s="62">
        <f>ЦТО!B305</f>
        <v>0</v>
      </c>
      <c r="C401" s="67">
        <f>ЦТО!C305</f>
        <v>0</v>
      </c>
      <c r="D401" s="63">
        <f>ЦТО!D305</f>
        <v>0</v>
      </c>
      <c r="E401" s="68">
        <f>SUM(ЦТО!BB305:BI305)</f>
        <v>0</v>
      </c>
      <c r="F401" s="64" t="str">
        <f>IF(E401&lt;10,'вспомогательные данные'!$C$26,IF(E401&lt;19,'вспомогательные данные'!$C$25,'вспомогательные данные'!$C$24))</f>
        <v>положительный</v>
      </c>
      <c r="G401" s="65">
        <f>(18-ЦТО!AM305-ЦТО!AL305)/(18-ЦТО!AL305-ЦТО!AP305)</f>
        <v>1</v>
      </c>
      <c r="H401" s="66" t="str">
        <f>IF(G401&lt;0.51,'вспомогательные данные'!$C$19,IF(G401&lt;0.92,'вспомогательные данные'!$C$20, IF(G401&lt;2,'вспомогательные данные'!$C$21,'вспомогательные данные'!$C$22)))</f>
        <v>оптимальная работоспособность</v>
      </c>
      <c r="I401" s="61" t="b">
        <f>IF(OR(ЦТО!AT305=1,ЦТО!AU305=1,ЦТО!AV305=1,ЦТО!AX305=1),"Положительная",IF(OR(ЦТО!AY305=1,ЦТО!AZ305=1,ЦТО!BA305=1),"Отрицательная",IF(OR(ЦТО!AW305=1),"Инфантильная")))</f>
        <v>0</v>
      </c>
    </row>
    <row r="402" spans="1:9">
      <c r="A402" s="62">
        <f>ЦТО!A306</f>
        <v>0</v>
      </c>
      <c r="B402" s="62">
        <f>ЦТО!B306</f>
        <v>0</v>
      </c>
      <c r="C402" s="67">
        <f>ЦТО!C306</f>
        <v>0</v>
      </c>
      <c r="D402" s="63">
        <f>ЦТО!D306</f>
        <v>0</v>
      </c>
      <c r="E402" s="68">
        <f>SUM(ЦТО!BB306:BI306)</f>
        <v>0</v>
      </c>
      <c r="F402" s="64" t="str">
        <f>IF(E402&lt;10,'вспомогательные данные'!$C$26,IF(E402&lt;19,'вспомогательные данные'!$C$25,'вспомогательные данные'!$C$24))</f>
        <v>положительный</v>
      </c>
      <c r="G402" s="65">
        <f>(18-ЦТО!AM306-ЦТО!AL306)/(18-ЦТО!AL306-ЦТО!AP306)</f>
        <v>1</v>
      </c>
      <c r="H402" s="66" t="str">
        <f>IF(G402&lt;0.51,'вспомогательные данные'!$C$19,IF(G402&lt;0.92,'вспомогательные данные'!$C$20, IF(G402&lt;2,'вспомогательные данные'!$C$21,'вспомогательные данные'!$C$22)))</f>
        <v>оптимальная работоспособность</v>
      </c>
      <c r="I402" s="61" t="b">
        <f>IF(OR(ЦТО!AT306=1,ЦТО!AU306=1,ЦТО!AV306=1,ЦТО!AX306=1),"Положительная",IF(OR(ЦТО!AY306=1,ЦТО!AZ306=1,ЦТО!BA306=1),"Отрицательная",IF(OR(ЦТО!AW306=1),"Инфантильная")))</f>
        <v>0</v>
      </c>
    </row>
    <row r="403" spans="1:9">
      <c r="A403" s="62">
        <f>ЦТО!A307</f>
        <v>0</v>
      </c>
      <c r="B403" s="62">
        <f>ЦТО!B307</f>
        <v>0</v>
      </c>
      <c r="C403" s="67">
        <f>ЦТО!C307</f>
        <v>0</v>
      </c>
      <c r="D403" s="63">
        <f>ЦТО!D307</f>
        <v>0</v>
      </c>
      <c r="E403" s="68">
        <f>SUM(ЦТО!BB307:BI307)</f>
        <v>0</v>
      </c>
      <c r="F403" s="64" t="str">
        <f>IF(E403&lt;10,'вспомогательные данные'!$C$26,IF(E403&lt;19,'вспомогательные данные'!$C$25,'вспомогательные данные'!$C$24))</f>
        <v>положительный</v>
      </c>
      <c r="G403" s="65">
        <f>(18-ЦТО!AM307-ЦТО!AL307)/(18-ЦТО!AL307-ЦТО!AP307)</f>
        <v>1</v>
      </c>
      <c r="H403" s="66" t="str">
        <f>IF(G403&lt;0.51,'вспомогательные данные'!$C$19,IF(G403&lt;0.92,'вспомогательные данные'!$C$20, IF(G403&lt;2,'вспомогательные данные'!$C$21,'вспомогательные данные'!$C$22)))</f>
        <v>оптимальная работоспособность</v>
      </c>
      <c r="I403" s="61" t="b">
        <f>IF(OR(ЦТО!AT307=1,ЦТО!AU307=1,ЦТО!AV307=1,ЦТО!AX307=1),"Положительная",IF(OR(ЦТО!AY307=1,ЦТО!AZ307=1,ЦТО!BA307=1),"Отрицательная",IF(OR(ЦТО!AW307=1),"Инфантильная")))</f>
        <v>0</v>
      </c>
    </row>
    <row r="404" spans="1:9">
      <c r="A404" s="62">
        <f>ЦТО!A308</f>
        <v>0</v>
      </c>
      <c r="B404" s="62">
        <f>ЦТО!B308</f>
        <v>0</v>
      </c>
      <c r="C404" s="67">
        <f>ЦТО!C308</f>
        <v>0</v>
      </c>
      <c r="D404" s="63">
        <f>ЦТО!D308</f>
        <v>0</v>
      </c>
      <c r="E404" s="68">
        <f>SUM(ЦТО!BB308:BI308)</f>
        <v>0</v>
      </c>
      <c r="F404" s="64" t="str">
        <f>IF(E404&lt;10,'вспомогательные данные'!$C$26,IF(E404&lt;19,'вспомогательные данные'!$C$25,'вспомогательные данные'!$C$24))</f>
        <v>положительный</v>
      </c>
      <c r="G404" s="65">
        <f>(18-ЦТО!AM308-ЦТО!AL308)/(18-ЦТО!AL308-ЦТО!AP308)</f>
        <v>1</v>
      </c>
      <c r="H404" s="66" t="str">
        <f>IF(G404&lt;0.51,'вспомогательные данные'!$C$19,IF(G404&lt;0.92,'вспомогательные данные'!$C$20, IF(G404&lt;2,'вспомогательные данные'!$C$21,'вспомогательные данные'!$C$22)))</f>
        <v>оптимальная работоспособность</v>
      </c>
      <c r="I404" s="61" t="b">
        <f>IF(OR(ЦТО!AT308=1,ЦТО!AU308=1,ЦТО!AV308=1,ЦТО!AX308=1),"Положительная",IF(OR(ЦТО!AY308=1,ЦТО!AZ308=1,ЦТО!BA308=1),"Отрицательная",IF(OR(ЦТО!AW308=1),"Инфантильная")))</f>
        <v>0</v>
      </c>
    </row>
    <row r="405" spans="1:9">
      <c r="A405" s="62">
        <f>ЦТО!A309</f>
        <v>0</v>
      </c>
      <c r="B405" s="62">
        <f>ЦТО!B309</f>
        <v>0</v>
      </c>
      <c r="C405" s="67">
        <f>ЦТО!C309</f>
        <v>0</v>
      </c>
      <c r="D405" s="63">
        <f>ЦТО!D309</f>
        <v>0</v>
      </c>
      <c r="E405" s="68">
        <f>SUM(ЦТО!BB309:BI309)</f>
        <v>0</v>
      </c>
      <c r="F405" s="64" t="str">
        <f>IF(E405&lt;10,'вспомогательные данные'!$C$26,IF(E405&lt;19,'вспомогательные данные'!$C$25,'вспомогательные данные'!$C$24))</f>
        <v>положительный</v>
      </c>
      <c r="G405" s="65">
        <f>(18-ЦТО!AM309-ЦТО!AL309)/(18-ЦТО!AL309-ЦТО!AP309)</f>
        <v>1</v>
      </c>
      <c r="H405" s="66" t="str">
        <f>IF(G405&lt;0.51,'вспомогательные данные'!$C$19,IF(G405&lt;0.92,'вспомогательные данные'!$C$20, IF(G405&lt;2,'вспомогательные данные'!$C$21,'вспомогательные данные'!$C$22)))</f>
        <v>оптимальная работоспособность</v>
      </c>
      <c r="I405" s="61" t="b">
        <f>IF(OR(ЦТО!AT309=1,ЦТО!AU309=1,ЦТО!AV309=1,ЦТО!AX309=1),"Положительная",IF(OR(ЦТО!AY309=1,ЦТО!AZ309=1,ЦТО!BA309=1),"Отрицательная",IF(OR(ЦТО!AW309=1),"Инфантильная")))</f>
        <v>0</v>
      </c>
    </row>
    <row r="406" spans="1:9">
      <c r="A406" s="62">
        <f>ЦТО!A310</f>
        <v>0</v>
      </c>
      <c r="B406" s="62">
        <f>ЦТО!B310</f>
        <v>0</v>
      </c>
      <c r="C406" s="67">
        <f>ЦТО!C310</f>
        <v>0</v>
      </c>
      <c r="D406" s="63">
        <f>ЦТО!D310</f>
        <v>0</v>
      </c>
      <c r="E406" s="68">
        <f>SUM(ЦТО!BB310:BI310)</f>
        <v>0</v>
      </c>
      <c r="F406" s="64" t="str">
        <f>IF(E406&lt;10,'вспомогательные данные'!$C$26,IF(E406&lt;19,'вспомогательные данные'!$C$25,'вспомогательные данные'!$C$24))</f>
        <v>положительный</v>
      </c>
      <c r="G406" s="65">
        <f>(18-ЦТО!AM310-ЦТО!AL310)/(18-ЦТО!AL310-ЦТО!AP310)</f>
        <v>1</v>
      </c>
      <c r="H406" s="66" t="str">
        <f>IF(G406&lt;0.51,'вспомогательные данные'!$C$19,IF(G406&lt;0.92,'вспомогательные данные'!$C$20, IF(G406&lt;2,'вспомогательные данные'!$C$21,'вспомогательные данные'!$C$22)))</f>
        <v>оптимальная работоспособность</v>
      </c>
      <c r="I406" s="61" t="b">
        <f>IF(OR(ЦТО!AT310=1,ЦТО!AU310=1,ЦТО!AV310=1,ЦТО!AX310=1),"Положительная",IF(OR(ЦТО!AY310=1,ЦТО!AZ310=1,ЦТО!BA310=1),"Отрицательная",IF(OR(ЦТО!AW310=1),"Инфантильная")))</f>
        <v>0</v>
      </c>
    </row>
    <row r="407" spans="1:9">
      <c r="A407" s="62">
        <f>ЦТО!A311</f>
        <v>0</v>
      </c>
      <c r="B407" s="62">
        <f>ЦТО!B311</f>
        <v>0</v>
      </c>
      <c r="C407" s="67">
        <f>ЦТО!C311</f>
        <v>0</v>
      </c>
      <c r="D407" s="63">
        <f>ЦТО!D311</f>
        <v>0</v>
      </c>
      <c r="E407" s="68">
        <f>SUM(ЦТО!BB311:BI311)</f>
        <v>0</v>
      </c>
      <c r="F407" s="64" t="str">
        <f>IF(E407&lt;10,'вспомогательные данные'!$C$26,IF(E407&lt;19,'вспомогательные данные'!$C$25,'вспомогательные данные'!$C$24))</f>
        <v>положительный</v>
      </c>
      <c r="G407" s="65">
        <f>(18-ЦТО!AM311-ЦТО!AL311)/(18-ЦТО!AL311-ЦТО!AP311)</f>
        <v>1</v>
      </c>
      <c r="H407" s="66" t="str">
        <f>IF(G407&lt;0.51,'вспомогательные данные'!$C$19,IF(G407&lt;0.92,'вспомогательные данные'!$C$20, IF(G407&lt;2,'вспомогательные данные'!$C$21,'вспомогательные данные'!$C$22)))</f>
        <v>оптимальная работоспособность</v>
      </c>
      <c r="I407" s="61" t="b">
        <f>IF(OR(ЦТО!AT311=1,ЦТО!AU311=1,ЦТО!AV311=1,ЦТО!AX311=1),"Положительная",IF(OR(ЦТО!AY311=1,ЦТО!AZ311=1,ЦТО!BA311=1),"Отрицательная",IF(OR(ЦТО!AW311=1),"Инфантильная")))</f>
        <v>0</v>
      </c>
    </row>
    <row r="408" spans="1:9">
      <c r="A408" s="62">
        <f>ЦТО!A312</f>
        <v>0</v>
      </c>
      <c r="B408" s="62">
        <f>ЦТО!B312</f>
        <v>0</v>
      </c>
      <c r="C408" s="67">
        <f>ЦТО!C312</f>
        <v>0</v>
      </c>
      <c r="D408" s="63">
        <f>ЦТО!D312</f>
        <v>0</v>
      </c>
      <c r="E408" s="68">
        <f>SUM(ЦТО!BB312:BI312)</f>
        <v>0</v>
      </c>
      <c r="F408" s="64" t="str">
        <f>IF(E408&lt;10,'вспомогательные данные'!$C$26,IF(E408&lt;19,'вспомогательные данные'!$C$25,'вспомогательные данные'!$C$24))</f>
        <v>положительный</v>
      </c>
      <c r="G408" s="65">
        <f>(18-ЦТО!AM312-ЦТО!AL312)/(18-ЦТО!AL312-ЦТО!AP312)</f>
        <v>1</v>
      </c>
      <c r="H408" s="66" t="str">
        <f>IF(G408&lt;0.51,'вспомогательные данные'!$C$19,IF(G408&lt;0.92,'вспомогательные данные'!$C$20, IF(G408&lt;2,'вспомогательные данные'!$C$21,'вспомогательные данные'!$C$22)))</f>
        <v>оптимальная работоспособность</v>
      </c>
      <c r="I408" s="61" t="b">
        <f>IF(OR(ЦТО!AT312=1,ЦТО!AU312=1,ЦТО!AV312=1,ЦТО!AX312=1),"Положительная",IF(OR(ЦТО!AY312=1,ЦТО!AZ312=1,ЦТО!BA312=1),"Отрицательная",IF(OR(ЦТО!AW312=1),"Инфантильная")))</f>
        <v>0</v>
      </c>
    </row>
    <row r="409" spans="1:9">
      <c r="A409" s="62">
        <f>ЦТО!A313</f>
        <v>0</v>
      </c>
      <c r="B409" s="62">
        <f>ЦТО!B313</f>
        <v>0</v>
      </c>
      <c r="C409" s="67">
        <f>ЦТО!C313</f>
        <v>0</v>
      </c>
      <c r="D409" s="63">
        <f>ЦТО!D313</f>
        <v>0</v>
      </c>
      <c r="E409" s="68">
        <f>SUM(ЦТО!BB313:BI313)</f>
        <v>0</v>
      </c>
      <c r="F409" s="64" t="str">
        <f>IF(E409&lt;10,'вспомогательные данные'!$C$26,IF(E409&lt;19,'вспомогательные данные'!$C$25,'вспомогательные данные'!$C$24))</f>
        <v>положительный</v>
      </c>
      <c r="G409" s="65">
        <f>(18-ЦТО!AM313-ЦТО!AL313)/(18-ЦТО!AL313-ЦТО!AP313)</f>
        <v>1</v>
      </c>
      <c r="H409" s="66" t="str">
        <f>IF(G409&lt;0.51,'вспомогательные данные'!$C$19,IF(G409&lt;0.92,'вспомогательные данные'!$C$20, IF(G409&lt;2,'вспомогательные данные'!$C$21,'вспомогательные данные'!$C$22)))</f>
        <v>оптимальная работоспособность</v>
      </c>
      <c r="I409" s="61" t="b">
        <f>IF(OR(ЦТО!AT313=1,ЦТО!AU313=1,ЦТО!AV313=1,ЦТО!AX313=1),"Положительная",IF(OR(ЦТО!AY313=1,ЦТО!AZ313=1,ЦТО!BA313=1),"Отрицательная",IF(OR(ЦТО!AW313=1),"Инфантильная")))</f>
        <v>0</v>
      </c>
    </row>
    <row r="410" spans="1:9">
      <c r="A410" s="62">
        <f>ЦТО!A314</f>
        <v>0</v>
      </c>
      <c r="B410" s="62">
        <f>ЦТО!B314</f>
        <v>0</v>
      </c>
      <c r="C410" s="67">
        <f>ЦТО!C314</f>
        <v>0</v>
      </c>
      <c r="D410" s="63">
        <f>ЦТО!D314</f>
        <v>0</v>
      </c>
      <c r="E410" s="68">
        <f>SUM(ЦТО!BB314:BI314)</f>
        <v>0</v>
      </c>
      <c r="F410" s="64" t="str">
        <f>IF(E410&lt;10,'вспомогательные данные'!$C$26,IF(E410&lt;19,'вспомогательные данные'!$C$25,'вспомогательные данные'!$C$24))</f>
        <v>положительный</v>
      </c>
      <c r="G410" s="65">
        <f>(18-ЦТО!AM314-ЦТО!AL314)/(18-ЦТО!AL314-ЦТО!AP314)</f>
        <v>1</v>
      </c>
      <c r="H410" s="66" t="str">
        <f>IF(G410&lt;0.51,'вспомогательные данные'!$C$19,IF(G410&lt;0.92,'вспомогательные данные'!$C$20, IF(G410&lt;2,'вспомогательные данные'!$C$21,'вспомогательные данные'!$C$22)))</f>
        <v>оптимальная работоспособность</v>
      </c>
      <c r="I410" s="61" t="b">
        <f>IF(OR(ЦТО!AT314=1,ЦТО!AU314=1,ЦТО!AV314=1,ЦТО!AX314=1),"Положительная",IF(OR(ЦТО!AY314=1,ЦТО!AZ314=1,ЦТО!BA314=1),"Отрицательная",IF(OR(ЦТО!AW314=1),"Инфантильная")))</f>
        <v>0</v>
      </c>
    </row>
    <row r="411" spans="1:9">
      <c r="A411" s="62">
        <f>ЦТО!A315</f>
        <v>0</v>
      </c>
      <c r="B411" s="62">
        <f>ЦТО!B315</f>
        <v>0</v>
      </c>
      <c r="C411" s="67">
        <f>ЦТО!C315</f>
        <v>0</v>
      </c>
      <c r="D411" s="63">
        <f>ЦТО!D315</f>
        <v>0</v>
      </c>
      <c r="E411" s="68">
        <f>SUM(ЦТО!BB315:BI315)</f>
        <v>0</v>
      </c>
      <c r="F411" s="64" t="str">
        <f>IF(E411&lt;10,'вспомогательные данные'!$C$26,IF(E411&lt;19,'вспомогательные данные'!$C$25,'вспомогательные данные'!$C$24))</f>
        <v>положительный</v>
      </c>
      <c r="G411" s="65">
        <f>(18-ЦТО!AM315-ЦТО!AL315)/(18-ЦТО!AL315-ЦТО!AP315)</f>
        <v>1</v>
      </c>
      <c r="H411" s="66" t="str">
        <f>IF(G411&lt;0.51,'вспомогательные данные'!$C$19,IF(G411&lt;0.92,'вспомогательные данные'!$C$20, IF(G411&lt;2,'вспомогательные данные'!$C$21,'вспомогательные данные'!$C$22)))</f>
        <v>оптимальная работоспособность</v>
      </c>
      <c r="I411" s="61" t="b">
        <f>IF(OR(ЦТО!AT315=1,ЦТО!AU315=1,ЦТО!AV315=1,ЦТО!AX315=1),"Положительная",IF(OR(ЦТО!AY315=1,ЦТО!AZ315=1,ЦТО!BA315=1),"Отрицательная",IF(OR(ЦТО!AW315=1),"Инфантильная")))</f>
        <v>0</v>
      </c>
    </row>
    <row r="412" spans="1:9">
      <c r="A412" s="62">
        <f>ЦТО!A316</f>
        <v>0</v>
      </c>
      <c r="B412" s="62">
        <f>ЦТО!B316</f>
        <v>0</v>
      </c>
      <c r="C412" s="67">
        <f>ЦТО!C316</f>
        <v>0</v>
      </c>
      <c r="D412" s="63">
        <f>ЦТО!D316</f>
        <v>0</v>
      </c>
      <c r="E412" s="68">
        <f>SUM(ЦТО!BB316:BI316)</f>
        <v>0</v>
      </c>
      <c r="F412" s="64" t="str">
        <f>IF(E412&lt;10,'вспомогательные данные'!$C$26,IF(E412&lt;19,'вспомогательные данные'!$C$25,'вспомогательные данные'!$C$24))</f>
        <v>положительный</v>
      </c>
      <c r="G412" s="65">
        <f>(18-ЦТО!AM316-ЦТО!AL316)/(18-ЦТО!AL316-ЦТО!AP316)</f>
        <v>1</v>
      </c>
      <c r="H412" s="66" t="str">
        <f>IF(G412&lt;0.51,'вспомогательные данные'!$C$19,IF(G412&lt;0.92,'вспомогательные данные'!$C$20, IF(G412&lt;2,'вспомогательные данные'!$C$21,'вспомогательные данные'!$C$22)))</f>
        <v>оптимальная работоспособность</v>
      </c>
      <c r="I412" s="61" t="b">
        <f>IF(OR(ЦТО!AT316=1,ЦТО!AU316=1,ЦТО!AV316=1,ЦТО!AX316=1),"Положительная",IF(OR(ЦТО!AY316=1,ЦТО!AZ316=1,ЦТО!BA316=1),"Отрицательная",IF(OR(ЦТО!AW316=1),"Инфантильная")))</f>
        <v>0</v>
      </c>
    </row>
    <row r="413" spans="1:9">
      <c r="A413" s="62">
        <f>ЦТО!A317</f>
        <v>0</v>
      </c>
      <c r="B413" s="62">
        <f>ЦТО!B317</f>
        <v>0</v>
      </c>
      <c r="C413" s="67">
        <f>ЦТО!C317</f>
        <v>0</v>
      </c>
      <c r="D413" s="63">
        <f>ЦТО!D317</f>
        <v>0</v>
      </c>
      <c r="E413" s="68">
        <f>SUM(ЦТО!BB317:BI317)</f>
        <v>0</v>
      </c>
      <c r="F413" s="64" t="str">
        <f>IF(E413&lt;10,'вспомогательные данные'!$C$26,IF(E413&lt;19,'вспомогательные данные'!$C$25,'вспомогательные данные'!$C$24))</f>
        <v>положительный</v>
      </c>
      <c r="G413" s="65">
        <f>(18-ЦТО!AM317-ЦТО!AL317)/(18-ЦТО!AL317-ЦТО!AP317)</f>
        <v>1</v>
      </c>
      <c r="H413" s="66" t="str">
        <f>IF(G413&lt;0.51,'вспомогательные данные'!$C$19,IF(G413&lt;0.92,'вспомогательные данные'!$C$20, IF(G413&lt;2,'вспомогательные данные'!$C$21,'вспомогательные данные'!$C$22)))</f>
        <v>оптимальная работоспособность</v>
      </c>
      <c r="I413" s="61" t="b">
        <f>IF(OR(ЦТО!AT317=1,ЦТО!AU317=1,ЦТО!AV317=1,ЦТО!AX317=1),"Положительная",IF(OR(ЦТО!AY317=1,ЦТО!AZ317=1,ЦТО!BA317=1),"Отрицательная",IF(OR(ЦТО!AW317=1),"Инфантильная")))</f>
        <v>0</v>
      </c>
    </row>
    <row r="414" spans="1:9">
      <c r="A414" s="62">
        <f>ЦТО!A318</f>
        <v>0</v>
      </c>
      <c r="B414" s="62">
        <f>ЦТО!B318</f>
        <v>0</v>
      </c>
      <c r="C414" s="67">
        <f>ЦТО!C318</f>
        <v>0</v>
      </c>
      <c r="D414" s="63">
        <f>ЦТО!D318</f>
        <v>0</v>
      </c>
      <c r="E414" s="68">
        <f>SUM(ЦТО!BB318:BI318)</f>
        <v>0</v>
      </c>
      <c r="F414" s="64" t="str">
        <f>IF(E414&lt;10,'вспомогательные данные'!$C$26,IF(E414&lt;19,'вспомогательные данные'!$C$25,'вспомогательные данные'!$C$24))</f>
        <v>положительный</v>
      </c>
      <c r="G414" s="65">
        <f>(18-ЦТО!AM318-ЦТО!AL318)/(18-ЦТО!AL318-ЦТО!AP318)</f>
        <v>1</v>
      </c>
      <c r="H414" s="66" t="str">
        <f>IF(G414&lt;0.51,'вспомогательные данные'!$C$19,IF(G414&lt;0.92,'вспомогательные данные'!$C$20, IF(G414&lt;2,'вспомогательные данные'!$C$21,'вспомогательные данные'!$C$22)))</f>
        <v>оптимальная работоспособность</v>
      </c>
      <c r="I414" s="61" t="b">
        <f>IF(OR(ЦТО!AT318=1,ЦТО!AU318=1,ЦТО!AV318=1,ЦТО!AX318=1),"Положительная",IF(OR(ЦТО!AY318=1,ЦТО!AZ318=1,ЦТО!BA318=1),"Отрицательная",IF(OR(ЦТО!AW318=1),"Инфантильная")))</f>
        <v>0</v>
      </c>
    </row>
    <row r="415" spans="1:9">
      <c r="A415" s="62">
        <f>ЦТО!A319</f>
        <v>0</v>
      </c>
      <c r="B415" s="62">
        <f>ЦТО!B319</f>
        <v>0</v>
      </c>
      <c r="C415" s="67">
        <f>ЦТО!C319</f>
        <v>0</v>
      </c>
      <c r="D415" s="63">
        <f>ЦТО!D319</f>
        <v>0</v>
      </c>
      <c r="E415" s="68">
        <f>SUM(ЦТО!BB319:BI319)</f>
        <v>0</v>
      </c>
      <c r="F415" s="64" t="str">
        <f>IF(E415&lt;10,'вспомогательные данные'!$C$26,IF(E415&lt;19,'вспомогательные данные'!$C$25,'вспомогательные данные'!$C$24))</f>
        <v>положительный</v>
      </c>
      <c r="G415" s="65">
        <f>(18-ЦТО!AM319-ЦТО!AL319)/(18-ЦТО!AL319-ЦТО!AP319)</f>
        <v>1</v>
      </c>
      <c r="H415" s="66" t="str">
        <f>IF(G415&lt;0.51,'вспомогательные данные'!$C$19,IF(G415&lt;0.92,'вспомогательные данные'!$C$20, IF(G415&lt;2,'вспомогательные данные'!$C$21,'вспомогательные данные'!$C$22)))</f>
        <v>оптимальная работоспособность</v>
      </c>
      <c r="I415" s="61" t="b">
        <f>IF(OR(ЦТО!AT319=1,ЦТО!AU319=1,ЦТО!AV319=1,ЦТО!AX319=1),"Положительная",IF(OR(ЦТО!AY319=1,ЦТО!AZ319=1,ЦТО!BA319=1),"Отрицательная",IF(OR(ЦТО!AW319=1),"Инфантильная")))</f>
        <v>0</v>
      </c>
    </row>
    <row r="416" spans="1:9">
      <c r="A416" s="62">
        <f>ЦТО!A320</f>
        <v>0</v>
      </c>
      <c r="B416" s="62">
        <f>ЦТО!B320</f>
        <v>0</v>
      </c>
      <c r="C416" s="67">
        <f>ЦТО!C320</f>
        <v>0</v>
      </c>
      <c r="D416" s="63">
        <f>ЦТО!D320</f>
        <v>0</v>
      </c>
      <c r="E416" s="68">
        <f>SUM(ЦТО!BB320:BI320)</f>
        <v>0</v>
      </c>
      <c r="F416" s="64" t="str">
        <f>IF(E416&lt;10,'вспомогательные данные'!$C$26,IF(E416&lt;19,'вспомогательные данные'!$C$25,'вспомогательные данные'!$C$24))</f>
        <v>положительный</v>
      </c>
      <c r="G416" s="65">
        <f>(18-ЦТО!AM320-ЦТО!AL320)/(18-ЦТО!AL320-ЦТО!AP320)</f>
        <v>1</v>
      </c>
      <c r="H416" s="66" t="str">
        <f>IF(G416&lt;0.51,'вспомогательные данные'!$C$19,IF(G416&lt;0.92,'вспомогательные данные'!$C$20, IF(G416&lt;2,'вспомогательные данные'!$C$21,'вспомогательные данные'!$C$22)))</f>
        <v>оптимальная работоспособность</v>
      </c>
      <c r="I416" s="61" t="b">
        <f>IF(OR(ЦТО!AT320=1,ЦТО!AU320=1,ЦТО!AV320=1,ЦТО!AX320=1),"Положительная",IF(OR(ЦТО!AY320=1,ЦТО!AZ320=1,ЦТО!BA320=1),"Отрицательная",IF(OR(ЦТО!AW320=1),"Инфантильная")))</f>
        <v>0</v>
      </c>
    </row>
    <row r="417" spans="1:9">
      <c r="A417" s="62">
        <f>ЦТО!A321</f>
        <v>0</v>
      </c>
      <c r="B417" s="62">
        <f>ЦТО!B321</f>
        <v>0</v>
      </c>
      <c r="C417" s="67">
        <f>ЦТО!C321</f>
        <v>0</v>
      </c>
      <c r="D417" s="63">
        <f>ЦТО!D321</f>
        <v>0</v>
      </c>
      <c r="E417" s="68">
        <f>SUM(ЦТО!BB321:BI321)</f>
        <v>0</v>
      </c>
      <c r="F417" s="64" t="str">
        <f>IF(E417&lt;10,'вспомогательные данные'!$C$26,IF(E417&lt;19,'вспомогательные данные'!$C$25,'вспомогательные данные'!$C$24))</f>
        <v>положительный</v>
      </c>
      <c r="G417" s="65">
        <f>(18-ЦТО!AM321-ЦТО!AL321)/(18-ЦТО!AL321-ЦТО!AP321)</f>
        <v>1</v>
      </c>
      <c r="H417" s="66" t="str">
        <f>IF(G417&lt;0.51,'вспомогательные данные'!$C$19,IF(G417&lt;0.92,'вспомогательные данные'!$C$20, IF(G417&lt;2,'вспомогательные данные'!$C$21,'вспомогательные данные'!$C$22)))</f>
        <v>оптимальная работоспособность</v>
      </c>
      <c r="I417" s="61" t="b">
        <f>IF(OR(ЦТО!AT321=1,ЦТО!AU321=1,ЦТО!AV321=1,ЦТО!AX321=1),"Положительная",IF(OR(ЦТО!AY321=1,ЦТО!AZ321=1,ЦТО!BA321=1),"Отрицательная",IF(OR(ЦТО!AW321=1),"Инфантильная")))</f>
        <v>0</v>
      </c>
    </row>
    <row r="418" spans="1:9">
      <c r="A418" s="62">
        <f>ЦТО!A322</f>
        <v>0</v>
      </c>
      <c r="B418" s="62">
        <f>ЦТО!B322</f>
        <v>0</v>
      </c>
      <c r="C418" s="67">
        <f>ЦТО!C322</f>
        <v>0</v>
      </c>
      <c r="D418" s="63">
        <f>ЦТО!D322</f>
        <v>0</v>
      </c>
      <c r="E418" s="68">
        <f>SUM(ЦТО!BB322:BI322)</f>
        <v>0</v>
      </c>
      <c r="F418" s="64" t="str">
        <f>IF(E418&lt;10,'вспомогательные данные'!$C$26,IF(E418&lt;19,'вспомогательные данные'!$C$25,'вспомогательные данные'!$C$24))</f>
        <v>положительный</v>
      </c>
      <c r="G418" s="65">
        <f>(18-ЦТО!AM322-ЦТО!AL322)/(18-ЦТО!AL322-ЦТО!AP322)</f>
        <v>1</v>
      </c>
      <c r="H418" s="66" t="str">
        <f>IF(G418&lt;0.51,'вспомогательные данные'!$C$19,IF(G418&lt;0.92,'вспомогательные данные'!$C$20, IF(G418&lt;2,'вспомогательные данные'!$C$21,'вспомогательные данные'!$C$22)))</f>
        <v>оптимальная работоспособность</v>
      </c>
      <c r="I418" s="61" t="b">
        <f>IF(OR(ЦТО!AT322=1,ЦТО!AU322=1,ЦТО!AV322=1,ЦТО!AX322=1),"Положительная",IF(OR(ЦТО!AY322=1,ЦТО!AZ322=1,ЦТО!BA322=1),"Отрицательная",IF(OR(ЦТО!AW322=1),"Инфантильная")))</f>
        <v>0</v>
      </c>
    </row>
    <row r="419" spans="1:9">
      <c r="A419" s="62">
        <f>ЦТО!A323</f>
        <v>0</v>
      </c>
      <c r="B419" s="62">
        <f>ЦТО!B323</f>
        <v>0</v>
      </c>
      <c r="C419" s="67">
        <f>ЦТО!C323</f>
        <v>0</v>
      </c>
      <c r="D419" s="63">
        <f>ЦТО!D323</f>
        <v>0</v>
      </c>
      <c r="E419" s="68">
        <f>SUM(ЦТО!BB323:BI323)</f>
        <v>0</v>
      </c>
      <c r="F419" s="64" t="str">
        <f>IF(E419&lt;10,'вспомогательные данные'!$C$26,IF(E419&lt;19,'вспомогательные данные'!$C$25,'вспомогательные данные'!$C$24))</f>
        <v>положительный</v>
      </c>
      <c r="G419" s="65">
        <f>(18-ЦТО!AM323-ЦТО!AL323)/(18-ЦТО!AL323-ЦТО!AP323)</f>
        <v>1</v>
      </c>
      <c r="H419" s="66" t="str">
        <f>IF(G419&lt;0.51,'вспомогательные данные'!$C$19,IF(G419&lt;0.92,'вспомогательные данные'!$C$20, IF(G419&lt;2,'вспомогательные данные'!$C$21,'вспомогательные данные'!$C$22)))</f>
        <v>оптимальная работоспособность</v>
      </c>
      <c r="I419" s="61" t="b">
        <f>IF(OR(ЦТО!AT323=1,ЦТО!AU323=1,ЦТО!AV323=1,ЦТО!AX323=1),"Положительная",IF(OR(ЦТО!AY323=1,ЦТО!AZ323=1,ЦТО!BA323=1),"Отрицательная",IF(OR(ЦТО!AW323=1),"Инфантильная")))</f>
        <v>0</v>
      </c>
    </row>
    <row r="420" spans="1:9">
      <c r="A420" s="62">
        <f>ЦТО!A324</f>
        <v>0</v>
      </c>
      <c r="B420" s="62">
        <f>ЦТО!B324</f>
        <v>0</v>
      </c>
      <c r="C420" s="67">
        <f>ЦТО!C324</f>
        <v>0</v>
      </c>
      <c r="D420" s="63">
        <f>ЦТО!D324</f>
        <v>0</v>
      </c>
      <c r="E420" s="68">
        <f>SUM(ЦТО!BB324:BI324)</f>
        <v>0</v>
      </c>
      <c r="F420" s="64" t="str">
        <f>IF(E420&lt;10,'вспомогательные данные'!$C$26,IF(E420&lt;19,'вспомогательные данные'!$C$25,'вспомогательные данные'!$C$24))</f>
        <v>положительный</v>
      </c>
      <c r="G420" s="65">
        <f>(18-ЦТО!AM324-ЦТО!AL324)/(18-ЦТО!AL324-ЦТО!AP324)</f>
        <v>1</v>
      </c>
      <c r="H420" s="66" t="str">
        <f>IF(G420&lt;0.51,'вспомогательные данные'!$C$19,IF(G420&lt;0.92,'вспомогательные данные'!$C$20, IF(G420&lt;2,'вспомогательные данные'!$C$21,'вспомогательные данные'!$C$22)))</f>
        <v>оптимальная работоспособность</v>
      </c>
      <c r="I420" s="61" t="b">
        <f>IF(OR(ЦТО!AT324=1,ЦТО!AU324=1,ЦТО!AV324=1,ЦТО!AX324=1),"Положительная",IF(OR(ЦТО!AY324=1,ЦТО!AZ324=1,ЦТО!BA324=1),"Отрицательная",IF(OR(ЦТО!AW324=1),"Инфантильная")))</f>
        <v>0</v>
      </c>
    </row>
    <row r="421" spans="1:9">
      <c r="A421" s="62">
        <f>ЦТО!A325</f>
        <v>0</v>
      </c>
      <c r="B421" s="62">
        <f>ЦТО!B325</f>
        <v>0</v>
      </c>
      <c r="C421" s="67">
        <f>ЦТО!C325</f>
        <v>0</v>
      </c>
      <c r="D421" s="63">
        <f>ЦТО!D325</f>
        <v>0</v>
      </c>
      <c r="E421" s="68">
        <f>SUM(ЦТО!BB325:BI325)</f>
        <v>0</v>
      </c>
      <c r="F421" s="64" t="str">
        <f>IF(E421&lt;10,'вспомогательные данные'!$C$26,IF(E421&lt;19,'вспомогательные данные'!$C$25,'вспомогательные данные'!$C$24))</f>
        <v>положительный</v>
      </c>
      <c r="G421" s="65">
        <f>(18-ЦТО!AM325-ЦТО!AL325)/(18-ЦТО!AL325-ЦТО!AP325)</f>
        <v>1</v>
      </c>
      <c r="H421" s="66" t="str">
        <f>IF(G421&lt;0.51,'вспомогательные данные'!$C$19,IF(G421&lt;0.92,'вспомогательные данные'!$C$20, IF(G421&lt;2,'вспомогательные данные'!$C$21,'вспомогательные данные'!$C$22)))</f>
        <v>оптимальная работоспособность</v>
      </c>
      <c r="I421" s="61" t="b">
        <f>IF(OR(ЦТО!AT325=1,ЦТО!AU325=1,ЦТО!AV325=1,ЦТО!AX325=1),"Положительная",IF(OR(ЦТО!AY325=1,ЦТО!AZ325=1,ЦТО!BA325=1),"Отрицательная",IF(OR(ЦТО!AW325=1),"Инфантильная")))</f>
        <v>0</v>
      </c>
    </row>
    <row r="422" spans="1:9">
      <c r="A422" s="62">
        <f>ЦТО!A326</f>
        <v>0</v>
      </c>
      <c r="B422" s="62">
        <f>ЦТО!B326</f>
        <v>0</v>
      </c>
      <c r="C422" s="67">
        <f>ЦТО!C326</f>
        <v>0</v>
      </c>
      <c r="D422" s="63">
        <f>ЦТО!D326</f>
        <v>0</v>
      </c>
      <c r="E422" s="68">
        <f>SUM(ЦТО!BB326:BI326)</f>
        <v>0</v>
      </c>
      <c r="F422" s="64" t="str">
        <f>IF(E422&lt;10,'вспомогательные данные'!$C$26,IF(E422&lt;19,'вспомогательные данные'!$C$25,'вспомогательные данные'!$C$24))</f>
        <v>положительный</v>
      </c>
      <c r="G422" s="65">
        <f>(18-ЦТО!AM326-ЦТО!AL326)/(18-ЦТО!AL326-ЦТО!AP326)</f>
        <v>1</v>
      </c>
      <c r="H422" s="66" t="str">
        <f>IF(G422&lt;0.51,'вспомогательные данные'!$C$19,IF(G422&lt;0.92,'вспомогательные данные'!$C$20, IF(G422&lt;2,'вспомогательные данные'!$C$21,'вспомогательные данные'!$C$22)))</f>
        <v>оптимальная работоспособность</v>
      </c>
      <c r="I422" s="61" t="b">
        <f>IF(OR(ЦТО!AT326=1,ЦТО!AU326=1,ЦТО!AV326=1,ЦТО!AX326=1),"Положительная",IF(OR(ЦТО!AY326=1,ЦТО!AZ326=1,ЦТО!BA326=1),"Отрицательная",IF(OR(ЦТО!AW326=1),"Инфантильная")))</f>
        <v>0</v>
      </c>
    </row>
    <row r="423" spans="1:9">
      <c r="A423" s="62">
        <f>ЦТО!A327</f>
        <v>0</v>
      </c>
      <c r="B423" s="62">
        <f>ЦТО!B327</f>
        <v>0</v>
      </c>
      <c r="C423" s="67">
        <f>ЦТО!C327</f>
        <v>0</v>
      </c>
      <c r="D423" s="63">
        <f>ЦТО!D327</f>
        <v>0</v>
      </c>
      <c r="E423" s="68">
        <f>SUM(ЦТО!BB327:BI327)</f>
        <v>0</v>
      </c>
      <c r="F423" s="64" t="str">
        <f>IF(E423&lt;10,'вспомогательные данные'!$C$26,IF(E423&lt;19,'вспомогательные данные'!$C$25,'вспомогательные данные'!$C$24))</f>
        <v>положительный</v>
      </c>
      <c r="G423" s="65">
        <f>(18-ЦТО!AM327-ЦТО!AL327)/(18-ЦТО!AL327-ЦТО!AP327)</f>
        <v>1</v>
      </c>
      <c r="H423" s="66" t="str">
        <f>IF(G423&lt;0.51,'вспомогательные данные'!$C$19,IF(G423&lt;0.92,'вспомогательные данные'!$C$20, IF(G423&lt;2,'вспомогательные данные'!$C$21,'вспомогательные данные'!$C$22)))</f>
        <v>оптимальная работоспособность</v>
      </c>
      <c r="I423" s="61" t="b">
        <f>IF(OR(ЦТО!AT327=1,ЦТО!AU327=1,ЦТО!AV327=1,ЦТО!AX327=1),"Положительная",IF(OR(ЦТО!AY327=1,ЦТО!AZ327=1,ЦТО!BA327=1),"Отрицательная",IF(OR(ЦТО!AW327=1),"Инфантильная")))</f>
        <v>0</v>
      </c>
    </row>
    <row r="424" spans="1:9">
      <c r="A424" s="62">
        <f>ЦТО!A328</f>
        <v>0</v>
      </c>
      <c r="B424" s="62">
        <f>ЦТО!B328</f>
        <v>0</v>
      </c>
      <c r="C424" s="67">
        <f>ЦТО!C328</f>
        <v>0</v>
      </c>
      <c r="D424" s="63">
        <f>ЦТО!D328</f>
        <v>0</v>
      </c>
      <c r="E424" s="68">
        <f>SUM(ЦТО!BB328:BI328)</f>
        <v>0</v>
      </c>
      <c r="F424" s="64" t="str">
        <f>IF(E424&lt;10,'вспомогательные данные'!$C$26,IF(E424&lt;19,'вспомогательные данные'!$C$25,'вспомогательные данные'!$C$24))</f>
        <v>положительный</v>
      </c>
      <c r="G424" s="65">
        <f>(18-ЦТО!AM328-ЦТО!AL328)/(18-ЦТО!AL328-ЦТО!AP328)</f>
        <v>1</v>
      </c>
      <c r="H424" s="66" t="str">
        <f>IF(G424&lt;0.51,'вспомогательные данные'!$C$19,IF(G424&lt;0.92,'вспомогательные данные'!$C$20, IF(G424&lt;2,'вспомогательные данные'!$C$21,'вспомогательные данные'!$C$22)))</f>
        <v>оптимальная работоспособность</v>
      </c>
      <c r="I424" s="61" t="b">
        <f>IF(OR(ЦТО!AT328=1,ЦТО!AU328=1,ЦТО!AV328=1,ЦТО!AX328=1),"Положительная",IF(OR(ЦТО!AY328=1,ЦТО!AZ328=1,ЦТО!BA328=1),"Отрицательная",IF(OR(ЦТО!AW328=1),"Инфантильная")))</f>
        <v>0</v>
      </c>
    </row>
    <row r="425" spans="1:9">
      <c r="A425" s="62">
        <f>ЦТО!A329</f>
        <v>0</v>
      </c>
      <c r="B425" s="62">
        <f>ЦТО!B329</f>
        <v>0</v>
      </c>
      <c r="C425" s="67">
        <f>ЦТО!C329</f>
        <v>0</v>
      </c>
      <c r="D425" s="63">
        <f>ЦТО!D329</f>
        <v>0</v>
      </c>
      <c r="E425" s="68">
        <f>SUM(ЦТО!BB329:BI329)</f>
        <v>0</v>
      </c>
      <c r="F425" s="64" t="str">
        <f>IF(E425&lt;10,'вспомогательные данные'!$C$26,IF(E425&lt;19,'вспомогательные данные'!$C$25,'вспомогательные данные'!$C$24))</f>
        <v>положительный</v>
      </c>
      <c r="G425" s="65">
        <f>(18-ЦТО!AM329-ЦТО!AL329)/(18-ЦТО!AL329-ЦТО!AP329)</f>
        <v>1</v>
      </c>
      <c r="H425" s="66" t="str">
        <f>IF(G425&lt;0.51,'вспомогательные данные'!$C$19,IF(G425&lt;0.92,'вспомогательные данные'!$C$20, IF(G425&lt;2,'вспомогательные данные'!$C$21,'вспомогательные данные'!$C$22)))</f>
        <v>оптимальная работоспособность</v>
      </c>
      <c r="I425" s="61" t="b">
        <f>IF(OR(ЦТО!AT329=1,ЦТО!AU329=1,ЦТО!AV329=1,ЦТО!AX329=1),"Положительная",IF(OR(ЦТО!AY329=1,ЦТО!AZ329=1,ЦТО!BA329=1),"Отрицательная",IF(OR(ЦТО!AW329=1),"Инфантильная")))</f>
        <v>0</v>
      </c>
    </row>
    <row r="426" spans="1:9">
      <c r="A426" s="62">
        <f>ЦТО!A330</f>
        <v>0</v>
      </c>
      <c r="B426" s="62">
        <f>ЦТО!B330</f>
        <v>0</v>
      </c>
      <c r="C426" s="67">
        <f>ЦТО!C330</f>
        <v>0</v>
      </c>
      <c r="D426" s="63">
        <f>ЦТО!D330</f>
        <v>0</v>
      </c>
      <c r="E426" s="68">
        <f>SUM(ЦТО!BB330:BI330)</f>
        <v>0</v>
      </c>
      <c r="F426" s="64" t="str">
        <f>IF(E426&lt;10,'вспомогательные данные'!$C$26,IF(E426&lt;19,'вспомогательные данные'!$C$25,'вспомогательные данные'!$C$24))</f>
        <v>положительный</v>
      </c>
      <c r="G426" s="65">
        <f>(18-ЦТО!AM330-ЦТО!AL330)/(18-ЦТО!AL330-ЦТО!AP330)</f>
        <v>1</v>
      </c>
      <c r="H426" s="66" t="str">
        <f>IF(G426&lt;0.51,'вспомогательные данные'!$C$19,IF(G426&lt;0.92,'вспомогательные данные'!$C$20, IF(G426&lt;2,'вспомогательные данные'!$C$21,'вспомогательные данные'!$C$22)))</f>
        <v>оптимальная работоспособность</v>
      </c>
      <c r="I426" s="61" t="b">
        <f>IF(OR(ЦТО!AT330=1,ЦТО!AU330=1,ЦТО!AV330=1,ЦТО!AX330=1),"Положительная",IF(OR(ЦТО!AY330=1,ЦТО!AZ330=1,ЦТО!BA330=1),"Отрицательная",IF(OR(ЦТО!AW330=1),"Инфантильная")))</f>
        <v>0</v>
      </c>
    </row>
    <row r="427" spans="1:9">
      <c r="A427" s="62">
        <f>ЦТО!A331</f>
        <v>0</v>
      </c>
      <c r="B427" s="62">
        <f>ЦТО!B331</f>
        <v>0</v>
      </c>
      <c r="C427" s="67">
        <f>ЦТО!C331</f>
        <v>0</v>
      </c>
      <c r="D427" s="63">
        <f>ЦТО!D331</f>
        <v>0</v>
      </c>
      <c r="E427" s="68">
        <f>SUM(ЦТО!BB331:BI331)</f>
        <v>0</v>
      </c>
      <c r="F427" s="64" t="str">
        <f>IF(E427&lt;10,'вспомогательные данные'!$C$26,IF(E427&lt;19,'вспомогательные данные'!$C$25,'вспомогательные данные'!$C$24))</f>
        <v>положительный</v>
      </c>
      <c r="G427" s="65">
        <f>(18-ЦТО!AM331-ЦТО!AL331)/(18-ЦТО!AL331-ЦТО!AP331)</f>
        <v>1</v>
      </c>
      <c r="H427" s="66" t="str">
        <f>IF(G427&lt;0.51,'вспомогательные данные'!$C$19,IF(G427&lt;0.92,'вспомогательные данные'!$C$20, IF(G427&lt;2,'вспомогательные данные'!$C$21,'вспомогательные данные'!$C$22)))</f>
        <v>оптимальная работоспособность</v>
      </c>
      <c r="I427" s="61" t="b">
        <f>IF(OR(ЦТО!AT331=1,ЦТО!AU331=1,ЦТО!AV331=1,ЦТО!AX331=1),"Положительная",IF(OR(ЦТО!AY331=1,ЦТО!AZ331=1,ЦТО!BA331=1),"Отрицательная",IF(OR(ЦТО!AW331=1),"Инфантильная")))</f>
        <v>0</v>
      </c>
    </row>
    <row r="428" spans="1:9">
      <c r="A428" s="62">
        <f>ЦТО!A332</f>
        <v>0</v>
      </c>
      <c r="B428" s="62">
        <f>ЦТО!B332</f>
        <v>0</v>
      </c>
      <c r="C428" s="67">
        <f>ЦТО!C332</f>
        <v>0</v>
      </c>
      <c r="D428" s="63">
        <f>ЦТО!D332</f>
        <v>0</v>
      </c>
      <c r="E428" s="68">
        <f>SUM(ЦТО!BB332:BI332)</f>
        <v>0</v>
      </c>
      <c r="F428" s="64" t="str">
        <f>IF(E428&lt;10,'вспомогательные данные'!$C$26,IF(E428&lt;19,'вспомогательные данные'!$C$25,'вспомогательные данные'!$C$24))</f>
        <v>положительный</v>
      </c>
      <c r="G428" s="65">
        <f>(18-ЦТО!AM332-ЦТО!AL332)/(18-ЦТО!AL332-ЦТО!AP332)</f>
        <v>1</v>
      </c>
      <c r="H428" s="66" t="str">
        <f>IF(G428&lt;0.51,'вспомогательные данные'!$C$19,IF(G428&lt;0.92,'вспомогательные данные'!$C$20, IF(G428&lt;2,'вспомогательные данные'!$C$21,'вспомогательные данные'!$C$22)))</f>
        <v>оптимальная работоспособность</v>
      </c>
      <c r="I428" s="61" t="b">
        <f>IF(OR(ЦТО!AT332=1,ЦТО!AU332=1,ЦТО!AV332=1,ЦТО!AX332=1),"Положительная",IF(OR(ЦТО!AY332=1,ЦТО!AZ332=1,ЦТО!BA332=1),"Отрицательная",IF(OR(ЦТО!AW332=1),"Инфантильная")))</f>
        <v>0</v>
      </c>
    </row>
    <row r="429" spans="1:9">
      <c r="A429" s="62">
        <f>ЦТО!A333</f>
        <v>0</v>
      </c>
      <c r="B429" s="62">
        <f>ЦТО!B333</f>
        <v>0</v>
      </c>
      <c r="C429" s="67">
        <f>ЦТО!C333</f>
        <v>0</v>
      </c>
      <c r="D429" s="63">
        <f>ЦТО!D333</f>
        <v>0</v>
      </c>
      <c r="E429" s="68">
        <f>SUM(ЦТО!BB333:BI333)</f>
        <v>0</v>
      </c>
      <c r="F429" s="64" t="str">
        <f>IF(E429&lt;10,'вспомогательные данные'!$C$26,IF(E429&lt;19,'вспомогательные данные'!$C$25,'вспомогательные данные'!$C$24))</f>
        <v>положительный</v>
      </c>
      <c r="G429" s="65">
        <f>(18-ЦТО!AM333-ЦТО!AL333)/(18-ЦТО!AL333-ЦТО!AP333)</f>
        <v>1</v>
      </c>
      <c r="H429" s="66" t="str">
        <f>IF(G429&lt;0.51,'вспомогательные данные'!$C$19,IF(G429&lt;0.92,'вспомогательные данные'!$C$20, IF(G429&lt;2,'вспомогательные данные'!$C$21,'вспомогательные данные'!$C$22)))</f>
        <v>оптимальная работоспособность</v>
      </c>
      <c r="I429" s="61" t="b">
        <f>IF(OR(ЦТО!AT333=1,ЦТО!AU333=1,ЦТО!AV333=1,ЦТО!AX333=1),"Положительная",IF(OR(ЦТО!AY333=1,ЦТО!AZ333=1,ЦТО!BA333=1),"Отрицательная",IF(OR(ЦТО!AW333=1),"Инфантильная")))</f>
        <v>0</v>
      </c>
    </row>
    <row r="430" spans="1:9">
      <c r="A430" s="62">
        <f>ЦТО!A334</f>
        <v>0</v>
      </c>
      <c r="B430" s="62">
        <f>ЦТО!B334</f>
        <v>0</v>
      </c>
      <c r="C430" s="67">
        <f>ЦТО!C334</f>
        <v>0</v>
      </c>
      <c r="D430" s="63">
        <f>ЦТО!D334</f>
        <v>0</v>
      </c>
      <c r="E430" s="68">
        <f>SUM(ЦТО!BB334:BI334)</f>
        <v>0</v>
      </c>
      <c r="F430" s="64" t="str">
        <f>IF(E430&lt;10,'вспомогательные данные'!$C$26,IF(E430&lt;19,'вспомогательные данные'!$C$25,'вспомогательные данные'!$C$24))</f>
        <v>положительный</v>
      </c>
      <c r="G430" s="65">
        <f>(18-ЦТО!AM334-ЦТО!AL334)/(18-ЦТО!AL334-ЦТО!AP334)</f>
        <v>1</v>
      </c>
      <c r="H430" s="66" t="str">
        <f>IF(G430&lt;0.51,'вспомогательные данные'!$C$19,IF(G430&lt;0.92,'вспомогательные данные'!$C$20, IF(G430&lt;2,'вспомогательные данные'!$C$21,'вспомогательные данные'!$C$22)))</f>
        <v>оптимальная работоспособность</v>
      </c>
      <c r="I430" s="61" t="b">
        <f>IF(OR(ЦТО!AT334=1,ЦТО!AU334=1,ЦТО!AV334=1,ЦТО!AX334=1),"Положительная",IF(OR(ЦТО!AY334=1,ЦТО!AZ334=1,ЦТО!BA334=1),"Отрицательная",IF(OR(ЦТО!AW334=1),"Инфантильная")))</f>
        <v>0</v>
      </c>
    </row>
    <row r="431" spans="1:9">
      <c r="A431" s="62">
        <f>ЦТО!A335</f>
        <v>0</v>
      </c>
      <c r="B431" s="62">
        <f>ЦТО!B335</f>
        <v>0</v>
      </c>
      <c r="C431" s="67">
        <f>ЦТО!C335</f>
        <v>0</v>
      </c>
      <c r="D431" s="63">
        <f>ЦТО!D335</f>
        <v>0</v>
      </c>
      <c r="E431" s="68">
        <f>SUM(ЦТО!BB335:BI335)</f>
        <v>0</v>
      </c>
      <c r="F431" s="64" t="str">
        <f>IF(E431&lt;10,'вспомогательные данные'!$C$26,IF(E431&lt;19,'вспомогательные данные'!$C$25,'вспомогательные данные'!$C$24))</f>
        <v>положительный</v>
      </c>
      <c r="G431" s="65">
        <f>(18-ЦТО!AM335-ЦТО!AL335)/(18-ЦТО!AL335-ЦТО!AP335)</f>
        <v>1</v>
      </c>
      <c r="H431" s="66" t="str">
        <f>IF(G431&lt;0.51,'вспомогательные данные'!$C$19,IF(G431&lt;0.92,'вспомогательные данные'!$C$20, IF(G431&lt;2,'вспомогательные данные'!$C$21,'вспомогательные данные'!$C$22)))</f>
        <v>оптимальная работоспособность</v>
      </c>
      <c r="I431" s="61" t="b">
        <f>IF(OR(ЦТО!AT335=1,ЦТО!AU335=1,ЦТО!AV335=1,ЦТО!AX335=1),"Положительная",IF(OR(ЦТО!AY335=1,ЦТО!AZ335=1,ЦТО!BA335=1),"Отрицательная",IF(OR(ЦТО!AW335=1),"Инфантильная")))</f>
        <v>0</v>
      </c>
    </row>
    <row r="432" spans="1:9">
      <c r="A432" s="62">
        <f>ЦТО!A336</f>
        <v>0</v>
      </c>
      <c r="B432" s="62">
        <f>ЦТО!B336</f>
        <v>0</v>
      </c>
      <c r="C432" s="67">
        <f>ЦТО!C336</f>
        <v>0</v>
      </c>
      <c r="D432" s="63">
        <f>ЦТО!D336</f>
        <v>0</v>
      </c>
      <c r="E432" s="68">
        <f>SUM(ЦТО!BB336:BI336)</f>
        <v>0</v>
      </c>
      <c r="F432" s="64" t="str">
        <f>IF(E432&lt;10,'вспомогательные данные'!$C$26,IF(E432&lt;19,'вспомогательные данные'!$C$25,'вспомогательные данные'!$C$24))</f>
        <v>положительный</v>
      </c>
      <c r="G432" s="65">
        <f>(18-ЦТО!AM336-ЦТО!AL336)/(18-ЦТО!AL336-ЦТО!AP336)</f>
        <v>1</v>
      </c>
      <c r="H432" s="66" t="str">
        <f>IF(G432&lt;0.51,'вспомогательные данные'!$C$19,IF(G432&lt;0.92,'вспомогательные данные'!$C$20, IF(G432&lt;2,'вспомогательные данные'!$C$21,'вспомогательные данные'!$C$22)))</f>
        <v>оптимальная работоспособность</v>
      </c>
      <c r="I432" s="61" t="b">
        <f>IF(OR(ЦТО!AT336=1,ЦТО!AU336=1,ЦТО!AV336=1,ЦТО!AX336=1),"Положительная",IF(OR(ЦТО!AY336=1,ЦТО!AZ336=1,ЦТО!BA336=1),"Отрицательная",IF(OR(ЦТО!AW336=1),"Инфантильная")))</f>
        <v>0</v>
      </c>
    </row>
    <row r="433" spans="1:9">
      <c r="A433" s="62">
        <f>ЦТО!A337</f>
        <v>0</v>
      </c>
      <c r="B433" s="62">
        <f>ЦТО!B337</f>
        <v>0</v>
      </c>
      <c r="C433" s="67">
        <f>ЦТО!C337</f>
        <v>0</v>
      </c>
      <c r="D433" s="63">
        <f>ЦТО!D337</f>
        <v>0</v>
      </c>
      <c r="E433" s="68">
        <f>SUM(ЦТО!BB337:BI337)</f>
        <v>0</v>
      </c>
      <c r="F433" s="64" t="str">
        <f>IF(E433&lt;10,'вспомогательные данные'!$C$26,IF(E433&lt;19,'вспомогательные данные'!$C$25,'вспомогательные данные'!$C$24))</f>
        <v>положительный</v>
      </c>
      <c r="G433" s="65">
        <f>(18-ЦТО!AM337-ЦТО!AL337)/(18-ЦТО!AL337-ЦТО!AP337)</f>
        <v>1</v>
      </c>
      <c r="H433" s="66" t="str">
        <f>IF(G433&lt;0.51,'вспомогательные данные'!$C$19,IF(G433&lt;0.92,'вспомогательные данные'!$C$20, IF(G433&lt;2,'вспомогательные данные'!$C$21,'вспомогательные данные'!$C$22)))</f>
        <v>оптимальная работоспособность</v>
      </c>
      <c r="I433" s="61" t="b">
        <f>IF(OR(ЦТО!AT337=1,ЦТО!AU337=1,ЦТО!AV337=1,ЦТО!AX337=1),"Положительная",IF(OR(ЦТО!AY337=1,ЦТО!AZ337=1,ЦТО!BA337=1),"Отрицательная",IF(OR(ЦТО!AW337=1),"Инфантильная")))</f>
        <v>0</v>
      </c>
    </row>
    <row r="434" spans="1:9">
      <c r="A434" s="62">
        <f>ЦТО!A338</f>
        <v>0</v>
      </c>
      <c r="B434" s="62">
        <f>ЦТО!B338</f>
        <v>0</v>
      </c>
      <c r="C434" s="67">
        <f>ЦТО!C338</f>
        <v>0</v>
      </c>
      <c r="D434" s="63">
        <f>ЦТО!D338</f>
        <v>0</v>
      </c>
      <c r="E434" s="68">
        <f>SUM(ЦТО!BB338:BI338)</f>
        <v>0</v>
      </c>
      <c r="F434" s="64" t="str">
        <f>IF(E434&lt;10,'вспомогательные данные'!$C$26,IF(E434&lt;19,'вспомогательные данные'!$C$25,'вспомогательные данные'!$C$24))</f>
        <v>положительный</v>
      </c>
      <c r="G434" s="65">
        <f>(18-ЦТО!AM338-ЦТО!AL338)/(18-ЦТО!AL338-ЦТО!AP338)</f>
        <v>1</v>
      </c>
      <c r="H434" s="66" t="str">
        <f>IF(G434&lt;0.51,'вспомогательные данные'!$C$19,IF(G434&lt;0.92,'вспомогательные данные'!$C$20, IF(G434&lt;2,'вспомогательные данные'!$C$21,'вспомогательные данные'!$C$22)))</f>
        <v>оптимальная работоспособность</v>
      </c>
      <c r="I434" s="61" t="b">
        <f>IF(OR(ЦТО!AT338=1,ЦТО!AU338=1,ЦТО!AV338=1,ЦТО!AX338=1),"Положительная",IF(OR(ЦТО!AY338=1,ЦТО!AZ338=1,ЦТО!BA338=1),"Отрицательная",IF(OR(ЦТО!AW338=1),"Инфантильная")))</f>
        <v>0</v>
      </c>
    </row>
    <row r="435" spans="1:9">
      <c r="A435" s="62">
        <f>ЦТО!A339</f>
        <v>0</v>
      </c>
      <c r="B435" s="62">
        <f>ЦТО!B339</f>
        <v>0</v>
      </c>
      <c r="C435" s="67">
        <f>ЦТО!C339</f>
        <v>0</v>
      </c>
      <c r="D435" s="63">
        <f>ЦТО!D339</f>
        <v>0</v>
      </c>
      <c r="E435" s="68">
        <f>SUM(ЦТО!BB339:BI339)</f>
        <v>0</v>
      </c>
      <c r="F435" s="64" t="str">
        <f>IF(E435&lt;10,'вспомогательные данные'!$C$26,IF(E435&lt;19,'вспомогательные данные'!$C$25,'вспомогательные данные'!$C$24))</f>
        <v>положительный</v>
      </c>
      <c r="G435" s="65">
        <f>(18-ЦТО!AM339-ЦТО!AL339)/(18-ЦТО!AL339-ЦТО!AP339)</f>
        <v>1</v>
      </c>
      <c r="H435" s="66" t="str">
        <f>IF(G435&lt;0.51,'вспомогательные данные'!$C$19,IF(G435&lt;0.92,'вспомогательные данные'!$C$20, IF(G435&lt;2,'вспомогательные данные'!$C$21,'вспомогательные данные'!$C$22)))</f>
        <v>оптимальная работоспособность</v>
      </c>
      <c r="I435" s="61" t="b">
        <f>IF(OR(ЦТО!AT339=1,ЦТО!AU339=1,ЦТО!AV339=1,ЦТО!AX339=1),"Положительная",IF(OR(ЦТО!AY339=1,ЦТО!AZ339=1,ЦТО!BA339=1),"Отрицательная",IF(OR(ЦТО!AW339=1),"Инфантильная")))</f>
        <v>0</v>
      </c>
    </row>
    <row r="436" spans="1:9">
      <c r="A436" s="62">
        <f>ЦТО!A340</f>
        <v>0</v>
      </c>
      <c r="B436" s="62">
        <f>ЦТО!B340</f>
        <v>0</v>
      </c>
      <c r="C436" s="67">
        <f>ЦТО!C340</f>
        <v>0</v>
      </c>
      <c r="D436" s="63">
        <f>ЦТО!D340</f>
        <v>0</v>
      </c>
      <c r="E436" s="68">
        <f>SUM(ЦТО!BB340:BI340)</f>
        <v>0</v>
      </c>
      <c r="F436" s="64" t="str">
        <f>IF(E436&lt;10,'вспомогательные данные'!$C$26,IF(E436&lt;19,'вспомогательные данные'!$C$25,'вспомогательные данные'!$C$24))</f>
        <v>положительный</v>
      </c>
      <c r="G436" s="65">
        <f>(18-ЦТО!AM340-ЦТО!AL340)/(18-ЦТО!AL340-ЦТО!AP340)</f>
        <v>1</v>
      </c>
      <c r="H436" s="66" t="str">
        <f>IF(G436&lt;0.51,'вспомогательные данные'!$C$19,IF(G436&lt;0.92,'вспомогательные данные'!$C$20, IF(G436&lt;2,'вспомогательные данные'!$C$21,'вспомогательные данные'!$C$22)))</f>
        <v>оптимальная работоспособность</v>
      </c>
      <c r="I436" s="61" t="b">
        <f>IF(OR(ЦТО!AT340=1,ЦТО!AU340=1,ЦТО!AV340=1,ЦТО!AX340=1),"Положительная",IF(OR(ЦТО!AY340=1,ЦТО!AZ340=1,ЦТО!BA340=1),"Отрицательная",IF(OR(ЦТО!AW340=1),"Инфантильная")))</f>
        <v>0</v>
      </c>
    </row>
    <row r="437" spans="1:9">
      <c r="A437" s="62">
        <f>ЦТО!A341</f>
        <v>0</v>
      </c>
      <c r="B437" s="62">
        <f>ЦТО!B341</f>
        <v>0</v>
      </c>
      <c r="C437" s="67">
        <f>ЦТО!C341</f>
        <v>0</v>
      </c>
      <c r="D437" s="63">
        <f>ЦТО!D341</f>
        <v>0</v>
      </c>
      <c r="E437" s="68">
        <f>SUM(ЦТО!BB341:BI341)</f>
        <v>0</v>
      </c>
      <c r="F437" s="64" t="str">
        <f>IF(E437&lt;10,'вспомогательные данные'!$C$26,IF(E437&lt;19,'вспомогательные данные'!$C$25,'вспомогательные данные'!$C$24))</f>
        <v>положительный</v>
      </c>
      <c r="G437" s="65">
        <f>(18-ЦТО!AM341-ЦТО!AL341)/(18-ЦТО!AL341-ЦТО!AP341)</f>
        <v>1</v>
      </c>
      <c r="H437" s="66" t="str">
        <f>IF(G437&lt;0.51,'вспомогательные данные'!$C$19,IF(G437&lt;0.92,'вспомогательные данные'!$C$20, IF(G437&lt;2,'вспомогательные данные'!$C$21,'вспомогательные данные'!$C$22)))</f>
        <v>оптимальная работоспособность</v>
      </c>
      <c r="I437" s="61" t="b">
        <f>IF(OR(ЦТО!AT341=1,ЦТО!AU341=1,ЦТО!AV341=1,ЦТО!AX341=1),"Положительная",IF(OR(ЦТО!AY341=1,ЦТО!AZ341=1,ЦТО!BA341=1),"Отрицательная",IF(OR(ЦТО!AW341=1),"Инфантильная")))</f>
        <v>0</v>
      </c>
    </row>
    <row r="438" spans="1:9">
      <c r="A438" s="62">
        <f>ЦТО!A342</f>
        <v>0</v>
      </c>
      <c r="B438" s="62">
        <f>ЦТО!B342</f>
        <v>0</v>
      </c>
      <c r="C438" s="67">
        <f>ЦТО!C342</f>
        <v>0</v>
      </c>
      <c r="D438" s="63">
        <f>ЦТО!D342</f>
        <v>0</v>
      </c>
      <c r="E438" s="68">
        <f>SUM(ЦТО!BB342:BI342)</f>
        <v>0</v>
      </c>
      <c r="F438" s="64" t="str">
        <f>IF(E438&lt;10,'вспомогательные данные'!$C$26,IF(E438&lt;19,'вспомогательные данные'!$C$25,'вспомогательные данные'!$C$24))</f>
        <v>положительный</v>
      </c>
      <c r="G438" s="65">
        <f>(18-ЦТО!AM342-ЦТО!AL342)/(18-ЦТО!AL342-ЦТО!AP342)</f>
        <v>1</v>
      </c>
      <c r="H438" s="66" t="str">
        <f>IF(G438&lt;0.51,'вспомогательные данные'!$C$19,IF(G438&lt;0.92,'вспомогательные данные'!$C$20, IF(G438&lt;2,'вспомогательные данные'!$C$21,'вспомогательные данные'!$C$22)))</f>
        <v>оптимальная работоспособность</v>
      </c>
      <c r="I438" s="61" t="b">
        <f>IF(OR(ЦТО!AT342=1,ЦТО!AU342=1,ЦТО!AV342=1,ЦТО!AX342=1),"Положительная",IF(OR(ЦТО!AY342=1,ЦТО!AZ342=1,ЦТО!BA342=1),"Отрицательная",IF(OR(ЦТО!AW342=1),"Инфантильная")))</f>
        <v>0</v>
      </c>
    </row>
    <row r="439" spans="1:9">
      <c r="A439" s="62">
        <f>ЦТО!A343</f>
        <v>0</v>
      </c>
      <c r="B439" s="62">
        <f>ЦТО!B343</f>
        <v>0</v>
      </c>
      <c r="C439" s="67">
        <f>ЦТО!C343</f>
        <v>0</v>
      </c>
      <c r="D439" s="63">
        <f>ЦТО!D343</f>
        <v>0</v>
      </c>
      <c r="E439" s="68">
        <f>SUM(ЦТО!BB343:BI343)</f>
        <v>0</v>
      </c>
      <c r="F439" s="64" t="str">
        <f>IF(E439&lt;10,'вспомогательные данные'!$C$26,IF(E439&lt;19,'вспомогательные данные'!$C$25,'вспомогательные данные'!$C$24))</f>
        <v>положительный</v>
      </c>
      <c r="G439" s="65">
        <f>(18-ЦТО!AM343-ЦТО!AL343)/(18-ЦТО!AL343-ЦТО!AP343)</f>
        <v>1</v>
      </c>
      <c r="H439" s="66" t="str">
        <f>IF(G439&lt;0.51,'вспомогательные данные'!$C$19,IF(G439&lt;0.92,'вспомогательные данные'!$C$20, IF(G439&lt;2,'вспомогательные данные'!$C$21,'вспомогательные данные'!$C$22)))</f>
        <v>оптимальная работоспособность</v>
      </c>
      <c r="I439" s="61" t="b">
        <f>IF(OR(ЦТО!AT343=1,ЦТО!AU343=1,ЦТО!AV343=1,ЦТО!AX343=1),"Положительная",IF(OR(ЦТО!AY343=1,ЦТО!AZ343=1,ЦТО!BA343=1),"Отрицательная",IF(OR(ЦТО!AW343=1),"Инфантильная")))</f>
        <v>0</v>
      </c>
    </row>
    <row r="440" spans="1:9">
      <c r="A440" s="62">
        <f>ЦТО!A344</f>
        <v>0</v>
      </c>
      <c r="B440" s="62">
        <f>ЦТО!B344</f>
        <v>0</v>
      </c>
      <c r="C440" s="67">
        <f>ЦТО!C344</f>
        <v>0</v>
      </c>
      <c r="D440" s="63">
        <f>ЦТО!D344</f>
        <v>0</v>
      </c>
      <c r="E440" s="68">
        <f>SUM(ЦТО!BB344:BI344)</f>
        <v>0</v>
      </c>
      <c r="F440" s="64" t="str">
        <f>IF(E440&lt;10,'вспомогательные данные'!$C$26,IF(E440&lt;19,'вспомогательные данные'!$C$25,'вспомогательные данные'!$C$24))</f>
        <v>положительный</v>
      </c>
      <c r="G440" s="65">
        <f>(18-ЦТО!AM344-ЦТО!AL344)/(18-ЦТО!AL344-ЦТО!AP344)</f>
        <v>1</v>
      </c>
      <c r="H440" s="66" t="str">
        <f>IF(G440&lt;0.51,'вспомогательные данные'!$C$19,IF(G440&lt;0.92,'вспомогательные данные'!$C$20, IF(G440&lt;2,'вспомогательные данные'!$C$21,'вспомогательные данные'!$C$22)))</f>
        <v>оптимальная работоспособность</v>
      </c>
      <c r="I440" s="61" t="b">
        <f>IF(OR(ЦТО!AT344=1,ЦТО!AU344=1,ЦТО!AV344=1,ЦТО!AX344=1),"Положительная",IF(OR(ЦТО!AY344=1,ЦТО!AZ344=1,ЦТО!BA344=1),"Отрицательная",IF(OR(ЦТО!AW344=1),"Инфантильная")))</f>
        <v>0</v>
      </c>
    </row>
    <row r="441" spans="1:9">
      <c r="A441" s="62">
        <f>ЦТО!A345</f>
        <v>0</v>
      </c>
      <c r="B441" s="62">
        <f>ЦТО!B345</f>
        <v>0</v>
      </c>
      <c r="C441" s="67">
        <f>ЦТО!C345</f>
        <v>0</v>
      </c>
      <c r="D441" s="63">
        <f>ЦТО!D345</f>
        <v>0</v>
      </c>
      <c r="E441" s="68">
        <f>SUM(ЦТО!BB345:BI345)</f>
        <v>0</v>
      </c>
      <c r="F441" s="64" t="str">
        <f>IF(E441&lt;10,'вспомогательные данные'!$C$26,IF(E441&lt;19,'вспомогательные данные'!$C$25,'вспомогательные данные'!$C$24))</f>
        <v>положительный</v>
      </c>
      <c r="G441" s="65">
        <f>(18-ЦТО!AM345-ЦТО!AL345)/(18-ЦТО!AL345-ЦТО!AP345)</f>
        <v>1</v>
      </c>
      <c r="H441" s="66" t="str">
        <f>IF(G441&lt;0.51,'вспомогательные данные'!$C$19,IF(G441&lt;0.92,'вспомогательные данные'!$C$20, IF(G441&lt;2,'вспомогательные данные'!$C$21,'вспомогательные данные'!$C$22)))</f>
        <v>оптимальная работоспособность</v>
      </c>
      <c r="I441" s="61" t="b">
        <f>IF(OR(ЦТО!AT345=1,ЦТО!AU345=1,ЦТО!AV345=1,ЦТО!AX345=1),"Положительная",IF(OR(ЦТО!AY345=1,ЦТО!AZ345=1,ЦТО!BA345=1),"Отрицательная",IF(OR(ЦТО!AW345=1),"Инфантильная")))</f>
        <v>0</v>
      </c>
    </row>
    <row r="442" spans="1:9">
      <c r="A442" s="62">
        <f>ЦТО!A346</f>
        <v>0</v>
      </c>
      <c r="B442" s="62">
        <f>ЦТО!B346</f>
        <v>0</v>
      </c>
      <c r="C442" s="67">
        <f>ЦТО!C346</f>
        <v>0</v>
      </c>
      <c r="D442" s="63">
        <f>ЦТО!D346</f>
        <v>0</v>
      </c>
      <c r="E442" s="68">
        <f>SUM(ЦТО!BB346:BI346)</f>
        <v>0</v>
      </c>
      <c r="F442" s="64" t="str">
        <f>IF(E442&lt;10,'вспомогательные данные'!$C$26,IF(E442&lt;19,'вспомогательные данные'!$C$25,'вспомогательные данные'!$C$24))</f>
        <v>положительный</v>
      </c>
      <c r="G442" s="65">
        <f>(18-ЦТО!AM346-ЦТО!AL346)/(18-ЦТО!AL346-ЦТО!AP346)</f>
        <v>1</v>
      </c>
      <c r="H442" s="66" t="str">
        <f>IF(G442&lt;0.51,'вспомогательные данные'!$C$19,IF(G442&lt;0.92,'вспомогательные данные'!$C$20, IF(G442&lt;2,'вспомогательные данные'!$C$21,'вспомогательные данные'!$C$22)))</f>
        <v>оптимальная работоспособность</v>
      </c>
      <c r="I442" s="61" t="b">
        <f>IF(OR(ЦТО!AT346=1,ЦТО!AU346=1,ЦТО!AV346=1,ЦТО!AX346=1),"Положительная",IF(OR(ЦТО!AY346=1,ЦТО!AZ346=1,ЦТО!BA346=1),"Отрицательная",IF(OR(ЦТО!AW346=1),"Инфантильная")))</f>
        <v>0</v>
      </c>
    </row>
    <row r="443" spans="1:9">
      <c r="A443" s="62">
        <f>ЦТО!A347</f>
        <v>0</v>
      </c>
      <c r="B443" s="62">
        <f>ЦТО!B347</f>
        <v>0</v>
      </c>
      <c r="C443" s="67">
        <f>ЦТО!C347</f>
        <v>0</v>
      </c>
      <c r="D443" s="63">
        <f>ЦТО!D347</f>
        <v>0</v>
      </c>
      <c r="E443" s="68">
        <f>SUM(ЦТО!BB347:BI347)</f>
        <v>0</v>
      </c>
      <c r="F443" s="64" t="str">
        <f>IF(E443&lt;10,'вспомогательные данные'!$C$26,IF(E443&lt;19,'вспомогательные данные'!$C$25,'вспомогательные данные'!$C$24))</f>
        <v>положительный</v>
      </c>
      <c r="G443" s="65">
        <f>(18-ЦТО!AM347-ЦТО!AL347)/(18-ЦТО!AL347-ЦТО!AP347)</f>
        <v>1</v>
      </c>
      <c r="H443" s="66" t="str">
        <f>IF(G443&lt;0.51,'вспомогательные данные'!$C$19,IF(G443&lt;0.92,'вспомогательные данные'!$C$20, IF(G443&lt;2,'вспомогательные данные'!$C$21,'вспомогательные данные'!$C$22)))</f>
        <v>оптимальная работоспособность</v>
      </c>
      <c r="I443" s="61" t="b">
        <f>IF(OR(ЦТО!AT347=1,ЦТО!AU347=1,ЦТО!AV347=1,ЦТО!AX347=1),"Положительная",IF(OR(ЦТО!AY347=1,ЦТО!AZ347=1,ЦТО!BA347=1),"Отрицательная",IF(OR(ЦТО!AW347=1),"Инфантильная")))</f>
        <v>0</v>
      </c>
    </row>
    <row r="444" spans="1:9">
      <c r="A444" s="62">
        <f>ЦТО!A348</f>
        <v>0</v>
      </c>
      <c r="B444" s="62">
        <f>ЦТО!B348</f>
        <v>0</v>
      </c>
      <c r="C444" s="67">
        <f>ЦТО!C348</f>
        <v>0</v>
      </c>
      <c r="D444" s="63">
        <f>ЦТО!D348</f>
        <v>0</v>
      </c>
      <c r="E444" s="68">
        <f>SUM(ЦТО!BB348:BI348)</f>
        <v>0</v>
      </c>
      <c r="F444" s="64" t="str">
        <f>IF(E444&lt;10,'вспомогательные данные'!$C$26,IF(E444&lt;19,'вспомогательные данные'!$C$25,'вспомогательные данные'!$C$24))</f>
        <v>положительный</v>
      </c>
      <c r="G444" s="65">
        <f>(18-ЦТО!AM348-ЦТО!AL348)/(18-ЦТО!AL348-ЦТО!AP348)</f>
        <v>1</v>
      </c>
      <c r="H444" s="66" t="str">
        <f>IF(G444&lt;0.51,'вспомогательные данные'!$C$19,IF(G444&lt;0.92,'вспомогательные данные'!$C$20, IF(G444&lt;2,'вспомогательные данные'!$C$21,'вспомогательные данные'!$C$22)))</f>
        <v>оптимальная работоспособность</v>
      </c>
      <c r="I444" s="61" t="b">
        <f>IF(OR(ЦТО!AT348=1,ЦТО!AU348=1,ЦТО!AV348=1,ЦТО!AX348=1),"Положительная",IF(OR(ЦТО!AY348=1,ЦТО!AZ348=1,ЦТО!BA348=1),"Отрицательная",IF(OR(ЦТО!AW348=1),"Инфантильная")))</f>
        <v>0</v>
      </c>
    </row>
    <row r="445" spans="1:9">
      <c r="A445" s="62">
        <f>ЦТО!A349</f>
        <v>0</v>
      </c>
      <c r="B445" s="62">
        <f>ЦТО!B349</f>
        <v>0</v>
      </c>
      <c r="C445" s="67">
        <f>ЦТО!C349</f>
        <v>0</v>
      </c>
      <c r="D445" s="63">
        <f>ЦТО!D349</f>
        <v>0</v>
      </c>
      <c r="E445" s="68">
        <f>SUM(ЦТО!BB349:BI349)</f>
        <v>0</v>
      </c>
      <c r="F445" s="64" t="str">
        <f>IF(E445&lt;10,'вспомогательные данные'!$C$26,IF(E445&lt;19,'вспомогательные данные'!$C$25,'вспомогательные данные'!$C$24))</f>
        <v>положительный</v>
      </c>
      <c r="G445" s="65">
        <f>(18-ЦТО!AM349-ЦТО!AL349)/(18-ЦТО!AL349-ЦТО!AP349)</f>
        <v>1</v>
      </c>
      <c r="H445" s="66" t="str">
        <f>IF(G445&lt;0.51,'вспомогательные данные'!$C$19,IF(G445&lt;0.92,'вспомогательные данные'!$C$20, IF(G445&lt;2,'вспомогательные данные'!$C$21,'вспомогательные данные'!$C$22)))</f>
        <v>оптимальная работоспособность</v>
      </c>
      <c r="I445" s="61" t="b">
        <f>IF(OR(ЦТО!AT349=1,ЦТО!AU349=1,ЦТО!AV349=1,ЦТО!AX349=1),"Положительная",IF(OR(ЦТО!AY349=1,ЦТО!AZ349=1,ЦТО!BA349=1),"Отрицательная",IF(OR(ЦТО!AW349=1),"Инфантильная")))</f>
        <v>0</v>
      </c>
    </row>
    <row r="446" spans="1:9">
      <c r="A446" s="62">
        <f>ЦТО!A350</f>
        <v>0</v>
      </c>
      <c r="B446" s="62">
        <f>ЦТО!B350</f>
        <v>0</v>
      </c>
      <c r="C446" s="67">
        <f>ЦТО!C350</f>
        <v>0</v>
      </c>
      <c r="D446" s="63">
        <f>ЦТО!D350</f>
        <v>0</v>
      </c>
      <c r="E446" s="68">
        <f>SUM(ЦТО!BB350:BI350)</f>
        <v>0</v>
      </c>
      <c r="F446" s="64" t="str">
        <f>IF(E446&lt;10,'вспомогательные данные'!$C$26,IF(E446&lt;19,'вспомогательные данные'!$C$25,'вспомогательные данные'!$C$24))</f>
        <v>положительный</v>
      </c>
      <c r="G446" s="65">
        <f>(18-ЦТО!AM350-ЦТО!AL350)/(18-ЦТО!AL350-ЦТО!AP350)</f>
        <v>1</v>
      </c>
      <c r="H446" s="66" t="str">
        <f>IF(G446&lt;0.51,'вспомогательные данные'!$C$19,IF(G446&lt;0.92,'вспомогательные данные'!$C$20, IF(G446&lt;2,'вспомогательные данные'!$C$21,'вспомогательные данные'!$C$22)))</f>
        <v>оптимальная работоспособность</v>
      </c>
      <c r="I446" s="61" t="b">
        <f>IF(OR(ЦТО!AT350=1,ЦТО!AU350=1,ЦТО!AV350=1,ЦТО!AX350=1),"Положительная",IF(OR(ЦТО!AY350=1,ЦТО!AZ350=1,ЦТО!BA350=1),"Отрицательная",IF(OR(ЦТО!AW350=1),"Инфантильная")))</f>
        <v>0</v>
      </c>
    </row>
    <row r="447" spans="1:9">
      <c r="A447" s="62">
        <f>ЦТО!A351</f>
        <v>0</v>
      </c>
      <c r="B447" s="62">
        <f>ЦТО!B351</f>
        <v>0</v>
      </c>
      <c r="C447" s="67">
        <f>ЦТО!C351</f>
        <v>0</v>
      </c>
      <c r="D447" s="63">
        <f>ЦТО!D351</f>
        <v>0</v>
      </c>
      <c r="E447" s="68">
        <f>SUM(ЦТО!BB351:BI351)</f>
        <v>0</v>
      </c>
      <c r="F447" s="64" t="str">
        <f>IF(E447&lt;10,'вспомогательные данные'!$C$26,IF(E447&lt;19,'вспомогательные данные'!$C$25,'вспомогательные данные'!$C$24))</f>
        <v>положительный</v>
      </c>
      <c r="G447" s="65">
        <f>(18-ЦТО!AM351-ЦТО!AL351)/(18-ЦТО!AL351-ЦТО!AP351)</f>
        <v>1</v>
      </c>
      <c r="H447" s="66" t="str">
        <f>IF(G447&lt;0.51,'вспомогательные данные'!$C$19,IF(G447&lt;0.92,'вспомогательные данные'!$C$20, IF(G447&lt;2,'вспомогательные данные'!$C$21,'вспомогательные данные'!$C$22)))</f>
        <v>оптимальная работоспособность</v>
      </c>
      <c r="I447" s="61" t="b">
        <f>IF(OR(ЦТО!AT351=1,ЦТО!AU351=1,ЦТО!AV351=1,ЦТО!AX351=1),"Положительная",IF(OR(ЦТО!AY351=1,ЦТО!AZ351=1,ЦТО!BA351=1),"Отрицательная",IF(OR(ЦТО!AW351=1),"Инфантильная")))</f>
        <v>0</v>
      </c>
    </row>
    <row r="448" spans="1:9">
      <c r="A448" s="62">
        <f>ЦТО!A352</f>
        <v>0</v>
      </c>
      <c r="B448" s="62">
        <f>ЦТО!B352</f>
        <v>0</v>
      </c>
      <c r="C448" s="67">
        <f>ЦТО!C352</f>
        <v>0</v>
      </c>
      <c r="D448" s="63">
        <f>ЦТО!D352</f>
        <v>0</v>
      </c>
      <c r="E448" s="68">
        <f>SUM(ЦТО!BB352:BI352)</f>
        <v>0</v>
      </c>
      <c r="F448" s="64" t="str">
        <f>IF(E448&lt;10,'вспомогательные данные'!$C$26,IF(E448&lt;19,'вспомогательные данные'!$C$25,'вспомогательные данные'!$C$24))</f>
        <v>положительный</v>
      </c>
      <c r="G448" s="65">
        <f>(18-ЦТО!AM352-ЦТО!AL352)/(18-ЦТО!AL352-ЦТО!AP352)</f>
        <v>1</v>
      </c>
      <c r="H448" s="66" t="str">
        <f>IF(G448&lt;0.51,'вспомогательные данные'!$C$19,IF(G448&lt;0.92,'вспомогательные данные'!$C$20, IF(G448&lt;2,'вспомогательные данные'!$C$21,'вспомогательные данные'!$C$22)))</f>
        <v>оптимальная работоспособность</v>
      </c>
      <c r="I448" s="61" t="b">
        <f>IF(OR(ЦТО!AT352=1,ЦТО!AU352=1,ЦТО!AV352=1,ЦТО!AX352=1),"Положительная",IF(OR(ЦТО!AY352=1,ЦТО!AZ352=1,ЦТО!BA352=1),"Отрицательная",IF(OR(ЦТО!AW352=1),"Инфантильная")))</f>
        <v>0</v>
      </c>
    </row>
    <row r="449" spans="1:9">
      <c r="A449" s="62">
        <f>ЦТО!A353</f>
        <v>0</v>
      </c>
      <c r="B449" s="62">
        <f>ЦТО!B353</f>
        <v>0</v>
      </c>
      <c r="C449" s="67">
        <f>ЦТО!C353</f>
        <v>0</v>
      </c>
      <c r="D449" s="63">
        <f>ЦТО!D353</f>
        <v>0</v>
      </c>
      <c r="E449" s="68">
        <f>SUM(ЦТО!BB353:BI353)</f>
        <v>0</v>
      </c>
      <c r="F449" s="64" t="str">
        <f>IF(E449&lt;10,'вспомогательные данные'!$C$26,IF(E449&lt;19,'вспомогательные данные'!$C$25,'вспомогательные данные'!$C$24))</f>
        <v>положительный</v>
      </c>
      <c r="G449" s="65">
        <f>(18-ЦТО!AM353-ЦТО!AL353)/(18-ЦТО!AL353-ЦТО!AP353)</f>
        <v>1</v>
      </c>
      <c r="H449" s="66" t="str">
        <f>IF(G449&lt;0.51,'вспомогательные данные'!$C$19,IF(G449&lt;0.92,'вспомогательные данные'!$C$20, IF(G449&lt;2,'вспомогательные данные'!$C$21,'вспомогательные данные'!$C$22)))</f>
        <v>оптимальная работоспособность</v>
      </c>
      <c r="I449" s="61" t="b">
        <f>IF(OR(ЦТО!AT353=1,ЦТО!AU353=1,ЦТО!AV353=1,ЦТО!AX353=1),"Положительная",IF(OR(ЦТО!AY353=1,ЦТО!AZ353=1,ЦТО!BA353=1),"Отрицательная",IF(OR(ЦТО!AW353=1),"Инфантильная")))</f>
        <v>0</v>
      </c>
    </row>
    <row r="450" spans="1:9">
      <c r="A450" s="62">
        <f>ЦТО!A354</f>
        <v>0</v>
      </c>
      <c r="B450" s="62">
        <f>ЦТО!B354</f>
        <v>0</v>
      </c>
      <c r="C450" s="67">
        <f>ЦТО!C354</f>
        <v>0</v>
      </c>
      <c r="D450" s="63">
        <f>ЦТО!D354</f>
        <v>0</v>
      </c>
      <c r="E450" s="68">
        <f>SUM(ЦТО!BB354:BI354)</f>
        <v>0</v>
      </c>
      <c r="F450" s="64" t="str">
        <f>IF(E450&lt;10,'вспомогательные данные'!$C$26,IF(E450&lt;19,'вспомогательные данные'!$C$25,'вспомогательные данные'!$C$24))</f>
        <v>положительный</v>
      </c>
      <c r="G450" s="65">
        <f>(18-ЦТО!AM354-ЦТО!AL354)/(18-ЦТО!AL354-ЦТО!AP354)</f>
        <v>1</v>
      </c>
      <c r="H450" s="66" t="str">
        <f>IF(G450&lt;0.51,'вспомогательные данные'!$C$19,IF(G450&lt;0.92,'вспомогательные данные'!$C$20, IF(G450&lt;2,'вспомогательные данные'!$C$21,'вспомогательные данные'!$C$22)))</f>
        <v>оптимальная работоспособность</v>
      </c>
      <c r="I450" s="61" t="b">
        <f>IF(OR(ЦТО!AT354=1,ЦТО!AU354=1,ЦТО!AV354=1,ЦТО!AX354=1),"Положительная",IF(OR(ЦТО!AY354=1,ЦТО!AZ354=1,ЦТО!BA354=1),"Отрицательная",IF(OR(ЦТО!AW354=1),"Инфантильная")))</f>
        <v>0</v>
      </c>
    </row>
    <row r="451" spans="1:9">
      <c r="A451" s="62">
        <f>ЦТО!A355</f>
        <v>0</v>
      </c>
      <c r="B451" s="62">
        <f>ЦТО!B355</f>
        <v>0</v>
      </c>
      <c r="C451" s="67">
        <f>ЦТО!C355</f>
        <v>0</v>
      </c>
      <c r="D451" s="63">
        <f>ЦТО!D355</f>
        <v>0</v>
      </c>
      <c r="E451" s="68">
        <f>SUM(ЦТО!BB355:BI355)</f>
        <v>0</v>
      </c>
      <c r="F451" s="64" t="str">
        <f>IF(E451&lt;10,'вспомогательные данные'!$C$26,IF(E451&lt;19,'вспомогательные данные'!$C$25,'вспомогательные данные'!$C$24))</f>
        <v>положительный</v>
      </c>
      <c r="G451" s="65">
        <f>(18-ЦТО!AM355-ЦТО!AL355)/(18-ЦТО!AL355-ЦТО!AP355)</f>
        <v>1</v>
      </c>
      <c r="H451" s="66" t="str">
        <f>IF(G451&lt;0.51,'вспомогательные данные'!$C$19,IF(G451&lt;0.92,'вспомогательные данные'!$C$20, IF(G451&lt;2,'вспомогательные данные'!$C$21,'вспомогательные данные'!$C$22)))</f>
        <v>оптимальная работоспособность</v>
      </c>
      <c r="I451" s="61" t="b">
        <f>IF(OR(ЦТО!AT355=1,ЦТО!AU355=1,ЦТО!AV355=1,ЦТО!AX355=1),"Положительная",IF(OR(ЦТО!AY355=1,ЦТО!AZ355=1,ЦТО!BA355=1),"Отрицательная",IF(OR(ЦТО!AW355=1),"Инфантильная")))</f>
        <v>0</v>
      </c>
    </row>
    <row r="452" spans="1:9">
      <c r="A452" s="62">
        <f>ЦТО!A356</f>
        <v>0</v>
      </c>
      <c r="B452" s="62">
        <f>ЦТО!B356</f>
        <v>0</v>
      </c>
      <c r="C452" s="67">
        <f>ЦТО!C356</f>
        <v>0</v>
      </c>
      <c r="D452" s="63">
        <f>ЦТО!D356</f>
        <v>0</v>
      </c>
      <c r="E452" s="68">
        <f>SUM(ЦТО!BB356:BI356)</f>
        <v>0</v>
      </c>
      <c r="F452" s="64" t="str">
        <f>IF(E452&lt;10,'вспомогательные данные'!$C$26,IF(E452&lt;19,'вспомогательные данные'!$C$25,'вспомогательные данные'!$C$24))</f>
        <v>положительный</v>
      </c>
      <c r="G452" s="65">
        <f>(18-ЦТО!AM356-ЦТО!AL356)/(18-ЦТО!AL356-ЦТО!AP356)</f>
        <v>1</v>
      </c>
      <c r="H452" s="66" t="str">
        <f>IF(G452&lt;0.51,'вспомогательные данные'!$C$19,IF(G452&lt;0.92,'вспомогательные данные'!$C$20, IF(G452&lt;2,'вспомогательные данные'!$C$21,'вспомогательные данные'!$C$22)))</f>
        <v>оптимальная работоспособность</v>
      </c>
      <c r="I452" s="61" t="b">
        <f>IF(OR(ЦТО!AT356=1,ЦТО!AU356=1,ЦТО!AV356=1,ЦТО!AX356=1),"Положительная",IF(OR(ЦТО!AY356=1,ЦТО!AZ356=1,ЦТО!BA356=1),"Отрицательная",IF(OR(ЦТО!AW356=1),"Инфантильная")))</f>
        <v>0</v>
      </c>
    </row>
    <row r="453" spans="1:9">
      <c r="A453" s="62">
        <f>ЦТО!A357</f>
        <v>0</v>
      </c>
      <c r="B453" s="62">
        <f>ЦТО!B357</f>
        <v>0</v>
      </c>
      <c r="C453" s="67">
        <f>ЦТО!C357</f>
        <v>0</v>
      </c>
      <c r="D453" s="63">
        <f>ЦТО!D357</f>
        <v>0</v>
      </c>
      <c r="E453" s="68">
        <f>SUM(ЦТО!BB357:BI357)</f>
        <v>0</v>
      </c>
      <c r="F453" s="64" t="str">
        <f>IF(E453&lt;10,'вспомогательные данные'!$C$26,IF(E453&lt;19,'вспомогательные данные'!$C$25,'вспомогательные данные'!$C$24))</f>
        <v>положительный</v>
      </c>
      <c r="G453" s="65">
        <f>(18-ЦТО!AM357-ЦТО!AL357)/(18-ЦТО!AL357-ЦТО!AP357)</f>
        <v>1</v>
      </c>
      <c r="H453" s="66" t="str">
        <f>IF(G453&lt;0.51,'вспомогательные данные'!$C$19,IF(G453&lt;0.92,'вспомогательные данные'!$C$20, IF(G453&lt;2,'вспомогательные данные'!$C$21,'вспомогательные данные'!$C$22)))</f>
        <v>оптимальная работоспособность</v>
      </c>
      <c r="I453" s="61" t="b">
        <f>IF(OR(ЦТО!AT357=1,ЦТО!AU357=1,ЦТО!AV357=1,ЦТО!AX357=1),"Положительная",IF(OR(ЦТО!AY357=1,ЦТО!AZ357=1,ЦТО!BA357=1),"Отрицательная",IF(OR(ЦТО!AW357=1),"Инфантильная")))</f>
        <v>0</v>
      </c>
    </row>
    <row r="454" spans="1:9">
      <c r="A454" s="62">
        <f>ЦТО!A358</f>
        <v>0</v>
      </c>
      <c r="B454" s="62">
        <f>ЦТО!B358</f>
        <v>0</v>
      </c>
      <c r="C454" s="67">
        <f>ЦТО!C358</f>
        <v>0</v>
      </c>
      <c r="D454" s="63">
        <f>ЦТО!D358</f>
        <v>0</v>
      </c>
      <c r="E454" s="68">
        <f>SUM(ЦТО!BB358:BI358)</f>
        <v>0</v>
      </c>
      <c r="F454" s="64" t="str">
        <f>IF(E454&lt;10,'вспомогательные данные'!$C$26,IF(E454&lt;19,'вспомогательные данные'!$C$25,'вспомогательные данные'!$C$24))</f>
        <v>положительный</v>
      </c>
      <c r="G454" s="65">
        <f>(18-ЦТО!AM358-ЦТО!AL358)/(18-ЦТО!AL358-ЦТО!AP358)</f>
        <v>1</v>
      </c>
      <c r="H454" s="66" t="str">
        <f>IF(G454&lt;0.51,'вспомогательные данные'!$C$19,IF(G454&lt;0.92,'вспомогательные данные'!$C$20, IF(G454&lt;2,'вспомогательные данные'!$C$21,'вспомогательные данные'!$C$22)))</f>
        <v>оптимальная работоспособность</v>
      </c>
      <c r="I454" s="61" t="b">
        <f>IF(OR(ЦТО!AT358=1,ЦТО!AU358=1,ЦТО!AV358=1,ЦТО!AX358=1),"Положительная",IF(OR(ЦТО!AY358=1,ЦТО!AZ358=1,ЦТО!BA358=1),"Отрицательная",IF(OR(ЦТО!AW358=1),"Инфантильная")))</f>
        <v>0</v>
      </c>
    </row>
    <row r="455" spans="1:9">
      <c r="A455" s="62">
        <f>ЦТО!A359</f>
        <v>0</v>
      </c>
      <c r="B455" s="62">
        <f>ЦТО!B359</f>
        <v>0</v>
      </c>
      <c r="C455" s="67">
        <f>ЦТО!C359</f>
        <v>0</v>
      </c>
      <c r="D455" s="63">
        <f>ЦТО!D359</f>
        <v>0</v>
      </c>
      <c r="E455" s="68">
        <f>SUM(ЦТО!BB359:BI359)</f>
        <v>0</v>
      </c>
      <c r="F455" s="64" t="str">
        <f>IF(E455&lt;10,'вспомогательные данные'!$C$26,IF(E455&lt;19,'вспомогательные данные'!$C$25,'вспомогательные данные'!$C$24))</f>
        <v>положительный</v>
      </c>
      <c r="G455" s="65">
        <f>(18-ЦТО!AM359-ЦТО!AL359)/(18-ЦТО!AL359-ЦТО!AP359)</f>
        <v>1</v>
      </c>
      <c r="H455" s="66" t="str">
        <f>IF(G455&lt;0.51,'вспомогательные данные'!$C$19,IF(G455&lt;0.92,'вспомогательные данные'!$C$20, IF(G455&lt;2,'вспомогательные данные'!$C$21,'вспомогательные данные'!$C$22)))</f>
        <v>оптимальная работоспособность</v>
      </c>
      <c r="I455" s="61" t="b">
        <f>IF(OR(ЦТО!AT359=1,ЦТО!AU359=1,ЦТО!AV359=1,ЦТО!AX359=1),"Положительная",IF(OR(ЦТО!AY359=1,ЦТО!AZ359=1,ЦТО!BA359=1),"Отрицательная",IF(OR(ЦТО!AW359=1),"Инфантильная")))</f>
        <v>0</v>
      </c>
    </row>
    <row r="456" spans="1:9">
      <c r="A456" s="62">
        <f>ЦТО!A360</f>
        <v>0</v>
      </c>
      <c r="B456" s="62">
        <f>ЦТО!B360</f>
        <v>0</v>
      </c>
      <c r="C456" s="67">
        <f>ЦТО!C360</f>
        <v>0</v>
      </c>
      <c r="D456" s="63">
        <f>ЦТО!D360</f>
        <v>0</v>
      </c>
      <c r="E456" s="68">
        <f>SUM(ЦТО!BB360:BI360)</f>
        <v>0</v>
      </c>
      <c r="F456" s="64" t="str">
        <f>IF(E456&lt;10,'вспомогательные данные'!$C$26,IF(E456&lt;19,'вспомогательные данные'!$C$25,'вспомогательные данные'!$C$24))</f>
        <v>положительный</v>
      </c>
      <c r="G456" s="65">
        <f>(18-ЦТО!AM360-ЦТО!AL360)/(18-ЦТО!AL360-ЦТО!AP360)</f>
        <v>1</v>
      </c>
      <c r="H456" s="66" t="str">
        <f>IF(G456&lt;0.51,'вспомогательные данные'!$C$19,IF(G456&lt;0.92,'вспомогательные данные'!$C$20, IF(G456&lt;2,'вспомогательные данные'!$C$21,'вспомогательные данные'!$C$22)))</f>
        <v>оптимальная работоспособность</v>
      </c>
      <c r="I456" s="61" t="b">
        <f>IF(OR(ЦТО!AT360=1,ЦТО!AU360=1,ЦТО!AV360=1,ЦТО!AX360=1),"Положительная",IF(OR(ЦТО!AY360=1,ЦТО!AZ360=1,ЦТО!BA360=1),"Отрицательная",IF(OR(ЦТО!AW360=1),"Инфантильная")))</f>
        <v>0</v>
      </c>
    </row>
    <row r="457" spans="1:9">
      <c r="A457" s="62">
        <f>ЦТО!A361</f>
        <v>0</v>
      </c>
      <c r="B457" s="62">
        <f>ЦТО!B361</f>
        <v>0</v>
      </c>
      <c r="C457" s="67">
        <f>ЦТО!C361</f>
        <v>0</v>
      </c>
      <c r="D457" s="63">
        <f>ЦТО!D361</f>
        <v>0</v>
      </c>
      <c r="E457" s="68">
        <f>SUM(ЦТО!BB361:BI361)</f>
        <v>0</v>
      </c>
      <c r="F457" s="64" t="str">
        <f>IF(E457&lt;10,'вспомогательные данные'!$C$26,IF(E457&lt;19,'вспомогательные данные'!$C$25,'вспомогательные данные'!$C$24))</f>
        <v>положительный</v>
      </c>
      <c r="G457" s="65">
        <f>(18-ЦТО!AM361-ЦТО!AL361)/(18-ЦТО!AL361-ЦТО!AP361)</f>
        <v>1</v>
      </c>
      <c r="H457" s="66" t="str">
        <f>IF(G457&lt;0.51,'вспомогательные данные'!$C$19,IF(G457&lt;0.92,'вспомогательные данные'!$C$20, IF(G457&lt;2,'вспомогательные данные'!$C$21,'вспомогательные данные'!$C$22)))</f>
        <v>оптимальная работоспособность</v>
      </c>
      <c r="I457" s="61" t="b">
        <f>IF(OR(ЦТО!AT361=1,ЦТО!AU361=1,ЦТО!AV361=1,ЦТО!AX361=1),"Положительная",IF(OR(ЦТО!AY361=1,ЦТО!AZ361=1,ЦТО!BA361=1),"Отрицательная",IF(OR(ЦТО!AW361=1),"Инфантильная")))</f>
        <v>0</v>
      </c>
    </row>
    <row r="458" spans="1:9">
      <c r="A458" s="62">
        <f>ЦТО!A362</f>
        <v>0</v>
      </c>
      <c r="B458" s="62">
        <f>ЦТО!B362</f>
        <v>0</v>
      </c>
      <c r="C458" s="67">
        <f>ЦТО!C362</f>
        <v>0</v>
      </c>
      <c r="D458" s="63">
        <f>ЦТО!D362</f>
        <v>0</v>
      </c>
      <c r="E458" s="68">
        <f>SUM(ЦТО!BB362:BI362)</f>
        <v>0</v>
      </c>
      <c r="F458" s="64" t="str">
        <f>IF(E458&lt;10,'вспомогательные данные'!$C$26,IF(E458&lt;19,'вспомогательные данные'!$C$25,'вспомогательные данные'!$C$24))</f>
        <v>положительный</v>
      </c>
      <c r="G458" s="65">
        <f>(18-ЦТО!AM362-ЦТО!AL362)/(18-ЦТО!AL362-ЦТО!AP362)</f>
        <v>1</v>
      </c>
      <c r="H458" s="66" t="str">
        <f>IF(G458&lt;0.51,'вспомогательные данные'!$C$19,IF(G458&lt;0.92,'вспомогательные данные'!$C$20, IF(G458&lt;2,'вспомогательные данные'!$C$21,'вспомогательные данные'!$C$22)))</f>
        <v>оптимальная работоспособность</v>
      </c>
      <c r="I458" s="61" t="b">
        <f>IF(OR(ЦТО!AT362=1,ЦТО!AU362=1,ЦТО!AV362=1,ЦТО!AX362=1),"Положительная",IF(OR(ЦТО!AY362=1,ЦТО!AZ362=1,ЦТО!BA362=1),"Отрицательная",IF(OR(ЦТО!AW362=1),"Инфантильная")))</f>
        <v>0</v>
      </c>
    </row>
    <row r="459" spans="1:9">
      <c r="A459" s="62">
        <f>ЦТО!A363</f>
        <v>0</v>
      </c>
      <c r="B459" s="62">
        <f>ЦТО!B363</f>
        <v>0</v>
      </c>
      <c r="C459" s="67">
        <f>ЦТО!C363</f>
        <v>0</v>
      </c>
      <c r="D459" s="63">
        <f>ЦТО!D363</f>
        <v>0</v>
      </c>
      <c r="E459" s="68">
        <f>SUM(ЦТО!BB363:BI363)</f>
        <v>0</v>
      </c>
      <c r="F459" s="64" t="str">
        <f>IF(E459&lt;10,'вспомогательные данные'!$C$26,IF(E459&lt;19,'вспомогательные данные'!$C$25,'вспомогательные данные'!$C$24))</f>
        <v>положительный</v>
      </c>
      <c r="G459" s="65">
        <f>(18-ЦТО!AM363-ЦТО!AL363)/(18-ЦТО!AL363-ЦТО!AP363)</f>
        <v>1</v>
      </c>
      <c r="H459" s="66" t="str">
        <f>IF(G459&lt;0.51,'вспомогательные данные'!$C$19,IF(G459&lt;0.92,'вспомогательные данные'!$C$20, IF(G459&lt;2,'вспомогательные данные'!$C$21,'вспомогательные данные'!$C$22)))</f>
        <v>оптимальная работоспособность</v>
      </c>
      <c r="I459" s="61" t="b">
        <f>IF(OR(ЦТО!AT363=1,ЦТО!AU363=1,ЦТО!AV363=1,ЦТО!AX363=1),"Положительная",IF(OR(ЦТО!AY363=1,ЦТО!AZ363=1,ЦТО!BA363=1),"Отрицательная",IF(OR(ЦТО!AW363=1),"Инфантильная")))</f>
        <v>0</v>
      </c>
    </row>
    <row r="460" spans="1:9">
      <c r="A460" s="62">
        <f>ЦТО!A364</f>
        <v>0</v>
      </c>
      <c r="B460" s="62">
        <f>ЦТО!B364</f>
        <v>0</v>
      </c>
      <c r="C460" s="67">
        <f>ЦТО!C364</f>
        <v>0</v>
      </c>
      <c r="D460" s="63">
        <f>ЦТО!D364</f>
        <v>0</v>
      </c>
      <c r="E460" s="68">
        <f>SUM(ЦТО!BB364:BI364)</f>
        <v>0</v>
      </c>
      <c r="F460" s="64" t="str">
        <f>IF(E460&lt;10,'вспомогательные данные'!$C$26,IF(E460&lt;19,'вспомогательные данные'!$C$25,'вспомогательные данные'!$C$24))</f>
        <v>положительный</v>
      </c>
      <c r="G460" s="65">
        <f>(18-ЦТО!AM364-ЦТО!AL364)/(18-ЦТО!AL364-ЦТО!AP364)</f>
        <v>1</v>
      </c>
      <c r="H460" s="66" t="str">
        <f>IF(G460&lt;0.51,'вспомогательные данные'!$C$19,IF(G460&lt;0.92,'вспомогательные данные'!$C$20, IF(G460&lt;2,'вспомогательные данные'!$C$21,'вспомогательные данные'!$C$22)))</f>
        <v>оптимальная работоспособность</v>
      </c>
      <c r="I460" s="61" t="b">
        <f>IF(OR(ЦТО!AT364=1,ЦТО!AU364=1,ЦТО!AV364=1,ЦТО!AX364=1),"Положительная",IF(OR(ЦТО!AY364=1,ЦТО!AZ364=1,ЦТО!BA364=1),"Отрицательная",IF(OR(ЦТО!AW364=1),"Инфантильная")))</f>
        <v>0</v>
      </c>
    </row>
    <row r="461" spans="1:9">
      <c r="A461" s="62">
        <f>ЦТО!A365</f>
        <v>0</v>
      </c>
      <c r="B461" s="62">
        <f>ЦТО!B365</f>
        <v>0</v>
      </c>
      <c r="C461" s="67">
        <f>ЦТО!C365</f>
        <v>0</v>
      </c>
      <c r="D461" s="63">
        <f>ЦТО!D365</f>
        <v>0</v>
      </c>
      <c r="E461" s="68">
        <f>SUM(ЦТО!BB365:BI365)</f>
        <v>0</v>
      </c>
      <c r="F461" s="64" t="str">
        <f>IF(E461&lt;10,'вспомогательные данные'!$C$26,IF(E461&lt;19,'вспомогательные данные'!$C$25,'вспомогательные данные'!$C$24))</f>
        <v>положительный</v>
      </c>
      <c r="G461" s="65">
        <f>(18-ЦТО!AM365-ЦТО!AL365)/(18-ЦТО!AL365-ЦТО!AP365)</f>
        <v>1</v>
      </c>
      <c r="H461" s="66" t="str">
        <f>IF(G461&lt;0.51,'вспомогательные данные'!$C$19,IF(G461&lt;0.92,'вспомогательные данные'!$C$20, IF(G461&lt;2,'вспомогательные данные'!$C$21,'вспомогательные данные'!$C$22)))</f>
        <v>оптимальная работоспособность</v>
      </c>
      <c r="I461" s="61" t="b">
        <f>IF(OR(ЦТО!AT365=1,ЦТО!AU365=1,ЦТО!AV365=1,ЦТО!AX365=1),"Положительная",IF(OR(ЦТО!AY365=1,ЦТО!AZ365=1,ЦТО!BA365=1),"Отрицательная",IF(OR(ЦТО!AW365=1),"Инфантильная")))</f>
        <v>0</v>
      </c>
    </row>
    <row r="462" spans="1:9">
      <c r="A462" s="62">
        <f>ЦТО!A366</f>
        <v>0</v>
      </c>
      <c r="B462" s="62">
        <f>ЦТО!B366</f>
        <v>0</v>
      </c>
      <c r="C462" s="67">
        <f>ЦТО!C366</f>
        <v>0</v>
      </c>
      <c r="D462" s="63">
        <f>ЦТО!D366</f>
        <v>0</v>
      </c>
      <c r="E462" s="68">
        <f>SUM(ЦТО!BB366:BI366)</f>
        <v>0</v>
      </c>
      <c r="F462" s="64" t="str">
        <f>IF(E462&lt;10,'вспомогательные данные'!$C$26,IF(E462&lt;19,'вспомогательные данные'!$C$25,'вспомогательные данные'!$C$24))</f>
        <v>положительный</v>
      </c>
      <c r="G462" s="65">
        <f>(18-ЦТО!AM366-ЦТО!AL366)/(18-ЦТО!AL366-ЦТО!AP366)</f>
        <v>1</v>
      </c>
      <c r="H462" s="66" t="str">
        <f>IF(G462&lt;0.51,'вспомогательные данные'!$C$19,IF(G462&lt;0.92,'вспомогательные данные'!$C$20, IF(G462&lt;2,'вспомогательные данные'!$C$21,'вспомогательные данные'!$C$22)))</f>
        <v>оптимальная работоспособность</v>
      </c>
      <c r="I462" s="61" t="b">
        <f>IF(OR(ЦТО!AT366=1,ЦТО!AU366=1,ЦТО!AV366=1,ЦТО!AX366=1),"Положительная",IF(OR(ЦТО!AY366=1,ЦТО!AZ366=1,ЦТО!BA366=1),"Отрицательная",IF(OR(ЦТО!AW366=1),"Инфантильная")))</f>
        <v>0</v>
      </c>
    </row>
    <row r="463" spans="1:9">
      <c r="A463" s="62">
        <f>ЦТО!A367</f>
        <v>0</v>
      </c>
      <c r="B463" s="62">
        <f>ЦТО!B367</f>
        <v>0</v>
      </c>
      <c r="C463" s="67">
        <f>ЦТО!C367</f>
        <v>0</v>
      </c>
      <c r="D463" s="63">
        <f>ЦТО!D367</f>
        <v>0</v>
      </c>
      <c r="E463" s="68">
        <f>SUM(ЦТО!BB367:BI367)</f>
        <v>0</v>
      </c>
      <c r="F463" s="64" t="str">
        <f>IF(E463&lt;10,'вспомогательные данные'!$C$26,IF(E463&lt;19,'вспомогательные данные'!$C$25,'вспомогательные данные'!$C$24))</f>
        <v>положительный</v>
      </c>
      <c r="G463" s="65">
        <f>(18-ЦТО!AM367-ЦТО!AL367)/(18-ЦТО!AL367-ЦТО!AP367)</f>
        <v>1</v>
      </c>
      <c r="H463" s="66" t="str">
        <f>IF(G463&lt;0.51,'вспомогательные данные'!$C$19,IF(G463&lt;0.92,'вспомогательные данные'!$C$20, IF(G463&lt;2,'вспомогательные данные'!$C$21,'вспомогательные данные'!$C$22)))</f>
        <v>оптимальная работоспособность</v>
      </c>
      <c r="I463" s="61" t="b">
        <f>IF(OR(ЦТО!AT367=1,ЦТО!AU367=1,ЦТО!AV367=1,ЦТО!AX367=1),"Положительная",IF(OR(ЦТО!AY367=1,ЦТО!AZ367=1,ЦТО!BA367=1),"Отрицательная",IF(OR(ЦТО!AW367=1),"Инфантильная")))</f>
        <v>0</v>
      </c>
    </row>
    <row r="464" spans="1:9">
      <c r="A464" s="62">
        <f>ЦТО!A368</f>
        <v>0</v>
      </c>
      <c r="B464" s="62">
        <f>ЦТО!B368</f>
        <v>0</v>
      </c>
      <c r="C464" s="67">
        <f>ЦТО!C368</f>
        <v>0</v>
      </c>
      <c r="D464" s="63">
        <f>ЦТО!D368</f>
        <v>0</v>
      </c>
      <c r="E464" s="68">
        <f>SUM(ЦТО!BB368:BI368)</f>
        <v>0</v>
      </c>
      <c r="F464" s="64" t="str">
        <f>IF(E464&lt;10,'вспомогательные данные'!$C$26,IF(E464&lt;19,'вспомогательные данные'!$C$25,'вспомогательные данные'!$C$24))</f>
        <v>положительный</v>
      </c>
      <c r="G464" s="65">
        <f>(18-ЦТО!AM368-ЦТО!AL368)/(18-ЦТО!AL368-ЦТО!AP368)</f>
        <v>1</v>
      </c>
      <c r="H464" s="66" t="str">
        <f>IF(G464&lt;0.51,'вспомогательные данные'!$C$19,IF(G464&lt;0.92,'вспомогательные данные'!$C$20, IF(G464&lt;2,'вспомогательные данные'!$C$21,'вспомогательные данные'!$C$22)))</f>
        <v>оптимальная работоспособность</v>
      </c>
      <c r="I464" s="61" t="b">
        <f>IF(OR(ЦТО!AT368=1,ЦТО!AU368=1,ЦТО!AV368=1,ЦТО!AX368=1),"Положительная",IF(OR(ЦТО!AY368=1,ЦТО!AZ368=1,ЦТО!BA368=1),"Отрицательная",IF(OR(ЦТО!AW368=1),"Инфантильная")))</f>
        <v>0</v>
      </c>
    </row>
    <row r="465" spans="1:9">
      <c r="A465" s="62">
        <f>ЦТО!A369</f>
        <v>0</v>
      </c>
      <c r="B465" s="62">
        <f>ЦТО!B369</f>
        <v>0</v>
      </c>
      <c r="C465" s="67">
        <f>ЦТО!C369</f>
        <v>0</v>
      </c>
      <c r="D465" s="63">
        <f>ЦТО!D369</f>
        <v>0</v>
      </c>
      <c r="E465" s="68">
        <f>SUM(ЦТО!BB369:BI369)</f>
        <v>0</v>
      </c>
      <c r="F465" s="64" t="str">
        <f>IF(E465&lt;10,'вспомогательные данные'!$C$26,IF(E465&lt;19,'вспомогательные данные'!$C$25,'вспомогательные данные'!$C$24))</f>
        <v>положительный</v>
      </c>
      <c r="G465" s="65">
        <f>(18-ЦТО!AM369-ЦТО!AL369)/(18-ЦТО!AL369-ЦТО!AP369)</f>
        <v>1</v>
      </c>
      <c r="H465" s="66" t="str">
        <f>IF(G465&lt;0.51,'вспомогательные данные'!$C$19,IF(G465&lt;0.92,'вспомогательные данные'!$C$20, IF(G465&lt;2,'вспомогательные данные'!$C$21,'вспомогательные данные'!$C$22)))</f>
        <v>оптимальная работоспособность</v>
      </c>
      <c r="I465" s="61" t="b">
        <f>IF(OR(ЦТО!AT369=1,ЦТО!AU369=1,ЦТО!AV369=1,ЦТО!AX369=1),"Положительная",IF(OR(ЦТО!AY369=1,ЦТО!AZ369=1,ЦТО!BA369=1),"Отрицательная",IF(OR(ЦТО!AW369=1),"Инфантильная")))</f>
        <v>0</v>
      </c>
    </row>
    <row r="466" spans="1:9">
      <c r="A466" s="62">
        <f>ЦТО!A370</f>
        <v>0</v>
      </c>
      <c r="B466" s="62">
        <f>ЦТО!B370</f>
        <v>0</v>
      </c>
      <c r="C466" s="67">
        <f>ЦТО!C370</f>
        <v>0</v>
      </c>
      <c r="D466" s="63">
        <f>ЦТО!D370</f>
        <v>0</v>
      </c>
      <c r="E466" s="68">
        <f>SUM(ЦТО!BB370:BI370)</f>
        <v>0</v>
      </c>
      <c r="F466" s="64" t="str">
        <f>IF(E466&lt;10,'вспомогательные данные'!$C$26,IF(E466&lt;19,'вспомогательные данные'!$C$25,'вспомогательные данные'!$C$24))</f>
        <v>положительный</v>
      </c>
      <c r="G466" s="65">
        <f>(18-ЦТО!AM370-ЦТО!AL370)/(18-ЦТО!AL370-ЦТО!AP370)</f>
        <v>1</v>
      </c>
      <c r="H466" s="66" t="str">
        <f>IF(G466&lt;0.51,'вспомогательные данные'!$C$19,IF(G466&lt;0.92,'вспомогательные данные'!$C$20, IF(G466&lt;2,'вспомогательные данные'!$C$21,'вспомогательные данные'!$C$22)))</f>
        <v>оптимальная работоспособность</v>
      </c>
      <c r="I466" s="61" t="b">
        <f>IF(OR(ЦТО!AT370=1,ЦТО!AU370=1,ЦТО!AV370=1,ЦТО!AX370=1),"Положительная",IF(OR(ЦТО!AY370=1,ЦТО!AZ370=1,ЦТО!BA370=1),"Отрицательная",IF(OR(ЦТО!AW370=1),"Инфантильная")))</f>
        <v>0</v>
      </c>
    </row>
    <row r="467" spans="1:9">
      <c r="A467" s="62">
        <f>ЦТО!A371</f>
        <v>0</v>
      </c>
      <c r="B467" s="62">
        <f>ЦТО!B371</f>
        <v>0</v>
      </c>
      <c r="C467" s="67">
        <f>ЦТО!C371</f>
        <v>0</v>
      </c>
      <c r="D467" s="63">
        <f>ЦТО!D371</f>
        <v>0</v>
      </c>
      <c r="E467" s="68">
        <f>SUM(ЦТО!BB371:BI371)</f>
        <v>0</v>
      </c>
      <c r="F467" s="64" t="str">
        <f>IF(E467&lt;10,'вспомогательные данные'!$C$26,IF(E467&lt;19,'вспомогательные данные'!$C$25,'вспомогательные данные'!$C$24))</f>
        <v>положительный</v>
      </c>
      <c r="G467" s="65">
        <f>(18-ЦТО!AM371-ЦТО!AL371)/(18-ЦТО!AL371-ЦТО!AP371)</f>
        <v>1</v>
      </c>
      <c r="H467" s="66" t="str">
        <f>IF(G467&lt;0.51,'вспомогательные данные'!$C$19,IF(G467&lt;0.92,'вспомогательные данные'!$C$20, IF(G467&lt;2,'вспомогательные данные'!$C$21,'вспомогательные данные'!$C$22)))</f>
        <v>оптимальная работоспособность</v>
      </c>
      <c r="I467" s="61" t="b">
        <f>IF(OR(ЦТО!AT371=1,ЦТО!AU371=1,ЦТО!AV371=1,ЦТО!AX371=1),"Положительная",IF(OR(ЦТО!AY371=1,ЦТО!AZ371=1,ЦТО!BA371=1),"Отрицательная",IF(OR(ЦТО!AW371=1),"Инфантильная")))</f>
        <v>0</v>
      </c>
    </row>
    <row r="468" spans="1:9">
      <c r="A468" s="62">
        <f>ЦТО!A372</f>
        <v>0</v>
      </c>
      <c r="B468" s="62">
        <f>ЦТО!B372</f>
        <v>0</v>
      </c>
      <c r="C468" s="67">
        <f>ЦТО!C372</f>
        <v>0</v>
      </c>
      <c r="D468" s="63">
        <f>ЦТО!D372</f>
        <v>0</v>
      </c>
      <c r="E468" s="68">
        <f>SUM(ЦТО!BB372:BI372)</f>
        <v>0</v>
      </c>
      <c r="F468" s="64" t="str">
        <f>IF(E468&lt;10,'вспомогательные данные'!$C$26,IF(E468&lt;19,'вспомогательные данные'!$C$25,'вспомогательные данные'!$C$24))</f>
        <v>положительный</v>
      </c>
      <c r="G468" s="65">
        <f>(18-ЦТО!AM372-ЦТО!AL372)/(18-ЦТО!AL372-ЦТО!AP372)</f>
        <v>1</v>
      </c>
      <c r="H468" s="66" t="str">
        <f>IF(G468&lt;0.51,'вспомогательные данные'!$C$19,IF(G468&lt;0.92,'вспомогательные данные'!$C$20, IF(G468&lt;2,'вспомогательные данные'!$C$21,'вспомогательные данные'!$C$22)))</f>
        <v>оптимальная работоспособность</v>
      </c>
      <c r="I468" s="61" t="b">
        <f>IF(OR(ЦТО!AT372=1,ЦТО!AU372=1,ЦТО!AV372=1,ЦТО!AX372=1),"Положительная",IF(OR(ЦТО!AY372=1,ЦТО!AZ372=1,ЦТО!BA372=1),"Отрицательная",IF(OR(ЦТО!AW372=1),"Инфантильная")))</f>
        <v>0</v>
      </c>
    </row>
    <row r="469" spans="1:9">
      <c r="A469" s="62">
        <f>ЦТО!A373</f>
        <v>0</v>
      </c>
      <c r="B469" s="62">
        <f>ЦТО!B373</f>
        <v>0</v>
      </c>
      <c r="C469" s="67">
        <f>ЦТО!C373</f>
        <v>0</v>
      </c>
      <c r="D469" s="63">
        <f>ЦТО!D373</f>
        <v>0</v>
      </c>
      <c r="E469" s="68">
        <f>SUM(ЦТО!BB373:BI373)</f>
        <v>0</v>
      </c>
      <c r="F469" s="64" t="str">
        <f>IF(E469&lt;10,'вспомогательные данные'!$C$26,IF(E469&lt;19,'вспомогательные данные'!$C$25,'вспомогательные данные'!$C$24))</f>
        <v>положительный</v>
      </c>
      <c r="G469" s="65">
        <f>(18-ЦТО!AM373-ЦТО!AL373)/(18-ЦТО!AL373-ЦТО!AP373)</f>
        <v>1</v>
      </c>
      <c r="H469" s="66" t="str">
        <f>IF(G469&lt;0.51,'вспомогательные данные'!$C$19,IF(G469&lt;0.92,'вспомогательные данные'!$C$20, IF(G469&lt;2,'вспомогательные данные'!$C$21,'вспомогательные данные'!$C$22)))</f>
        <v>оптимальная работоспособность</v>
      </c>
      <c r="I469" s="61" t="b">
        <f>IF(OR(ЦТО!AT373=1,ЦТО!AU373=1,ЦТО!AV373=1,ЦТО!AX373=1),"Положительная",IF(OR(ЦТО!AY373=1,ЦТО!AZ373=1,ЦТО!BA373=1),"Отрицательная",IF(OR(ЦТО!AW373=1),"Инфантильная")))</f>
        <v>0</v>
      </c>
    </row>
    <row r="470" spans="1:9">
      <c r="A470" s="62">
        <f>ЦТО!A374</f>
        <v>0</v>
      </c>
      <c r="B470" s="62">
        <f>ЦТО!B374</f>
        <v>0</v>
      </c>
      <c r="C470" s="67">
        <f>ЦТО!C374</f>
        <v>0</v>
      </c>
      <c r="D470" s="63">
        <f>ЦТО!D374</f>
        <v>0</v>
      </c>
      <c r="E470" s="68">
        <f>SUM(ЦТО!BB374:BI374)</f>
        <v>0</v>
      </c>
      <c r="F470" s="64" t="str">
        <f>IF(E470&lt;10,'вспомогательные данные'!$C$26,IF(E470&lt;19,'вспомогательные данные'!$C$25,'вспомогательные данные'!$C$24))</f>
        <v>положительный</v>
      </c>
      <c r="G470" s="65">
        <f>(18-ЦТО!AM374-ЦТО!AL374)/(18-ЦТО!AL374-ЦТО!AP374)</f>
        <v>1</v>
      </c>
      <c r="H470" s="66" t="str">
        <f>IF(G470&lt;0.51,'вспомогательные данные'!$C$19,IF(G470&lt;0.92,'вспомогательные данные'!$C$20, IF(G470&lt;2,'вспомогательные данные'!$C$21,'вспомогательные данные'!$C$22)))</f>
        <v>оптимальная работоспособность</v>
      </c>
      <c r="I470" s="61" t="b">
        <f>IF(OR(ЦТО!AT374=1,ЦТО!AU374=1,ЦТО!AV374=1,ЦТО!AX374=1),"Положительная",IF(OR(ЦТО!AY374=1,ЦТО!AZ374=1,ЦТО!BA374=1),"Отрицательная",IF(OR(ЦТО!AW374=1),"Инфантильная")))</f>
        <v>0</v>
      </c>
    </row>
    <row r="471" spans="1:9">
      <c r="A471" s="62">
        <f>ЦТО!A375</f>
        <v>0</v>
      </c>
      <c r="B471" s="62">
        <f>ЦТО!B375</f>
        <v>0</v>
      </c>
      <c r="C471" s="67">
        <f>ЦТО!C375</f>
        <v>0</v>
      </c>
      <c r="D471" s="63">
        <f>ЦТО!D375</f>
        <v>0</v>
      </c>
      <c r="E471" s="68">
        <f>SUM(ЦТО!BB375:BI375)</f>
        <v>0</v>
      </c>
      <c r="F471" s="64" t="str">
        <f>IF(E471&lt;10,'вспомогательные данные'!$C$26,IF(E471&lt;19,'вспомогательные данные'!$C$25,'вспомогательные данные'!$C$24))</f>
        <v>положительный</v>
      </c>
      <c r="G471" s="65">
        <f>(18-ЦТО!AM375-ЦТО!AL375)/(18-ЦТО!AL375-ЦТО!AP375)</f>
        <v>1</v>
      </c>
      <c r="H471" s="66" t="str">
        <f>IF(G471&lt;0.51,'вспомогательные данные'!$C$19,IF(G471&lt;0.92,'вспомогательные данные'!$C$20, IF(G471&lt;2,'вспомогательные данные'!$C$21,'вспомогательные данные'!$C$22)))</f>
        <v>оптимальная работоспособность</v>
      </c>
      <c r="I471" s="61" t="b">
        <f>IF(OR(ЦТО!AT375=1,ЦТО!AU375=1,ЦТО!AV375=1,ЦТО!AX375=1),"Положительная",IF(OR(ЦТО!AY375=1,ЦТО!AZ375=1,ЦТО!BA375=1),"Отрицательная",IF(OR(ЦТО!AW375=1),"Инфантильная")))</f>
        <v>0</v>
      </c>
    </row>
    <row r="472" spans="1:9">
      <c r="A472" s="62">
        <f>ЦТО!A376</f>
        <v>0</v>
      </c>
      <c r="B472" s="62">
        <f>ЦТО!B376</f>
        <v>0</v>
      </c>
      <c r="C472" s="67">
        <f>ЦТО!C376</f>
        <v>0</v>
      </c>
      <c r="D472" s="63">
        <f>ЦТО!D376</f>
        <v>0</v>
      </c>
      <c r="E472" s="68">
        <f>SUM(ЦТО!BB376:BI376)</f>
        <v>0</v>
      </c>
      <c r="F472" s="64" t="str">
        <f>IF(E472&lt;10,'вспомогательные данные'!$C$26,IF(E472&lt;19,'вспомогательные данные'!$C$25,'вспомогательные данные'!$C$24))</f>
        <v>положительный</v>
      </c>
      <c r="G472" s="65">
        <f>(18-ЦТО!AM376-ЦТО!AL376)/(18-ЦТО!AL376-ЦТО!AP376)</f>
        <v>1</v>
      </c>
      <c r="H472" s="66" t="str">
        <f>IF(G472&lt;0.51,'вспомогательные данные'!$C$19,IF(G472&lt;0.92,'вспомогательные данные'!$C$20, IF(G472&lt;2,'вспомогательные данные'!$C$21,'вспомогательные данные'!$C$22)))</f>
        <v>оптимальная работоспособность</v>
      </c>
      <c r="I472" s="61" t="b">
        <f>IF(OR(ЦТО!AT376=1,ЦТО!AU376=1,ЦТО!AV376=1,ЦТО!AX376=1),"Положительная",IF(OR(ЦТО!AY376=1,ЦТО!AZ376=1,ЦТО!BA376=1),"Отрицательная",IF(OR(ЦТО!AW376=1),"Инфантильная")))</f>
        <v>0</v>
      </c>
    </row>
    <row r="473" spans="1:9">
      <c r="A473" s="62">
        <f>ЦТО!A377</f>
        <v>0</v>
      </c>
      <c r="B473" s="62">
        <f>ЦТО!B377</f>
        <v>0</v>
      </c>
      <c r="C473" s="67">
        <f>ЦТО!C377</f>
        <v>0</v>
      </c>
      <c r="D473" s="63">
        <f>ЦТО!D377</f>
        <v>0</v>
      </c>
      <c r="E473" s="68">
        <f>SUM(ЦТО!BB377:BI377)</f>
        <v>0</v>
      </c>
      <c r="F473" s="64" t="str">
        <f>IF(E473&lt;10,'вспомогательные данные'!$C$26,IF(E473&lt;19,'вспомогательные данные'!$C$25,'вспомогательные данные'!$C$24))</f>
        <v>положительный</v>
      </c>
      <c r="G473" s="65">
        <f>(18-ЦТО!AM377-ЦТО!AL377)/(18-ЦТО!AL377-ЦТО!AP377)</f>
        <v>1</v>
      </c>
      <c r="H473" s="66" t="str">
        <f>IF(G473&lt;0.51,'вспомогательные данные'!$C$19,IF(G473&lt;0.92,'вспомогательные данные'!$C$20, IF(G473&lt;2,'вспомогательные данные'!$C$21,'вспомогательные данные'!$C$22)))</f>
        <v>оптимальная работоспособность</v>
      </c>
      <c r="I473" s="61" t="b">
        <f>IF(OR(ЦТО!AT377=1,ЦТО!AU377=1,ЦТО!AV377=1,ЦТО!AX377=1),"Положительная",IF(OR(ЦТО!AY377=1,ЦТО!AZ377=1,ЦТО!BA377=1),"Отрицательная",IF(OR(ЦТО!AW377=1),"Инфантильная")))</f>
        <v>0</v>
      </c>
    </row>
    <row r="474" spans="1:9">
      <c r="A474" s="62">
        <f>ЦТО!A378</f>
        <v>0</v>
      </c>
      <c r="B474" s="62">
        <f>ЦТО!B378</f>
        <v>0</v>
      </c>
      <c r="C474" s="67">
        <f>ЦТО!C378</f>
        <v>0</v>
      </c>
      <c r="D474" s="63">
        <f>ЦТО!D378</f>
        <v>0</v>
      </c>
      <c r="E474" s="68">
        <f>SUM(ЦТО!BB378:BI378)</f>
        <v>0</v>
      </c>
      <c r="F474" s="64" t="str">
        <f>IF(E474&lt;10,'вспомогательные данные'!$C$26,IF(E474&lt;19,'вспомогательные данные'!$C$25,'вспомогательные данные'!$C$24))</f>
        <v>положительный</v>
      </c>
      <c r="G474" s="65">
        <f>(18-ЦТО!AM378-ЦТО!AL378)/(18-ЦТО!AL378-ЦТО!AP378)</f>
        <v>1</v>
      </c>
      <c r="H474" s="66" t="str">
        <f>IF(G474&lt;0.51,'вспомогательные данные'!$C$19,IF(G474&lt;0.92,'вспомогательные данные'!$C$20, IF(G474&lt;2,'вспомогательные данные'!$C$21,'вспомогательные данные'!$C$22)))</f>
        <v>оптимальная работоспособность</v>
      </c>
      <c r="I474" s="61" t="b">
        <f>IF(OR(ЦТО!AT378=1,ЦТО!AU378=1,ЦТО!AV378=1,ЦТО!AX378=1),"Положительная",IF(OR(ЦТО!AY378=1,ЦТО!AZ378=1,ЦТО!BA378=1),"Отрицательная",IF(OR(ЦТО!AW378=1),"Инфантильная")))</f>
        <v>0</v>
      </c>
    </row>
    <row r="475" spans="1:9">
      <c r="A475" s="62">
        <f>ЦТО!A379</f>
        <v>0</v>
      </c>
      <c r="B475" s="62">
        <f>ЦТО!B379</f>
        <v>0</v>
      </c>
      <c r="C475" s="67">
        <f>ЦТО!C379</f>
        <v>0</v>
      </c>
      <c r="D475" s="63">
        <f>ЦТО!D379</f>
        <v>0</v>
      </c>
      <c r="E475" s="68">
        <f>SUM(ЦТО!BB379:BI379)</f>
        <v>0</v>
      </c>
      <c r="F475" s="64" t="str">
        <f>IF(E475&lt;10,'вспомогательные данные'!$C$26,IF(E475&lt;19,'вспомогательные данные'!$C$25,'вспомогательные данные'!$C$24))</f>
        <v>положительный</v>
      </c>
      <c r="G475" s="65">
        <f>(18-ЦТО!AM379-ЦТО!AL379)/(18-ЦТО!AL379-ЦТО!AP379)</f>
        <v>1</v>
      </c>
      <c r="H475" s="66" t="str">
        <f>IF(G475&lt;0.51,'вспомогательные данные'!$C$19,IF(G475&lt;0.92,'вспомогательные данные'!$C$20, IF(G475&lt;2,'вспомогательные данные'!$C$21,'вспомогательные данные'!$C$22)))</f>
        <v>оптимальная работоспособность</v>
      </c>
      <c r="I475" s="61" t="b">
        <f>IF(OR(ЦТО!AT379=1,ЦТО!AU379=1,ЦТО!AV379=1,ЦТО!AX379=1),"Положительная",IF(OR(ЦТО!AY379=1,ЦТО!AZ379=1,ЦТО!BA379=1),"Отрицательная",IF(OR(ЦТО!AW379=1),"Инфантильная")))</f>
        <v>0</v>
      </c>
    </row>
    <row r="476" spans="1:9">
      <c r="A476" s="62">
        <f>ЦТО!A380</f>
        <v>0</v>
      </c>
      <c r="B476" s="62">
        <f>ЦТО!B380</f>
        <v>0</v>
      </c>
      <c r="C476" s="67">
        <f>ЦТО!C380</f>
        <v>0</v>
      </c>
      <c r="D476" s="63">
        <f>ЦТО!D380</f>
        <v>0</v>
      </c>
      <c r="E476" s="68">
        <f>SUM(ЦТО!BB380:BI380)</f>
        <v>0</v>
      </c>
      <c r="F476" s="64" t="str">
        <f>IF(E476&lt;10,'вспомогательные данные'!$C$26,IF(E476&lt;19,'вспомогательные данные'!$C$25,'вспомогательные данные'!$C$24))</f>
        <v>положительный</v>
      </c>
      <c r="G476" s="65">
        <f>(18-ЦТО!AM380-ЦТО!AL380)/(18-ЦТО!AL380-ЦТО!AP380)</f>
        <v>1</v>
      </c>
      <c r="H476" s="66" t="str">
        <f>IF(G476&lt;0.51,'вспомогательные данные'!$C$19,IF(G476&lt;0.92,'вспомогательные данные'!$C$20, IF(G476&lt;2,'вспомогательные данные'!$C$21,'вспомогательные данные'!$C$22)))</f>
        <v>оптимальная работоспособность</v>
      </c>
      <c r="I476" s="61" t="b">
        <f>IF(OR(ЦТО!AT380=1,ЦТО!AU380=1,ЦТО!AV380=1,ЦТО!AX380=1),"Положительная",IF(OR(ЦТО!AY380=1,ЦТО!AZ380=1,ЦТО!BA380=1),"Отрицательная",IF(OR(ЦТО!AW380=1),"Инфантильная")))</f>
        <v>0</v>
      </c>
    </row>
    <row r="477" spans="1:9">
      <c r="A477" s="62">
        <f>ЦТО!A381</f>
        <v>0</v>
      </c>
      <c r="B477" s="62">
        <f>ЦТО!B381</f>
        <v>0</v>
      </c>
      <c r="C477" s="67">
        <f>ЦТО!C381</f>
        <v>0</v>
      </c>
      <c r="D477" s="63">
        <f>ЦТО!D381</f>
        <v>0</v>
      </c>
      <c r="E477" s="68">
        <f>SUM(ЦТО!BB381:BI381)</f>
        <v>0</v>
      </c>
      <c r="F477" s="64" t="str">
        <f>IF(E477&lt;10,'вспомогательные данные'!$C$26,IF(E477&lt;19,'вспомогательные данные'!$C$25,'вспомогательные данные'!$C$24))</f>
        <v>положительный</v>
      </c>
      <c r="G477" s="65">
        <f>(18-ЦТО!AM381-ЦТО!AL381)/(18-ЦТО!AL381-ЦТО!AP381)</f>
        <v>1</v>
      </c>
      <c r="H477" s="66" t="str">
        <f>IF(G477&lt;0.51,'вспомогательные данные'!$C$19,IF(G477&lt;0.92,'вспомогательные данные'!$C$20, IF(G477&lt;2,'вспомогательные данные'!$C$21,'вспомогательные данные'!$C$22)))</f>
        <v>оптимальная работоспособность</v>
      </c>
      <c r="I477" s="61" t="b">
        <f>IF(OR(ЦТО!AT381=1,ЦТО!AU381=1,ЦТО!AV381=1,ЦТО!AX381=1),"Положительная",IF(OR(ЦТО!AY381=1,ЦТО!AZ381=1,ЦТО!BA381=1),"Отрицательная",IF(OR(ЦТО!AW381=1),"Инфантильная")))</f>
        <v>0</v>
      </c>
    </row>
    <row r="478" spans="1:9">
      <c r="A478" s="62">
        <f>ЦТО!A382</f>
        <v>0</v>
      </c>
      <c r="B478" s="62">
        <f>ЦТО!B382</f>
        <v>0</v>
      </c>
      <c r="C478" s="67">
        <f>ЦТО!C382</f>
        <v>0</v>
      </c>
      <c r="D478" s="63">
        <f>ЦТО!D382</f>
        <v>0</v>
      </c>
      <c r="E478" s="68">
        <f>SUM(ЦТО!BB382:BI382)</f>
        <v>0</v>
      </c>
      <c r="F478" s="64" t="str">
        <f>IF(E478&lt;10,'вспомогательные данные'!$C$26,IF(E478&lt;19,'вспомогательные данные'!$C$25,'вспомогательные данные'!$C$24))</f>
        <v>положительный</v>
      </c>
      <c r="G478" s="65">
        <f>(18-ЦТО!AM382-ЦТО!AL382)/(18-ЦТО!AL382-ЦТО!AP382)</f>
        <v>1</v>
      </c>
      <c r="H478" s="66" t="str">
        <f>IF(G478&lt;0.51,'вспомогательные данные'!$C$19,IF(G478&lt;0.92,'вспомогательные данные'!$C$20, IF(G478&lt;2,'вспомогательные данные'!$C$21,'вспомогательные данные'!$C$22)))</f>
        <v>оптимальная работоспособность</v>
      </c>
      <c r="I478" s="61" t="b">
        <f>IF(OR(ЦТО!AT382=1,ЦТО!AU382=1,ЦТО!AV382=1,ЦТО!AX382=1),"Положительная",IF(OR(ЦТО!AY382=1,ЦТО!AZ382=1,ЦТО!BA382=1),"Отрицательная",IF(OR(ЦТО!AW382=1),"Инфантильная")))</f>
        <v>0</v>
      </c>
    </row>
    <row r="479" spans="1:9">
      <c r="A479" s="62">
        <f>ЦТО!A383</f>
        <v>0</v>
      </c>
      <c r="B479" s="62">
        <f>ЦТО!B383</f>
        <v>0</v>
      </c>
      <c r="C479" s="67">
        <f>ЦТО!C383</f>
        <v>0</v>
      </c>
      <c r="D479" s="63">
        <f>ЦТО!D383</f>
        <v>0</v>
      </c>
      <c r="E479" s="68">
        <f>SUM(ЦТО!BB383:BI383)</f>
        <v>0</v>
      </c>
      <c r="F479" s="64" t="str">
        <f>IF(E479&lt;10,'вспомогательные данные'!$C$26,IF(E479&lt;19,'вспомогательные данные'!$C$25,'вспомогательные данные'!$C$24))</f>
        <v>положительный</v>
      </c>
      <c r="G479" s="65">
        <f>(18-ЦТО!AM383-ЦТО!AL383)/(18-ЦТО!AL383-ЦТО!AP383)</f>
        <v>1</v>
      </c>
      <c r="H479" s="66" t="str">
        <f>IF(G479&lt;0.51,'вспомогательные данные'!$C$19,IF(G479&lt;0.92,'вспомогательные данные'!$C$20, IF(G479&lt;2,'вспомогательные данные'!$C$21,'вспомогательные данные'!$C$22)))</f>
        <v>оптимальная работоспособность</v>
      </c>
      <c r="I479" s="61" t="b">
        <f>IF(OR(ЦТО!AT383=1,ЦТО!AU383=1,ЦТО!AV383=1,ЦТО!AX383=1),"Положительная",IF(OR(ЦТО!AY383=1,ЦТО!AZ383=1,ЦТО!BA383=1),"Отрицательная",IF(OR(ЦТО!AW383=1),"Инфантильная")))</f>
        <v>0</v>
      </c>
    </row>
    <row r="480" spans="1:9">
      <c r="A480" s="62">
        <f>ЦТО!A384</f>
        <v>0</v>
      </c>
      <c r="B480" s="62">
        <f>ЦТО!B384</f>
        <v>0</v>
      </c>
      <c r="C480" s="67">
        <f>ЦТО!C384</f>
        <v>0</v>
      </c>
      <c r="D480" s="63">
        <f>ЦТО!D384</f>
        <v>0</v>
      </c>
      <c r="E480" s="68">
        <f>SUM(ЦТО!BB384:BI384)</f>
        <v>0</v>
      </c>
      <c r="F480" s="64" t="str">
        <f>IF(E480&lt;10,'вспомогательные данные'!$C$26,IF(E480&lt;19,'вспомогательные данные'!$C$25,'вспомогательные данные'!$C$24))</f>
        <v>положительный</v>
      </c>
      <c r="G480" s="65">
        <f>(18-ЦТО!AM384-ЦТО!AL384)/(18-ЦТО!AL384-ЦТО!AP384)</f>
        <v>1</v>
      </c>
      <c r="H480" s="66" t="str">
        <f>IF(G480&lt;0.51,'вспомогательные данные'!$C$19,IF(G480&lt;0.92,'вспомогательные данные'!$C$20, IF(G480&lt;2,'вспомогательные данные'!$C$21,'вспомогательные данные'!$C$22)))</f>
        <v>оптимальная работоспособность</v>
      </c>
      <c r="I480" s="61" t="b">
        <f>IF(OR(ЦТО!AT384=1,ЦТО!AU384=1,ЦТО!AV384=1,ЦТО!AX384=1),"Положительная",IF(OR(ЦТО!AY384=1,ЦТО!AZ384=1,ЦТО!BA384=1),"Отрицательная",IF(OR(ЦТО!AW384=1),"Инфантильная")))</f>
        <v>0</v>
      </c>
    </row>
    <row r="481" spans="1:9">
      <c r="A481" s="62">
        <f>ЦТО!A385</f>
        <v>0</v>
      </c>
      <c r="B481" s="62">
        <f>ЦТО!B385</f>
        <v>0</v>
      </c>
      <c r="C481" s="67">
        <f>ЦТО!C385</f>
        <v>0</v>
      </c>
      <c r="D481" s="63">
        <f>ЦТО!D385</f>
        <v>0</v>
      </c>
      <c r="E481" s="68">
        <f>SUM(ЦТО!BB385:BI385)</f>
        <v>0</v>
      </c>
      <c r="F481" s="64" t="str">
        <f>IF(E481&lt;10,'вспомогательные данные'!$C$26,IF(E481&lt;19,'вспомогательные данные'!$C$25,'вспомогательные данные'!$C$24))</f>
        <v>положительный</v>
      </c>
      <c r="G481" s="65">
        <f>(18-ЦТО!AM385-ЦТО!AL385)/(18-ЦТО!AL385-ЦТО!AP385)</f>
        <v>1</v>
      </c>
      <c r="H481" s="66" t="str">
        <f>IF(G481&lt;0.51,'вспомогательные данные'!$C$19,IF(G481&lt;0.92,'вспомогательные данные'!$C$20, IF(G481&lt;2,'вспомогательные данные'!$C$21,'вспомогательные данные'!$C$22)))</f>
        <v>оптимальная работоспособность</v>
      </c>
      <c r="I481" s="61" t="b">
        <f>IF(OR(ЦТО!AT385=1,ЦТО!AU385=1,ЦТО!AV385=1,ЦТО!AX385=1),"Положительная",IF(OR(ЦТО!AY385=1,ЦТО!AZ385=1,ЦТО!BA385=1),"Отрицательная",IF(OR(ЦТО!AW385=1),"Инфантильная")))</f>
        <v>0</v>
      </c>
    </row>
    <row r="482" spans="1:9">
      <c r="A482" s="62">
        <f>ЦТО!A386</f>
        <v>0</v>
      </c>
      <c r="B482" s="62">
        <f>ЦТО!B386</f>
        <v>0</v>
      </c>
      <c r="C482" s="67">
        <f>ЦТО!C386</f>
        <v>0</v>
      </c>
      <c r="D482" s="63">
        <f>ЦТО!D386</f>
        <v>0</v>
      </c>
      <c r="E482" s="68">
        <f>SUM(ЦТО!BB386:BI386)</f>
        <v>0</v>
      </c>
      <c r="F482" s="64" t="str">
        <f>IF(E482&lt;10,'вспомогательные данные'!$C$26,IF(E482&lt;19,'вспомогательные данные'!$C$25,'вспомогательные данные'!$C$24))</f>
        <v>положительный</v>
      </c>
      <c r="G482" s="65">
        <f>(18-ЦТО!AM386-ЦТО!AL386)/(18-ЦТО!AL386-ЦТО!AP386)</f>
        <v>1</v>
      </c>
      <c r="H482" s="66" t="str">
        <f>IF(G482&lt;0.51,'вспомогательные данные'!$C$19,IF(G482&lt;0.92,'вспомогательные данные'!$C$20, IF(G482&lt;2,'вспомогательные данные'!$C$21,'вспомогательные данные'!$C$22)))</f>
        <v>оптимальная работоспособность</v>
      </c>
      <c r="I482" s="61" t="b">
        <f>IF(OR(ЦТО!AT386=1,ЦТО!AU386=1,ЦТО!AV386=1,ЦТО!AX386=1),"Положительная",IF(OR(ЦТО!AY386=1,ЦТО!AZ386=1,ЦТО!BA386=1),"Отрицательная",IF(OR(ЦТО!AW386=1),"Инфантильная")))</f>
        <v>0</v>
      </c>
    </row>
    <row r="483" spans="1:9">
      <c r="A483" s="62">
        <f>ЦТО!A387</f>
        <v>0</v>
      </c>
      <c r="B483" s="62">
        <f>ЦТО!B387</f>
        <v>0</v>
      </c>
      <c r="C483" s="67">
        <f>ЦТО!C387</f>
        <v>0</v>
      </c>
      <c r="D483" s="63">
        <f>ЦТО!D387</f>
        <v>0</v>
      </c>
      <c r="E483" s="68">
        <f>SUM(ЦТО!BB387:BI387)</f>
        <v>0</v>
      </c>
      <c r="F483" s="64" t="str">
        <f>IF(E483&lt;10,'вспомогательные данные'!$C$26,IF(E483&lt;19,'вспомогательные данные'!$C$25,'вспомогательные данные'!$C$24))</f>
        <v>положительный</v>
      </c>
      <c r="G483" s="65">
        <f>(18-ЦТО!AM387-ЦТО!AL387)/(18-ЦТО!AL387-ЦТО!AP387)</f>
        <v>1</v>
      </c>
      <c r="H483" s="66" t="str">
        <f>IF(G483&lt;0.51,'вспомогательные данные'!$C$19,IF(G483&lt;0.92,'вспомогательные данные'!$C$20, IF(G483&lt;2,'вспомогательные данные'!$C$21,'вспомогательные данные'!$C$22)))</f>
        <v>оптимальная работоспособность</v>
      </c>
      <c r="I483" s="61" t="b">
        <f>IF(OR(ЦТО!AT387=1,ЦТО!AU387=1,ЦТО!AV387=1,ЦТО!AX387=1),"Положительная",IF(OR(ЦТО!AY387=1,ЦТО!AZ387=1,ЦТО!BA387=1),"Отрицательная",IF(OR(ЦТО!AW387=1),"Инфантильная")))</f>
        <v>0</v>
      </c>
    </row>
    <row r="484" spans="1:9">
      <c r="A484" s="62">
        <f>ЦТО!A388</f>
        <v>0</v>
      </c>
      <c r="B484" s="62">
        <f>ЦТО!B388</f>
        <v>0</v>
      </c>
      <c r="C484" s="67">
        <f>ЦТО!C388</f>
        <v>0</v>
      </c>
      <c r="D484" s="63">
        <f>ЦТО!D388</f>
        <v>0</v>
      </c>
      <c r="E484" s="68">
        <f>SUM(ЦТО!BB388:BI388)</f>
        <v>0</v>
      </c>
      <c r="F484" s="64" t="str">
        <f>IF(E484&lt;10,'вспомогательные данные'!$C$26,IF(E484&lt;19,'вспомогательные данные'!$C$25,'вспомогательные данные'!$C$24))</f>
        <v>положительный</v>
      </c>
      <c r="G484" s="65">
        <f>(18-ЦТО!AM388-ЦТО!AL388)/(18-ЦТО!AL388-ЦТО!AP388)</f>
        <v>1</v>
      </c>
      <c r="H484" s="66" t="str">
        <f>IF(G484&lt;0.51,'вспомогательные данные'!$C$19,IF(G484&lt;0.92,'вспомогательные данные'!$C$20, IF(G484&lt;2,'вспомогательные данные'!$C$21,'вспомогательные данные'!$C$22)))</f>
        <v>оптимальная работоспособность</v>
      </c>
      <c r="I484" s="61" t="b">
        <f>IF(OR(ЦТО!AT388=1,ЦТО!AU388=1,ЦТО!AV388=1,ЦТО!AX388=1),"Положительная",IF(OR(ЦТО!AY388=1,ЦТО!AZ388=1,ЦТО!BA388=1),"Отрицательная",IF(OR(ЦТО!AW388=1),"Инфантильная")))</f>
        <v>0</v>
      </c>
    </row>
    <row r="485" spans="1:9">
      <c r="A485" s="62">
        <f>ЦТО!A389</f>
        <v>0</v>
      </c>
      <c r="B485" s="62">
        <f>ЦТО!B389</f>
        <v>0</v>
      </c>
      <c r="C485" s="67">
        <f>ЦТО!C389</f>
        <v>0</v>
      </c>
      <c r="D485" s="63">
        <f>ЦТО!D389</f>
        <v>0</v>
      </c>
      <c r="E485" s="68">
        <f>SUM(ЦТО!BB389:BI389)</f>
        <v>0</v>
      </c>
      <c r="F485" s="64" t="str">
        <f>IF(E485&lt;10,'вспомогательные данные'!$C$26,IF(E485&lt;19,'вспомогательные данные'!$C$25,'вспомогательные данные'!$C$24))</f>
        <v>положительный</v>
      </c>
      <c r="G485" s="65">
        <f>(18-ЦТО!AM389-ЦТО!AL389)/(18-ЦТО!AL389-ЦТО!AP389)</f>
        <v>1</v>
      </c>
      <c r="H485" s="66" t="str">
        <f>IF(G485&lt;0.51,'вспомогательные данные'!$C$19,IF(G485&lt;0.92,'вспомогательные данные'!$C$20, IF(G485&lt;2,'вспомогательные данные'!$C$21,'вспомогательные данные'!$C$22)))</f>
        <v>оптимальная работоспособность</v>
      </c>
      <c r="I485" s="61" t="b">
        <f>IF(OR(ЦТО!AT389=1,ЦТО!AU389=1,ЦТО!AV389=1,ЦТО!AX389=1),"Положительная",IF(OR(ЦТО!AY389=1,ЦТО!AZ389=1,ЦТО!BA389=1),"Отрицательная",IF(OR(ЦТО!AW389=1),"Инфантильная")))</f>
        <v>0</v>
      </c>
    </row>
    <row r="486" spans="1:9">
      <c r="A486" s="62">
        <f>ЦТО!A390</f>
        <v>0</v>
      </c>
      <c r="B486" s="62">
        <f>ЦТО!B390</f>
        <v>0</v>
      </c>
      <c r="C486" s="67">
        <f>ЦТО!C390</f>
        <v>0</v>
      </c>
      <c r="D486" s="63">
        <f>ЦТО!D390</f>
        <v>0</v>
      </c>
      <c r="E486" s="68">
        <f>SUM(ЦТО!BB390:BI390)</f>
        <v>0</v>
      </c>
      <c r="F486" s="64" t="str">
        <f>IF(E486&lt;10,'вспомогательные данные'!$C$26,IF(E486&lt;19,'вспомогательные данные'!$C$25,'вспомогательные данные'!$C$24))</f>
        <v>положительный</v>
      </c>
      <c r="G486" s="65">
        <f>(18-ЦТО!AM390-ЦТО!AL390)/(18-ЦТО!AL390-ЦТО!AP390)</f>
        <v>1</v>
      </c>
      <c r="H486" s="66" t="str">
        <f>IF(G486&lt;0.51,'вспомогательные данные'!$C$19,IF(G486&lt;0.92,'вспомогательные данные'!$C$20, IF(G486&lt;2,'вспомогательные данные'!$C$21,'вспомогательные данные'!$C$22)))</f>
        <v>оптимальная работоспособность</v>
      </c>
      <c r="I486" s="61" t="b">
        <f>IF(OR(ЦТО!AT390=1,ЦТО!AU390=1,ЦТО!AV390=1,ЦТО!AX390=1),"Положительная",IF(OR(ЦТО!AY390=1,ЦТО!AZ390=1,ЦТО!BA390=1),"Отрицательная",IF(OR(ЦТО!AW390=1),"Инфантильная")))</f>
        <v>0</v>
      </c>
    </row>
    <row r="487" spans="1:9">
      <c r="A487" s="62">
        <f>ЦТО!A391</f>
        <v>0</v>
      </c>
      <c r="B487" s="62">
        <f>ЦТО!B391</f>
        <v>0</v>
      </c>
      <c r="C487" s="67">
        <f>ЦТО!C391</f>
        <v>0</v>
      </c>
      <c r="D487" s="63">
        <f>ЦТО!D391</f>
        <v>0</v>
      </c>
      <c r="E487" s="68">
        <f>SUM(ЦТО!BB391:BI391)</f>
        <v>0</v>
      </c>
      <c r="F487" s="64" t="str">
        <f>IF(E487&lt;10,'вспомогательные данные'!$C$26,IF(E487&lt;19,'вспомогательные данные'!$C$25,'вспомогательные данные'!$C$24))</f>
        <v>положительный</v>
      </c>
      <c r="G487" s="65">
        <f>(18-ЦТО!AM391-ЦТО!AL391)/(18-ЦТО!AL391-ЦТО!AP391)</f>
        <v>1</v>
      </c>
      <c r="H487" s="66" t="str">
        <f>IF(G487&lt;0.51,'вспомогательные данные'!$C$19,IF(G487&lt;0.92,'вспомогательные данные'!$C$20, IF(G487&lt;2,'вспомогательные данные'!$C$21,'вспомогательные данные'!$C$22)))</f>
        <v>оптимальная работоспособность</v>
      </c>
      <c r="I487" s="61" t="b">
        <f>IF(OR(ЦТО!AT391=1,ЦТО!AU391=1,ЦТО!AV391=1,ЦТО!AX391=1),"Положительная",IF(OR(ЦТО!AY391=1,ЦТО!AZ391=1,ЦТО!BA391=1),"Отрицательная",IF(OR(ЦТО!AW391=1),"Инфантильная")))</f>
        <v>0</v>
      </c>
    </row>
    <row r="488" spans="1:9">
      <c r="A488" s="62">
        <f>ЦТО!A392</f>
        <v>0</v>
      </c>
      <c r="B488" s="62">
        <f>ЦТО!B392</f>
        <v>0</v>
      </c>
      <c r="C488" s="67">
        <f>ЦТО!C392</f>
        <v>0</v>
      </c>
      <c r="D488" s="63">
        <f>ЦТО!D392</f>
        <v>0</v>
      </c>
      <c r="E488" s="68">
        <f>SUM(ЦТО!BB392:BI392)</f>
        <v>0</v>
      </c>
      <c r="F488" s="64" t="str">
        <f>IF(E488&lt;10,'вспомогательные данные'!$C$26,IF(E488&lt;19,'вспомогательные данные'!$C$25,'вспомогательные данные'!$C$24))</f>
        <v>положительный</v>
      </c>
      <c r="G488" s="65">
        <f>(18-ЦТО!AM392-ЦТО!AL392)/(18-ЦТО!AL392-ЦТО!AP392)</f>
        <v>1</v>
      </c>
      <c r="H488" s="66" t="str">
        <f>IF(G488&lt;0.51,'вспомогательные данные'!$C$19,IF(G488&lt;0.92,'вспомогательные данные'!$C$20, IF(G488&lt;2,'вспомогательные данные'!$C$21,'вспомогательные данные'!$C$22)))</f>
        <v>оптимальная работоспособность</v>
      </c>
      <c r="I488" s="61" t="b">
        <f>IF(OR(ЦТО!AT392=1,ЦТО!AU392=1,ЦТО!AV392=1,ЦТО!AX392=1),"Положительная",IF(OR(ЦТО!AY392=1,ЦТО!AZ392=1,ЦТО!BA392=1),"Отрицательная",IF(OR(ЦТО!AW392=1),"Инфантильная")))</f>
        <v>0</v>
      </c>
    </row>
    <row r="489" spans="1:9">
      <c r="A489" s="62">
        <f>ЦТО!A393</f>
        <v>0</v>
      </c>
      <c r="B489" s="62">
        <f>ЦТО!B393</f>
        <v>0</v>
      </c>
      <c r="C489" s="67">
        <f>ЦТО!C393</f>
        <v>0</v>
      </c>
      <c r="D489" s="63">
        <f>ЦТО!D393</f>
        <v>0</v>
      </c>
      <c r="E489" s="68">
        <f>SUM(ЦТО!BB393:BI393)</f>
        <v>0</v>
      </c>
      <c r="F489" s="64" t="str">
        <f>IF(E489&lt;10,'вспомогательные данные'!$C$26,IF(E489&lt;19,'вспомогательные данные'!$C$25,'вспомогательные данные'!$C$24))</f>
        <v>положительный</v>
      </c>
      <c r="G489" s="65">
        <f>(18-ЦТО!AM393-ЦТО!AL393)/(18-ЦТО!AL393-ЦТО!AP393)</f>
        <v>1</v>
      </c>
      <c r="H489" s="66" t="str">
        <f>IF(G489&lt;0.51,'вспомогательные данные'!$C$19,IF(G489&lt;0.92,'вспомогательные данные'!$C$20, IF(G489&lt;2,'вспомогательные данные'!$C$21,'вспомогательные данные'!$C$22)))</f>
        <v>оптимальная работоспособность</v>
      </c>
      <c r="I489" s="61" t="b">
        <f>IF(OR(ЦТО!AT393=1,ЦТО!AU393=1,ЦТО!AV393=1,ЦТО!AX393=1),"Положительная",IF(OR(ЦТО!AY393=1,ЦТО!AZ393=1,ЦТО!BA393=1),"Отрицательная",IF(OR(ЦТО!AW393=1),"Инфантильная")))</f>
        <v>0</v>
      </c>
    </row>
    <row r="490" spans="1:9">
      <c r="A490" s="62">
        <f>ЦТО!A394</f>
        <v>0</v>
      </c>
      <c r="B490" s="62">
        <f>ЦТО!B394</f>
        <v>0</v>
      </c>
      <c r="C490" s="67">
        <f>ЦТО!C394</f>
        <v>0</v>
      </c>
      <c r="D490" s="63">
        <f>ЦТО!D394</f>
        <v>0</v>
      </c>
      <c r="E490" s="68">
        <f>SUM(ЦТО!BB394:BI394)</f>
        <v>0</v>
      </c>
      <c r="F490" s="64" t="str">
        <f>IF(E490&lt;10,'вспомогательные данные'!$C$26,IF(E490&lt;19,'вспомогательные данные'!$C$25,'вспомогательные данные'!$C$24))</f>
        <v>положительный</v>
      </c>
      <c r="G490" s="65">
        <f>(18-ЦТО!AM394-ЦТО!AL394)/(18-ЦТО!AL394-ЦТО!AP394)</f>
        <v>1</v>
      </c>
      <c r="H490" s="66" t="str">
        <f>IF(G490&lt;0.51,'вспомогательные данные'!$C$19,IF(G490&lt;0.92,'вспомогательные данные'!$C$20, IF(G490&lt;2,'вспомогательные данные'!$C$21,'вспомогательные данные'!$C$22)))</f>
        <v>оптимальная работоспособность</v>
      </c>
      <c r="I490" s="61" t="b">
        <f>IF(OR(ЦТО!AT394=1,ЦТО!AU394=1,ЦТО!AV394=1,ЦТО!AX394=1),"Положительная",IF(OR(ЦТО!AY394=1,ЦТО!AZ394=1,ЦТО!BA394=1),"Отрицательная",IF(OR(ЦТО!AW394=1),"Инфантильная")))</f>
        <v>0</v>
      </c>
    </row>
    <row r="491" spans="1:9">
      <c r="A491" s="62">
        <f>ЦТО!A395</f>
        <v>0</v>
      </c>
      <c r="B491" s="62">
        <f>ЦТО!B395</f>
        <v>0</v>
      </c>
      <c r="C491" s="67">
        <f>ЦТО!C395</f>
        <v>0</v>
      </c>
      <c r="D491" s="63">
        <f>ЦТО!D395</f>
        <v>0</v>
      </c>
      <c r="E491" s="68">
        <f>SUM(ЦТО!BB395:BI395)</f>
        <v>0</v>
      </c>
      <c r="F491" s="64" t="str">
        <f>IF(E491&lt;10,'вспомогательные данные'!$C$26,IF(E491&lt;19,'вспомогательные данные'!$C$25,'вспомогательные данные'!$C$24))</f>
        <v>положительный</v>
      </c>
      <c r="G491" s="65">
        <f>(18-ЦТО!AM395-ЦТО!AL395)/(18-ЦТО!AL395-ЦТО!AP395)</f>
        <v>1</v>
      </c>
      <c r="H491" s="66" t="str">
        <f>IF(G491&lt;0.51,'вспомогательные данные'!$C$19,IF(G491&lt;0.92,'вспомогательные данные'!$C$20, IF(G491&lt;2,'вспомогательные данные'!$C$21,'вспомогательные данные'!$C$22)))</f>
        <v>оптимальная работоспособность</v>
      </c>
      <c r="I491" s="61" t="b">
        <f>IF(OR(ЦТО!AT395=1,ЦТО!AU395=1,ЦТО!AV395=1,ЦТО!AX395=1),"Положительная",IF(OR(ЦТО!AY395=1,ЦТО!AZ395=1,ЦТО!BA395=1),"Отрицательная",IF(OR(ЦТО!AW395=1),"Инфантильная")))</f>
        <v>0</v>
      </c>
    </row>
    <row r="492" spans="1:9">
      <c r="A492" s="62">
        <f>ЦТО!A396</f>
        <v>0</v>
      </c>
      <c r="B492" s="62">
        <f>ЦТО!B396</f>
        <v>0</v>
      </c>
      <c r="C492" s="67">
        <f>ЦТО!C396</f>
        <v>0</v>
      </c>
      <c r="D492" s="63">
        <f>ЦТО!D396</f>
        <v>0</v>
      </c>
      <c r="E492" s="68">
        <f>SUM(ЦТО!BB396:BI396)</f>
        <v>0</v>
      </c>
      <c r="F492" s="64" t="str">
        <f>IF(E492&lt;10,'вспомогательные данные'!$C$26,IF(E492&lt;19,'вспомогательные данные'!$C$25,'вспомогательные данные'!$C$24))</f>
        <v>положительный</v>
      </c>
      <c r="G492" s="65">
        <f>(18-ЦТО!AM396-ЦТО!AL396)/(18-ЦТО!AL396-ЦТО!AP396)</f>
        <v>1</v>
      </c>
      <c r="H492" s="66" t="str">
        <f>IF(G492&lt;0.51,'вспомогательные данные'!$C$19,IF(G492&lt;0.92,'вспомогательные данные'!$C$20, IF(G492&lt;2,'вспомогательные данные'!$C$21,'вспомогательные данные'!$C$22)))</f>
        <v>оптимальная работоспособность</v>
      </c>
      <c r="I492" s="61" t="b">
        <f>IF(OR(ЦТО!AT396=1,ЦТО!AU396=1,ЦТО!AV396=1,ЦТО!AX396=1),"Положительная",IF(OR(ЦТО!AY396=1,ЦТО!AZ396=1,ЦТО!BA396=1),"Отрицательная",IF(OR(ЦТО!AW396=1),"Инфантильная")))</f>
        <v>0</v>
      </c>
    </row>
    <row r="493" spans="1:9">
      <c r="A493" s="62">
        <f>ЦТО!A397</f>
        <v>0</v>
      </c>
      <c r="B493" s="62">
        <f>ЦТО!B397</f>
        <v>0</v>
      </c>
      <c r="C493" s="67">
        <f>ЦТО!C397</f>
        <v>0</v>
      </c>
      <c r="D493" s="63">
        <f>ЦТО!D397</f>
        <v>0</v>
      </c>
      <c r="E493" s="68">
        <f>SUM(ЦТО!BB397:BI397)</f>
        <v>0</v>
      </c>
      <c r="F493" s="64" t="str">
        <f>IF(E493&lt;10,'вспомогательные данные'!$C$26,IF(E493&lt;19,'вспомогательные данные'!$C$25,'вспомогательные данные'!$C$24))</f>
        <v>положительный</v>
      </c>
      <c r="G493" s="65">
        <f>(18-ЦТО!AM397-ЦТО!AL397)/(18-ЦТО!AL397-ЦТО!AP397)</f>
        <v>1</v>
      </c>
      <c r="H493" s="66" t="str">
        <f>IF(G493&lt;0.51,'вспомогательные данные'!$C$19,IF(G493&lt;0.92,'вспомогательные данные'!$C$20, IF(G493&lt;2,'вспомогательные данные'!$C$21,'вспомогательные данные'!$C$22)))</f>
        <v>оптимальная работоспособность</v>
      </c>
      <c r="I493" s="61" t="b">
        <f>IF(OR(ЦТО!AT397=1,ЦТО!AU397=1,ЦТО!AV397=1,ЦТО!AX397=1),"Положительная",IF(OR(ЦТО!AY397=1,ЦТО!AZ397=1,ЦТО!BA397=1),"Отрицательная",IF(OR(ЦТО!AW397=1),"Инфантильная")))</f>
        <v>0</v>
      </c>
    </row>
    <row r="494" spans="1:9">
      <c r="A494" s="62">
        <f>ЦТО!A398</f>
        <v>0</v>
      </c>
      <c r="B494" s="62">
        <f>ЦТО!B398</f>
        <v>0</v>
      </c>
      <c r="C494" s="67">
        <f>ЦТО!C398</f>
        <v>0</v>
      </c>
      <c r="D494" s="63">
        <f>ЦТО!D398</f>
        <v>0</v>
      </c>
      <c r="E494" s="68">
        <f>SUM(ЦТО!BB398:BI398)</f>
        <v>0</v>
      </c>
      <c r="F494" s="64" t="str">
        <f>IF(E494&lt;10,'вспомогательные данные'!$C$26,IF(E494&lt;19,'вспомогательные данные'!$C$25,'вспомогательные данные'!$C$24))</f>
        <v>положительный</v>
      </c>
      <c r="G494" s="65">
        <f>(18-ЦТО!AM398-ЦТО!AL398)/(18-ЦТО!AL398-ЦТО!AP398)</f>
        <v>1</v>
      </c>
      <c r="H494" s="66" t="str">
        <f>IF(G494&lt;0.51,'вспомогательные данные'!$C$19,IF(G494&lt;0.92,'вспомогательные данные'!$C$20, IF(G494&lt;2,'вспомогательные данные'!$C$21,'вспомогательные данные'!$C$22)))</f>
        <v>оптимальная работоспособность</v>
      </c>
      <c r="I494" s="61" t="b">
        <f>IF(OR(ЦТО!AT398=1,ЦТО!AU398=1,ЦТО!AV398=1,ЦТО!AX398=1),"Положительная",IF(OR(ЦТО!AY398=1,ЦТО!AZ398=1,ЦТО!BA398=1),"Отрицательная",IF(OR(ЦТО!AW398=1),"Инфантильная")))</f>
        <v>0</v>
      </c>
    </row>
    <row r="495" spans="1:9">
      <c r="A495" s="62">
        <f>ЦТО!A399</f>
        <v>0</v>
      </c>
      <c r="B495" s="62">
        <f>ЦТО!B399</f>
        <v>0</v>
      </c>
      <c r="C495" s="67">
        <f>ЦТО!C399</f>
        <v>0</v>
      </c>
      <c r="D495" s="63">
        <f>ЦТО!D399</f>
        <v>0</v>
      </c>
      <c r="E495" s="68">
        <f>SUM(ЦТО!BB399:BI399)</f>
        <v>0</v>
      </c>
      <c r="F495" s="64" t="str">
        <f>IF(E495&lt;10,'вспомогательные данные'!$C$26,IF(E495&lt;19,'вспомогательные данные'!$C$25,'вспомогательные данные'!$C$24))</f>
        <v>положительный</v>
      </c>
      <c r="G495" s="65">
        <f>(18-ЦТО!AM399-ЦТО!AL399)/(18-ЦТО!AL399-ЦТО!AP399)</f>
        <v>1</v>
      </c>
      <c r="H495" s="66" t="str">
        <f>IF(G495&lt;0.51,'вспомогательные данные'!$C$19,IF(G495&lt;0.92,'вспомогательные данные'!$C$20, IF(G495&lt;2,'вспомогательные данные'!$C$21,'вспомогательные данные'!$C$22)))</f>
        <v>оптимальная работоспособность</v>
      </c>
      <c r="I495" s="61" t="b">
        <f>IF(OR(ЦТО!AT399=1,ЦТО!AU399=1,ЦТО!AV399=1,ЦТО!AX399=1),"Положительная",IF(OR(ЦТО!AY399=1,ЦТО!AZ399=1,ЦТО!BA399=1),"Отрицательная",IF(OR(ЦТО!AW399=1),"Инфантильная")))</f>
        <v>0</v>
      </c>
    </row>
    <row r="496" spans="1:9">
      <c r="A496" s="62">
        <f>ЦТО!A400</f>
        <v>0</v>
      </c>
      <c r="B496" s="62">
        <f>ЦТО!B400</f>
        <v>0</v>
      </c>
      <c r="C496" s="67">
        <f>ЦТО!C400</f>
        <v>0</v>
      </c>
      <c r="D496" s="63">
        <f>ЦТО!D400</f>
        <v>0</v>
      </c>
      <c r="E496" s="68">
        <f>SUM(ЦТО!BB400:BI400)</f>
        <v>0</v>
      </c>
      <c r="F496" s="64" t="str">
        <f>IF(E496&lt;10,'вспомогательные данные'!$C$26,IF(E496&lt;19,'вспомогательные данные'!$C$25,'вспомогательные данные'!$C$24))</f>
        <v>положительный</v>
      </c>
      <c r="G496" s="65">
        <f>(18-ЦТО!AM400-ЦТО!AL400)/(18-ЦТО!AL400-ЦТО!AP400)</f>
        <v>1</v>
      </c>
      <c r="H496" s="66" t="str">
        <f>IF(G496&lt;0.51,'вспомогательные данные'!$C$19,IF(G496&lt;0.92,'вспомогательные данные'!$C$20, IF(G496&lt;2,'вспомогательные данные'!$C$21,'вспомогательные данные'!$C$22)))</f>
        <v>оптимальная работоспособность</v>
      </c>
      <c r="I496" s="61" t="b">
        <f>IF(OR(ЦТО!AT400=1,ЦТО!AU400=1,ЦТО!AV400=1,ЦТО!AX400=1),"Положительная",IF(OR(ЦТО!AY400=1,ЦТО!AZ400=1,ЦТО!BA400=1),"Отрицательная",IF(OR(ЦТО!AW400=1),"Инфантильная")))</f>
        <v>0</v>
      </c>
    </row>
    <row r="497" spans="1:9">
      <c r="A497" s="62">
        <f>ЦТО!A401</f>
        <v>0</v>
      </c>
      <c r="B497" s="62">
        <f>ЦТО!B401</f>
        <v>0</v>
      </c>
      <c r="C497" s="67">
        <f>ЦТО!C401</f>
        <v>0</v>
      </c>
      <c r="D497" s="63">
        <f>ЦТО!D401</f>
        <v>0</v>
      </c>
      <c r="E497" s="68">
        <f>SUM(ЦТО!BB401:BI401)</f>
        <v>0</v>
      </c>
      <c r="F497" s="64" t="str">
        <f>IF(E497&lt;10,'вспомогательные данные'!$C$26,IF(E497&lt;19,'вспомогательные данные'!$C$25,'вспомогательные данные'!$C$24))</f>
        <v>положительный</v>
      </c>
      <c r="G497" s="65">
        <f>(18-ЦТО!AM401-ЦТО!AL401)/(18-ЦТО!AL401-ЦТО!AP401)</f>
        <v>1</v>
      </c>
      <c r="H497" s="66" t="str">
        <f>IF(G497&lt;0.51,'вспомогательные данные'!$C$19,IF(G497&lt;0.92,'вспомогательные данные'!$C$20, IF(G497&lt;2,'вспомогательные данные'!$C$21,'вспомогательные данные'!$C$22)))</f>
        <v>оптимальная работоспособность</v>
      </c>
      <c r="I497" s="61" t="b">
        <f>IF(OR(ЦТО!AT401=1,ЦТО!AU401=1,ЦТО!AV401=1,ЦТО!AX401=1),"Положительная",IF(OR(ЦТО!AY401=1,ЦТО!AZ401=1,ЦТО!BA401=1),"Отрицательная",IF(OR(ЦТО!AW401=1),"Инфантильная")))</f>
        <v>0</v>
      </c>
    </row>
    <row r="498" spans="1:9">
      <c r="A498" s="62">
        <f>ЦТО!A402</f>
        <v>0</v>
      </c>
      <c r="B498" s="62">
        <f>ЦТО!B402</f>
        <v>0</v>
      </c>
      <c r="C498" s="67">
        <f>ЦТО!C402</f>
        <v>0</v>
      </c>
      <c r="D498" s="63">
        <f>ЦТО!D402</f>
        <v>0</v>
      </c>
      <c r="E498" s="68">
        <f>SUM(ЦТО!BB402:BI402)</f>
        <v>0</v>
      </c>
      <c r="F498" s="64" t="str">
        <f>IF(E498&lt;10,'вспомогательные данные'!$C$26,IF(E498&lt;19,'вспомогательные данные'!$C$25,'вспомогательные данные'!$C$24))</f>
        <v>положительный</v>
      </c>
      <c r="G498" s="65">
        <f>(18-ЦТО!AM402-ЦТО!AL402)/(18-ЦТО!AL402-ЦТО!AP402)</f>
        <v>1</v>
      </c>
      <c r="H498" s="66" t="str">
        <f>IF(G498&lt;0.51,'вспомогательные данные'!$C$19,IF(G498&lt;0.92,'вспомогательные данные'!$C$20, IF(G498&lt;2,'вспомогательные данные'!$C$21,'вспомогательные данные'!$C$22)))</f>
        <v>оптимальная работоспособность</v>
      </c>
      <c r="I498" s="61" t="b">
        <f>IF(OR(ЦТО!AT402=1,ЦТО!AU402=1,ЦТО!AV402=1,ЦТО!AX402=1),"Положительная",IF(OR(ЦТО!AY402=1,ЦТО!AZ402=1,ЦТО!BA402=1),"Отрицательная",IF(OR(ЦТО!AW402=1),"Инфантильная")))</f>
        <v>0</v>
      </c>
    </row>
    <row r="499" spans="1:9">
      <c r="A499" s="62">
        <f>ЦТО!A403</f>
        <v>0</v>
      </c>
      <c r="B499" s="62">
        <f>ЦТО!B403</f>
        <v>0</v>
      </c>
      <c r="C499" s="67">
        <f>ЦТО!C403</f>
        <v>0</v>
      </c>
      <c r="D499" s="63">
        <f>ЦТО!D403</f>
        <v>0</v>
      </c>
      <c r="E499" s="68">
        <f>SUM(ЦТО!BB403:BI403)</f>
        <v>0</v>
      </c>
      <c r="F499" s="64" t="str">
        <f>IF(E499&lt;10,'вспомогательные данные'!$C$26,IF(E499&lt;19,'вспомогательные данные'!$C$25,'вспомогательные данные'!$C$24))</f>
        <v>положительный</v>
      </c>
      <c r="G499" s="65">
        <f>(18-ЦТО!AM403-ЦТО!AL403)/(18-ЦТО!AL403-ЦТО!AP403)</f>
        <v>1</v>
      </c>
      <c r="H499" s="66" t="str">
        <f>IF(G499&lt;0.51,'вспомогательные данные'!$C$19,IF(G499&lt;0.92,'вспомогательные данные'!$C$20, IF(G499&lt;2,'вспомогательные данные'!$C$21,'вспомогательные данные'!$C$22)))</f>
        <v>оптимальная работоспособность</v>
      </c>
      <c r="I499" s="61" t="b">
        <f>IF(OR(ЦТО!AT403=1,ЦТО!AU403=1,ЦТО!AV403=1,ЦТО!AX403=1),"Положительная",IF(OR(ЦТО!AY403=1,ЦТО!AZ403=1,ЦТО!BA403=1),"Отрицательная",IF(OR(ЦТО!AW403=1),"Инфантильная")))</f>
        <v>0</v>
      </c>
    </row>
    <row r="500" spans="1:9">
      <c r="A500" s="62">
        <f>ЦТО!A404</f>
        <v>0</v>
      </c>
      <c r="B500" s="62">
        <f>ЦТО!B404</f>
        <v>0</v>
      </c>
      <c r="C500" s="67">
        <f>ЦТО!C404</f>
        <v>0</v>
      </c>
      <c r="D500" s="63">
        <f>ЦТО!D404</f>
        <v>0</v>
      </c>
      <c r="E500" s="68">
        <f>SUM(ЦТО!BB404:BI404)</f>
        <v>0</v>
      </c>
      <c r="F500" s="64" t="str">
        <f>IF(E500&lt;10,'вспомогательные данные'!$C$26,IF(E500&lt;19,'вспомогательные данные'!$C$25,'вспомогательные данные'!$C$24))</f>
        <v>положительный</v>
      </c>
      <c r="G500" s="65">
        <f>(18-ЦТО!AM404-ЦТО!AL404)/(18-ЦТО!AL404-ЦТО!AP404)</f>
        <v>1</v>
      </c>
      <c r="H500" s="66" t="str">
        <f>IF(G500&lt;0.51,'вспомогательные данные'!$C$19,IF(G500&lt;0.92,'вспомогательные данные'!$C$20, IF(G500&lt;2,'вспомогательные данные'!$C$21,'вспомогательные данные'!$C$22)))</f>
        <v>оптимальная работоспособность</v>
      </c>
      <c r="I500" s="61" t="b">
        <f>IF(OR(ЦТО!AT404=1,ЦТО!AU404=1,ЦТО!AV404=1,ЦТО!AX404=1),"Положительная",IF(OR(ЦТО!AY404=1,ЦТО!AZ404=1,ЦТО!BA404=1),"Отрицательная",IF(OR(ЦТО!AW404=1),"Инфантильная")))</f>
        <v>0</v>
      </c>
    </row>
    <row r="501" spans="1:9">
      <c r="A501" s="62">
        <f>ЦТО!A405</f>
        <v>0</v>
      </c>
      <c r="B501" s="62">
        <f>ЦТО!B405</f>
        <v>0</v>
      </c>
      <c r="C501" s="67">
        <f>ЦТО!C405</f>
        <v>0</v>
      </c>
      <c r="D501" s="63">
        <f>ЦТО!D405</f>
        <v>0</v>
      </c>
      <c r="E501" s="68">
        <f>SUM(ЦТО!BB405:BI405)</f>
        <v>0</v>
      </c>
      <c r="F501" s="64" t="str">
        <f>IF(E501&lt;10,'вспомогательные данные'!$C$26,IF(E501&lt;19,'вспомогательные данные'!$C$25,'вспомогательные данные'!$C$24))</f>
        <v>положительный</v>
      </c>
      <c r="G501" s="65">
        <f>(18-ЦТО!AM405-ЦТО!AL405)/(18-ЦТО!AL405-ЦТО!AP405)</f>
        <v>1</v>
      </c>
      <c r="H501" s="66" t="str">
        <f>IF(G501&lt;0.51,'вспомогательные данные'!$C$19,IF(G501&lt;0.92,'вспомогательные данные'!$C$20, IF(G501&lt;2,'вспомогательные данные'!$C$21,'вспомогательные данные'!$C$22)))</f>
        <v>оптимальная работоспособность</v>
      </c>
      <c r="I501" s="61" t="b">
        <f>IF(OR(ЦТО!AT405=1,ЦТО!AU405=1,ЦТО!AV405=1,ЦТО!AX405=1),"Положительная",IF(OR(ЦТО!AY405=1,ЦТО!AZ405=1,ЦТО!BA405=1),"Отрицательная",IF(OR(ЦТО!AW405=1),"Инфантильная")))</f>
        <v>0</v>
      </c>
    </row>
    <row r="502" spans="1:9">
      <c r="A502" s="62">
        <f>ЦТО!A406</f>
        <v>0</v>
      </c>
      <c r="B502" s="62">
        <f>ЦТО!B406</f>
        <v>0</v>
      </c>
      <c r="C502" s="67">
        <f>ЦТО!C406</f>
        <v>0</v>
      </c>
      <c r="D502" s="63">
        <f>ЦТО!D406</f>
        <v>0</v>
      </c>
      <c r="E502" s="68">
        <f>SUM(ЦТО!BB406:BI406)</f>
        <v>0</v>
      </c>
      <c r="F502" s="64" t="str">
        <f>IF(E502&lt;10,'вспомогательные данные'!$C$26,IF(E502&lt;19,'вспомогательные данные'!$C$25,'вспомогательные данные'!$C$24))</f>
        <v>положительный</v>
      </c>
      <c r="G502" s="65">
        <f>(18-ЦТО!AM406-ЦТО!AL406)/(18-ЦТО!AL406-ЦТО!AP406)</f>
        <v>1</v>
      </c>
      <c r="H502" s="66" t="str">
        <f>IF(G502&lt;0.51,'вспомогательные данные'!$C$19,IF(G502&lt;0.92,'вспомогательные данные'!$C$20, IF(G502&lt;2,'вспомогательные данные'!$C$21,'вспомогательные данные'!$C$22)))</f>
        <v>оптимальная работоспособность</v>
      </c>
      <c r="I502" s="61" t="b">
        <f>IF(OR(ЦТО!AT406=1,ЦТО!AU406=1,ЦТО!AV406=1,ЦТО!AX406=1),"Положительная",IF(OR(ЦТО!AY406=1,ЦТО!AZ406=1,ЦТО!BA406=1),"Отрицательная",IF(OR(ЦТО!AW406=1),"Инфантильная")))</f>
        <v>0</v>
      </c>
    </row>
    <row r="503" spans="1:9">
      <c r="A503" s="62">
        <f>ЦТО!A407</f>
        <v>0</v>
      </c>
      <c r="B503" s="62">
        <f>ЦТО!B407</f>
        <v>0</v>
      </c>
      <c r="C503" s="67">
        <f>ЦТО!C407</f>
        <v>0</v>
      </c>
      <c r="D503" s="63">
        <f>ЦТО!D407</f>
        <v>0</v>
      </c>
      <c r="E503" s="68">
        <f>SUM(ЦТО!BB407:BI407)</f>
        <v>0</v>
      </c>
      <c r="F503" s="64" t="str">
        <f>IF(E503&lt;10,'вспомогательные данные'!$C$26,IF(E503&lt;19,'вспомогательные данные'!$C$25,'вспомогательные данные'!$C$24))</f>
        <v>положительный</v>
      </c>
      <c r="G503" s="65">
        <f>(18-ЦТО!AM407-ЦТО!AL407)/(18-ЦТО!AL407-ЦТО!AP407)</f>
        <v>1</v>
      </c>
      <c r="H503" s="66" t="str">
        <f>IF(G503&lt;0.51,'вспомогательные данные'!$C$19,IF(G503&lt;0.92,'вспомогательные данные'!$C$20, IF(G503&lt;2,'вспомогательные данные'!$C$21,'вспомогательные данные'!$C$22)))</f>
        <v>оптимальная работоспособность</v>
      </c>
      <c r="I503" s="61" t="b">
        <f>IF(OR(ЦТО!AT407=1,ЦТО!AU407=1,ЦТО!AV407=1,ЦТО!AX407=1),"Положительная",IF(OR(ЦТО!AY407=1,ЦТО!AZ407=1,ЦТО!BA407=1),"Отрицательная",IF(OR(ЦТО!AW407=1),"Инфантильная")))</f>
        <v>0</v>
      </c>
    </row>
    <row r="504" spans="1:9">
      <c r="A504" s="62">
        <f>ЦТО!A408</f>
        <v>0</v>
      </c>
      <c r="B504" s="62">
        <f>ЦТО!B408</f>
        <v>0</v>
      </c>
      <c r="C504" s="67">
        <f>ЦТО!C408</f>
        <v>0</v>
      </c>
      <c r="D504" s="63">
        <f>ЦТО!D408</f>
        <v>0</v>
      </c>
      <c r="E504" s="68">
        <f>SUM(ЦТО!BB408:BI408)</f>
        <v>0</v>
      </c>
      <c r="F504" s="64" t="str">
        <f>IF(E504&lt;10,'вспомогательные данные'!$C$26,IF(E504&lt;19,'вспомогательные данные'!$C$25,'вспомогательные данные'!$C$24))</f>
        <v>положительный</v>
      </c>
      <c r="G504" s="65">
        <f>(18-ЦТО!AM408-ЦТО!AL408)/(18-ЦТО!AL408-ЦТО!AP408)</f>
        <v>1</v>
      </c>
      <c r="H504" s="66" t="str">
        <f>IF(G504&lt;0.51,'вспомогательные данные'!$C$19,IF(G504&lt;0.92,'вспомогательные данные'!$C$20, IF(G504&lt;2,'вспомогательные данные'!$C$21,'вспомогательные данные'!$C$22)))</f>
        <v>оптимальная работоспособность</v>
      </c>
      <c r="I504" s="61" t="b">
        <f>IF(OR(ЦТО!AT408=1,ЦТО!AU408=1,ЦТО!AV408=1,ЦТО!AX408=1),"Положительная",IF(OR(ЦТО!AY408=1,ЦТО!AZ408=1,ЦТО!BA408=1),"Отрицательная",IF(OR(ЦТО!AW408=1),"Инфантильная")))</f>
        <v>0</v>
      </c>
    </row>
    <row r="505" spans="1:9">
      <c r="A505" s="62">
        <f>ЦТО!A409</f>
        <v>0</v>
      </c>
      <c r="B505" s="62">
        <f>ЦТО!B409</f>
        <v>0</v>
      </c>
      <c r="C505" s="67">
        <f>ЦТО!C409</f>
        <v>0</v>
      </c>
      <c r="D505" s="63">
        <f>ЦТО!D409</f>
        <v>0</v>
      </c>
      <c r="E505" s="68">
        <f>SUM(ЦТО!BB409:BI409)</f>
        <v>0</v>
      </c>
      <c r="F505" s="64" t="str">
        <f>IF(E505&lt;10,'вспомогательные данные'!$C$26,IF(E505&lt;19,'вспомогательные данные'!$C$25,'вспомогательные данные'!$C$24))</f>
        <v>положительный</v>
      </c>
      <c r="G505" s="65">
        <f>(18-ЦТО!AM409-ЦТО!AL409)/(18-ЦТО!AL409-ЦТО!AP409)</f>
        <v>1</v>
      </c>
      <c r="H505" s="66" t="str">
        <f>IF(G505&lt;0.51,'вспомогательные данные'!$C$19,IF(G505&lt;0.92,'вспомогательные данные'!$C$20, IF(G505&lt;2,'вспомогательные данные'!$C$21,'вспомогательные данные'!$C$22)))</f>
        <v>оптимальная работоспособность</v>
      </c>
      <c r="I505" s="61" t="b">
        <f>IF(OR(ЦТО!AT409=1,ЦТО!AU409=1,ЦТО!AV409=1,ЦТО!AX409=1),"Положительная",IF(OR(ЦТО!AY409=1,ЦТО!AZ409=1,ЦТО!BA409=1),"Отрицательная",IF(OR(ЦТО!AW409=1),"Инфантильная")))</f>
        <v>0</v>
      </c>
    </row>
    <row r="506" spans="1:9">
      <c r="A506" s="62">
        <f>ЦТО!A410</f>
        <v>0</v>
      </c>
      <c r="B506" s="62">
        <f>ЦТО!B410</f>
        <v>0</v>
      </c>
      <c r="C506" s="67">
        <f>ЦТО!C410</f>
        <v>0</v>
      </c>
      <c r="D506" s="63">
        <f>ЦТО!D410</f>
        <v>0</v>
      </c>
      <c r="E506" s="68">
        <f>SUM(ЦТО!BB410:BI410)</f>
        <v>0</v>
      </c>
      <c r="F506" s="64" t="str">
        <f>IF(E506&lt;10,'вспомогательные данные'!$C$26,IF(E506&lt;19,'вспомогательные данные'!$C$25,'вспомогательные данные'!$C$24))</f>
        <v>положительный</v>
      </c>
      <c r="G506" s="65">
        <f>(18-ЦТО!AM410-ЦТО!AL410)/(18-ЦТО!AL410-ЦТО!AP410)</f>
        <v>1</v>
      </c>
      <c r="H506" s="66" t="str">
        <f>IF(G506&lt;0.51,'вспомогательные данные'!$C$19,IF(G506&lt;0.92,'вспомогательные данные'!$C$20, IF(G506&lt;2,'вспомогательные данные'!$C$21,'вспомогательные данные'!$C$22)))</f>
        <v>оптимальная работоспособность</v>
      </c>
      <c r="I506" s="61" t="b">
        <f>IF(OR(ЦТО!AT410=1,ЦТО!AU410=1,ЦТО!AV410=1,ЦТО!AX410=1),"Положительная",IF(OR(ЦТО!AY410=1,ЦТО!AZ410=1,ЦТО!BA410=1),"Отрицательная",IF(OR(ЦТО!AW410=1),"Инфантильная")))</f>
        <v>0</v>
      </c>
    </row>
    <row r="507" spans="1:9">
      <c r="A507" s="62">
        <f>ЦТО!A411</f>
        <v>0</v>
      </c>
      <c r="B507" s="62">
        <f>ЦТО!B411</f>
        <v>0</v>
      </c>
      <c r="C507" s="67">
        <f>ЦТО!C411</f>
        <v>0</v>
      </c>
      <c r="D507" s="63">
        <f>ЦТО!D411</f>
        <v>0</v>
      </c>
      <c r="E507" s="68">
        <f>SUM(ЦТО!BB411:BI411)</f>
        <v>0</v>
      </c>
      <c r="F507" s="64" t="str">
        <f>IF(E507&lt;10,'вспомогательные данные'!$C$26,IF(E507&lt;19,'вспомогательные данные'!$C$25,'вспомогательные данные'!$C$24))</f>
        <v>положительный</v>
      </c>
      <c r="G507" s="65">
        <f>(18-ЦТО!AM411-ЦТО!AL411)/(18-ЦТО!AL411-ЦТО!AP411)</f>
        <v>1</v>
      </c>
      <c r="H507" s="66" t="str">
        <f>IF(G507&lt;0.51,'вспомогательные данные'!$C$19,IF(G507&lt;0.92,'вспомогательные данные'!$C$20, IF(G507&lt;2,'вспомогательные данные'!$C$21,'вспомогательные данные'!$C$22)))</f>
        <v>оптимальная работоспособность</v>
      </c>
      <c r="I507" s="61" t="b">
        <f>IF(OR(ЦТО!AT411=1,ЦТО!AU411=1,ЦТО!AV411=1,ЦТО!AX411=1),"Положительная",IF(OR(ЦТО!AY411=1,ЦТО!AZ411=1,ЦТО!BA411=1),"Отрицательная",IF(OR(ЦТО!AW411=1),"Инфантильная")))</f>
        <v>0</v>
      </c>
    </row>
    <row r="508" spans="1:9">
      <c r="A508" s="62">
        <f>ЦТО!A412</f>
        <v>0</v>
      </c>
      <c r="B508" s="62">
        <f>ЦТО!B412</f>
        <v>0</v>
      </c>
      <c r="C508" s="67">
        <f>ЦТО!C412</f>
        <v>0</v>
      </c>
      <c r="D508" s="63">
        <f>ЦТО!D412</f>
        <v>0</v>
      </c>
      <c r="E508" s="68">
        <f>SUM(ЦТО!BB412:BI412)</f>
        <v>0</v>
      </c>
      <c r="F508" s="64" t="str">
        <f>IF(E508&lt;10,'вспомогательные данные'!$C$26,IF(E508&lt;19,'вспомогательные данные'!$C$25,'вспомогательные данные'!$C$24))</f>
        <v>положительный</v>
      </c>
      <c r="G508" s="65">
        <f>(18-ЦТО!AM412-ЦТО!AL412)/(18-ЦТО!AL412-ЦТО!AP412)</f>
        <v>1</v>
      </c>
      <c r="H508" s="66" t="str">
        <f>IF(G508&lt;0.51,'вспомогательные данные'!$C$19,IF(G508&lt;0.92,'вспомогательные данные'!$C$20, IF(G508&lt;2,'вспомогательные данные'!$C$21,'вспомогательные данные'!$C$22)))</f>
        <v>оптимальная работоспособность</v>
      </c>
      <c r="I508" s="61" t="b">
        <f>IF(OR(ЦТО!AT412=1,ЦТО!AU412=1,ЦТО!AV412=1,ЦТО!AX412=1),"Положительная",IF(OR(ЦТО!AY412=1,ЦТО!AZ412=1,ЦТО!BA412=1),"Отрицательная",IF(OR(ЦТО!AW412=1),"Инфантильная")))</f>
        <v>0</v>
      </c>
    </row>
    <row r="509" spans="1:9">
      <c r="A509" s="62">
        <f>ЦТО!A413</f>
        <v>0</v>
      </c>
      <c r="B509" s="62">
        <f>ЦТО!B413</f>
        <v>0</v>
      </c>
      <c r="C509" s="67">
        <f>ЦТО!C413</f>
        <v>0</v>
      </c>
      <c r="D509" s="63">
        <f>ЦТО!D413</f>
        <v>0</v>
      </c>
      <c r="E509" s="68">
        <f>SUM(ЦТО!BB413:BI413)</f>
        <v>0</v>
      </c>
      <c r="F509" s="64" t="str">
        <f>IF(E509&lt;10,'вспомогательные данные'!$C$26,IF(E509&lt;19,'вспомогательные данные'!$C$25,'вспомогательные данные'!$C$24))</f>
        <v>положительный</v>
      </c>
      <c r="G509" s="65">
        <f>(18-ЦТО!AM413-ЦТО!AL413)/(18-ЦТО!AL413-ЦТО!AP413)</f>
        <v>1</v>
      </c>
      <c r="H509" s="66" t="str">
        <f>IF(G509&lt;0.51,'вспомогательные данные'!$C$19,IF(G509&lt;0.92,'вспомогательные данные'!$C$20, IF(G509&lt;2,'вспомогательные данные'!$C$21,'вспомогательные данные'!$C$22)))</f>
        <v>оптимальная работоспособность</v>
      </c>
      <c r="I509" s="61" t="b">
        <f>IF(OR(ЦТО!AT413=1,ЦТО!AU413=1,ЦТО!AV413=1,ЦТО!AX413=1),"Положительная",IF(OR(ЦТО!AY413=1,ЦТО!AZ413=1,ЦТО!BA413=1),"Отрицательная",IF(OR(ЦТО!AW413=1),"Инфантильная")))</f>
        <v>0</v>
      </c>
    </row>
    <row r="510" spans="1:9">
      <c r="A510" s="62">
        <f>ЦТО!A414</f>
        <v>0</v>
      </c>
      <c r="B510" s="62">
        <f>ЦТО!B414</f>
        <v>0</v>
      </c>
      <c r="C510" s="67">
        <f>ЦТО!C414</f>
        <v>0</v>
      </c>
      <c r="D510" s="63">
        <f>ЦТО!D414</f>
        <v>0</v>
      </c>
      <c r="E510" s="68">
        <f>SUM(ЦТО!BB414:BI414)</f>
        <v>0</v>
      </c>
      <c r="F510" s="64" t="str">
        <f>IF(E510&lt;10,'вспомогательные данные'!$C$26,IF(E510&lt;19,'вспомогательные данные'!$C$25,'вспомогательные данные'!$C$24))</f>
        <v>положительный</v>
      </c>
      <c r="G510" s="65">
        <f>(18-ЦТО!AM414-ЦТО!AL414)/(18-ЦТО!AL414-ЦТО!AP414)</f>
        <v>1</v>
      </c>
      <c r="H510" s="66" t="str">
        <f>IF(G510&lt;0.51,'вспомогательные данные'!$C$19,IF(G510&lt;0.92,'вспомогательные данные'!$C$20, IF(G510&lt;2,'вспомогательные данные'!$C$21,'вспомогательные данные'!$C$22)))</f>
        <v>оптимальная работоспособность</v>
      </c>
      <c r="I510" s="61" t="b">
        <f>IF(OR(ЦТО!AT414=1,ЦТО!AU414=1,ЦТО!AV414=1,ЦТО!AX414=1),"Положительная",IF(OR(ЦТО!AY414=1,ЦТО!AZ414=1,ЦТО!BA414=1),"Отрицательная",IF(OR(ЦТО!AW414=1),"Инфантильная")))</f>
        <v>0</v>
      </c>
    </row>
    <row r="511" spans="1:9">
      <c r="A511" s="62">
        <f>ЦТО!A415</f>
        <v>0</v>
      </c>
      <c r="B511" s="62">
        <f>ЦТО!B415</f>
        <v>0</v>
      </c>
      <c r="C511" s="67">
        <f>ЦТО!C415</f>
        <v>0</v>
      </c>
      <c r="D511" s="63">
        <f>ЦТО!D415</f>
        <v>0</v>
      </c>
      <c r="E511" s="68">
        <f>SUM(ЦТО!BB415:BI415)</f>
        <v>0</v>
      </c>
      <c r="F511" s="64" t="str">
        <f>IF(E511&lt;10,'вспомогательные данные'!$C$26,IF(E511&lt;19,'вспомогательные данные'!$C$25,'вспомогательные данные'!$C$24))</f>
        <v>положительный</v>
      </c>
      <c r="G511" s="65">
        <f>(18-ЦТО!AM415-ЦТО!AL415)/(18-ЦТО!AL415-ЦТО!AP415)</f>
        <v>1</v>
      </c>
      <c r="H511" s="66" t="str">
        <f>IF(G511&lt;0.51,'вспомогательные данные'!$C$19,IF(G511&lt;0.92,'вспомогательные данные'!$C$20, IF(G511&lt;2,'вспомогательные данные'!$C$21,'вспомогательные данные'!$C$22)))</f>
        <v>оптимальная работоспособность</v>
      </c>
      <c r="I511" s="61" t="b">
        <f>IF(OR(ЦТО!AT415=1,ЦТО!AU415=1,ЦТО!AV415=1,ЦТО!AX415=1),"Положительная",IF(OR(ЦТО!AY415=1,ЦТО!AZ415=1,ЦТО!BA415=1),"Отрицательная",IF(OR(ЦТО!AW415=1),"Инфантильная")))</f>
        <v>0</v>
      </c>
    </row>
    <row r="512" spans="1:9">
      <c r="A512" s="62">
        <f>ЦТО!A416</f>
        <v>0</v>
      </c>
      <c r="B512" s="62">
        <f>ЦТО!B416</f>
        <v>0</v>
      </c>
      <c r="C512" s="67">
        <f>ЦТО!C416</f>
        <v>0</v>
      </c>
      <c r="D512" s="63">
        <f>ЦТО!D416</f>
        <v>0</v>
      </c>
      <c r="E512" s="68">
        <f>SUM(ЦТО!BB416:BI416)</f>
        <v>0</v>
      </c>
      <c r="F512" s="64" t="str">
        <f>IF(E512&lt;10,'вспомогательные данные'!$C$26,IF(E512&lt;19,'вспомогательные данные'!$C$25,'вспомогательные данные'!$C$24))</f>
        <v>положительный</v>
      </c>
      <c r="G512" s="65">
        <f>(18-ЦТО!AM416-ЦТО!AL416)/(18-ЦТО!AL416-ЦТО!AP416)</f>
        <v>1</v>
      </c>
      <c r="H512" s="66" t="str">
        <f>IF(G512&lt;0.51,'вспомогательные данные'!$C$19,IF(G512&lt;0.92,'вспомогательные данные'!$C$20, IF(G512&lt;2,'вспомогательные данные'!$C$21,'вспомогательные данные'!$C$22)))</f>
        <v>оптимальная работоспособность</v>
      </c>
      <c r="I512" s="61" t="b">
        <f>IF(OR(ЦТО!AT416=1,ЦТО!AU416=1,ЦТО!AV416=1,ЦТО!AX416=1),"Положительная",IF(OR(ЦТО!AY416=1,ЦТО!AZ416=1,ЦТО!BA416=1),"Отрицательная",IF(OR(ЦТО!AW416=1),"Инфантильная")))</f>
        <v>0</v>
      </c>
    </row>
    <row r="513" spans="1:9">
      <c r="A513" s="62">
        <f>ЦТО!A417</f>
        <v>0</v>
      </c>
      <c r="B513" s="62">
        <f>ЦТО!B417</f>
        <v>0</v>
      </c>
      <c r="C513" s="67">
        <f>ЦТО!C417</f>
        <v>0</v>
      </c>
      <c r="D513" s="63">
        <f>ЦТО!D417</f>
        <v>0</v>
      </c>
      <c r="E513" s="68">
        <f>SUM(ЦТО!BB417:BI417)</f>
        <v>0</v>
      </c>
      <c r="F513" s="64" t="str">
        <f>IF(E513&lt;10,'вспомогательные данные'!$C$26,IF(E513&lt;19,'вспомогательные данные'!$C$25,'вспомогательные данные'!$C$24))</f>
        <v>положительный</v>
      </c>
      <c r="G513" s="65">
        <f>(18-ЦТО!AM417-ЦТО!AL417)/(18-ЦТО!AL417-ЦТО!AP417)</f>
        <v>1</v>
      </c>
      <c r="H513" s="66" t="str">
        <f>IF(G513&lt;0.51,'вспомогательные данные'!$C$19,IF(G513&lt;0.92,'вспомогательные данные'!$C$20, IF(G513&lt;2,'вспомогательные данные'!$C$21,'вспомогательные данные'!$C$22)))</f>
        <v>оптимальная работоспособность</v>
      </c>
      <c r="I513" s="61" t="b">
        <f>IF(OR(ЦТО!AT417=1,ЦТО!AU417=1,ЦТО!AV417=1,ЦТО!AX417=1),"Положительная",IF(OR(ЦТО!AY417=1,ЦТО!AZ417=1,ЦТО!BA417=1),"Отрицательная",IF(OR(ЦТО!AW417=1),"Инфантильная")))</f>
        <v>0</v>
      </c>
    </row>
    <row r="514" spans="1:9">
      <c r="A514" s="62">
        <f>ЦТО!A418</f>
        <v>0</v>
      </c>
      <c r="B514" s="62">
        <f>ЦТО!B418</f>
        <v>0</v>
      </c>
      <c r="C514" s="67">
        <f>ЦТО!C418</f>
        <v>0</v>
      </c>
      <c r="D514" s="63">
        <f>ЦТО!D418</f>
        <v>0</v>
      </c>
      <c r="E514" s="68">
        <f>SUM(ЦТО!BB418:BI418)</f>
        <v>0</v>
      </c>
      <c r="F514" s="64" t="str">
        <f>IF(E514&lt;10,'вспомогательные данные'!$C$26,IF(E514&lt;19,'вспомогательные данные'!$C$25,'вспомогательные данные'!$C$24))</f>
        <v>положительный</v>
      </c>
      <c r="G514" s="65">
        <f>(18-ЦТО!AM418-ЦТО!AL418)/(18-ЦТО!AL418-ЦТО!AP418)</f>
        <v>1</v>
      </c>
      <c r="H514" s="66" t="str">
        <f>IF(G514&lt;0.51,'вспомогательные данные'!$C$19,IF(G514&lt;0.92,'вспомогательные данные'!$C$20, IF(G514&lt;2,'вспомогательные данные'!$C$21,'вспомогательные данные'!$C$22)))</f>
        <v>оптимальная работоспособность</v>
      </c>
      <c r="I514" s="61" t="b">
        <f>IF(OR(ЦТО!AT418=1,ЦТО!AU418=1,ЦТО!AV418=1,ЦТО!AX418=1),"Положительная",IF(OR(ЦТО!AY418=1,ЦТО!AZ418=1,ЦТО!BA418=1),"Отрицательная",IF(OR(ЦТО!AW418=1),"Инфантильная")))</f>
        <v>0</v>
      </c>
    </row>
    <row r="515" spans="1:9">
      <c r="A515" s="62">
        <f>ЦТО!A419</f>
        <v>0</v>
      </c>
      <c r="B515" s="62">
        <f>ЦТО!B419</f>
        <v>0</v>
      </c>
      <c r="C515" s="67">
        <f>ЦТО!C419</f>
        <v>0</v>
      </c>
      <c r="D515" s="63">
        <f>ЦТО!D419</f>
        <v>0</v>
      </c>
      <c r="E515" s="68">
        <f>SUM(ЦТО!BB419:BI419)</f>
        <v>0</v>
      </c>
      <c r="F515" s="64" t="str">
        <f>IF(E515&lt;10,'вспомогательные данные'!$C$26,IF(E515&lt;19,'вспомогательные данные'!$C$25,'вспомогательные данные'!$C$24))</f>
        <v>положительный</v>
      </c>
      <c r="G515" s="65">
        <f>(18-ЦТО!AM419-ЦТО!AL419)/(18-ЦТО!AL419-ЦТО!AP419)</f>
        <v>1</v>
      </c>
      <c r="H515" s="66" t="str">
        <f>IF(G515&lt;0.51,'вспомогательные данные'!$C$19,IF(G515&lt;0.92,'вспомогательные данные'!$C$20, IF(G515&lt;2,'вспомогательные данные'!$C$21,'вспомогательные данные'!$C$22)))</f>
        <v>оптимальная работоспособность</v>
      </c>
      <c r="I515" s="61" t="b">
        <f>IF(OR(ЦТО!AT419=1,ЦТО!AU419=1,ЦТО!AV419=1,ЦТО!AX419=1),"Положительная",IF(OR(ЦТО!AY419=1,ЦТО!AZ419=1,ЦТО!BA419=1),"Отрицательная",IF(OR(ЦТО!AW419=1),"Инфантильная")))</f>
        <v>0</v>
      </c>
    </row>
    <row r="516" spans="1:9">
      <c r="A516" s="62">
        <f>ЦТО!A420</f>
        <v>0</v>
      </c>
      <c r="B516" s="62">
        <f>ЦТО!B420</f>
        <v>0</v>
      </c>
      <c r="C516" s="67">
        <f>ЦТО!C420</f>
        <v>0</v>
      </c>
      <c r="D516" s="63">
        <f>ЦТО!D420</f>
        <v>0</v>
      </c>
      <c r="E516" s="68">
        <f>SUM(ЦТО!BB420:BI420)</f>
        <v>0</v>
      </c>
      <c r="F516" s="64" t="str">
        <f>IF(E516&lt;10,'вспомогательные данные'!$C$26,IF(E516&lt;19,'вспомогательные данные'!$C$25,'вспомогательные данные'!$C$24))</f>
        <v>положительный</v>
      </c>
      <c r="G516" s="65">
        <f>(18-ЦТО!AM420-ЦТО!AL420)/(18-ЦТО!AL420-ЦТО!AP420)</f>
        <v>1</v>
      </c>
      <c r="H516" s="66" t="str">
        <f>IF(G516&lt;0.51,'вспомогательные данные'!$C$19,IF(G516&lt;0.92,'вспомогательные данные'!$C$20, IF(G516&lt;2,'вспомогательные данные'!$C$21,'вспомогательные данные'!$C$22)))</f>
        <v>оптимальная работоспособность</v>
      </c>
      <c r="I516" s="61" t="b">
        <f>IF(OR(ЦТО!AT420=1,ЦТО!AU420=1,ЦТО!AV420=1,ЦТО!AX420=1),"Положительная",IF(OR(ЦТО!AY420=1,ЦТО!AZ420=1,ЦТО!BA420=1),"Отрицательная",IF(OR(ЦТО!AW420=1),"Инфантильная")))</f>
        <v>0</v>
      </c>
    </row>
    <row r="517" spans="1:9">
      <c r="A517" s="62">
        <f>ЦТО!A421</f>
        <v>0</v>
      </c>
      <c r="B517" s="62">
        <f>ЦТО!B421</f>
        <v>0</v>
      </c>
      <c r="C517" s="67">
        <f>ЦТО!C421</f>
        <v>0</v>
      </c>
      <c r="D517" s="63">
        <f>ЦТО!D421</f>
        <v>0</v>
      </c>
      <c r="E517" s="68">
        <f>SUM(ЦТО!BB421:BI421)</f>
        <v>0</v>
      </c>
      <c r="F517" s="64" t="str">
        <f>IF(E517&lt;10,'вспомогательные данные'!$C$26,IF(E517&lt;19,'вспомогательные данные'!$C$25,'вспомогательные данные'!$C$24))</f>
        <v>положительный</v>
      </c>
      <c r="G517" s="65">
        <f>(18-ЦТО!AM421-ЦТО!AL421)/(18-ЦТО!AL421-ЦТО!AP421)</f>
        <v>1</v>
      </c>
      <c r="H517" s="66" t="str">
        <f>IF(G517&lt;0.51,'вспомогательные данные'!$C$19,IF(G517&lt;0.92,'вспомогательные данные'!$C$20, IF(G517&lt;2,'вспомогательные данные'!$C$21,'вспомогательные данные'!$C$22)))</f>
        <v>оптимальная работоспособность</v>
      </c>
      <c r="I517" s="61" t="b">
        <f>IF(OR(ЦТО!AT421=1,ЦТО!AU421=1,ЦТО!AV421=1,ЦТО!AX421=1),"Положительная",IF(OR(ЦТО!AY421=1,ЦТО!AZ421=1,ЦТО!BA421=1),"Отрицательная",IF(OR(ЦТО!AW421=1),"Инфантильная")))</f>
        <v>0</v>
      </c>
    </row>
    <row r="518" spans="1:9">
      <c r="A518" s="62">
        <f>ЦТО!A422</f>
        <v>0</v>
      </c>
      <c r="B518" s="62">
        <f>ЦТО!B422</f>
        <v>0</v>
      </c>
      <c r="C518" s="67">
        <f>ЦТО!C422</f>
        <v>0</v>
      </c>
      <c r="D518" s="63">
        <f>ЦТО!D422</f>
        <v>0</v>
      </c>
      <c r="E518" s="68">
        <f>SUM(ЦТО!BB422:BI422)</f>
        <v>0</v>
      </c>
      <c r="F518" s="64" t="str">
        <f>IF(E518&lt;10,'вспомогательные данные'!$C$26,IF(E518&lt;19,'вспомогательные данные'!$C$25,'вспомогательные данные'!$C$24))</f>
        <v>положительный</v>
      </c>
      <c r="G518" s="65">
        <f>(18-ЦТО!AM422-ЦТО!AL422)/(18-ЦТО!AL422-ЦТО!AP422)</f>
        <v>1</v>
      </c>
      <c r="H518" s="66" t="str">
        <f>IF(G518&lt;0.51,'вспомогательные данные'!$C$19,IF(G518&lt;0.92,'вспомогательные данные'!$C$20, IF(G518&lt;2,'вспомогательные данные'!$C$21,'вспомогательные данные'!$C$22)))</f>
        <v>оптимальная работоспособность</v>
      </c>
      <c r="I518" s="61" t="b">
        <f>IF(OR(ЦТО!AT422=1,ЦТО!AU422=1,ЦТО!AV422=1,ЦТО!AX422=1),"Положительная",IF(OR(ЦТО!AY422=1,ЦТО!AZ422=1,ЦТО!BA422=1),"Отрицательная",IF(OR(ЦТО!AW422=1),"Инфантильная")))</f>
        <v>0</v>
      </c>
    </row>
    <row r="519" spans="1:9">
      <c r="A519" s="62">
        <f>ЦТО!A423</f>
        <v>0</v>
      </c>
      <c r="B519" s="62">
        <f>ЦТО!B423</f>
        <v>0</v>
      </c>
      <c r="C519" s="67">
        <f>ЦТО!C423</f>
        <v>0</v>
      </c>
      <c r="D519" s="63">
        <f>ЦТО!D423</f>
        <v>0</v>
      </c>
      <c r="E519" s="68">
        <f>SUM(ЦТО!BB423:BI423)</f>
        <v>0</v>
      </c>
      <c r="F519" s="64" t="str">
        <f>IF(E519&lt;10,'вспомогательные данные'!$C$26,IF(E519&lt;19,'вспомогательные данные'!$C$25,'вспомогательные данные'!$C$24))</f>
        <v>положительный</v>
      </c>
      <c r="G519" s="65">
        <f>(18-ЦТО!AM423-ЦТО!AL423)/(18-ЦТО!AL423-ЦТО!AP423)</f>
        <v>1</v>
      </c>
      <c r="H519" s="66" t="str">
        <f>IF(G519&lt;0.51,'вспомогательные данные'!$C$19,IF(G519&lt;0.92,'вспомогательные данные'!$C$20, IF(G519&lt;2,'вспомогательные данные'!$C$21,'вспомогательные данные'!$C$22)))</f>
        <v>оптимальная работоспособность</v>
      </c>
      <c r="I519" s="61" t="b">
        <f>IF(OR(ЦТО!AT423=1,ЦТО!AU423=1,ЦТО!AV423=1,ЦТО!AX423=1),"Положительная",IF(OR(ЦТО!AY423=1,ЦТО!AZ423=1,ЦТО!BA423=1),"Отрицательная",IF(OR(ЦТО!AW423=1),"Инфантильная")))</f>
        <v>0</v>
      </c>
    </row>
    <row r="520" spans="1:9">
      <c r="A520" s="62">
        <f>ЦТО!A424</f>
        <v>0</v>
      </c>
      <c r="B520" s="62">
        <f>ЦТО!B424</f>
        <v>0</v>
      </c>
      <c r="C520" s="67">
        <f>ЦТО!C424</f>
        <v>0</v>
      </c>
      <c r="D520" s="63">
        <f>ЦТО!D424</f>
        <v>0</v>
      </c>
      <c r="E520" s="68">
        <f>SUM(ЦТО!BB424:BI424)</f>
        <v>0</v>
      </c>
      <c r="F520" s="64" t="str">
        <f>IF(E520&lt;10,'вспомогательные данные'!$C$26,IF(E520&lt;19,'вспомогательные данные'!$C$25,'вспомогательные данные'!$C$24))</f>
        <v>положительный</v>
      </c>
      <c r="G520" s="65">
        <f>(18-ЦТО!AM424-ЦТО!AL424)/(18-ЦТО!AL424-ЦТО!AP424)</f>
        <v>1</v>
      </c>
      <c r="H520" s="66" t="str">
        <f>IF(G520&lt;0.51,'вспомогательные данные'!$C$19,IF(G520&lt;0.92,'вспомогательные данные'!$C$20, IF(G520&lt;2,'вспомогательные данные'!$C$21,'вспомогательные данные'!$C$22)))</f>
        <v>оптимальная работоспособность</v>
      </c>
      <c r="I520" s="61" t="b">
        <f>IF(OR(ЦТО!AT424=1,ЦТО!AU424=1,ЦТО!AV424=1,ЦТО!AX424=1),"Положительная",IF(OR(ЦТО!AY424=1,ЦТО!AZ424=1,ЦТО!BA424=1),"Отрицательная",IF(OR(ЦТО!AW424=1),"Инфантильная")))</f>
        <v>0</v>
      </c>
    </row>
    <row r="521" spans="1:9">
      <c r="A521" s="62">
        <f>ЦТО!A425</f>
        <v>0</v>
      </c>
      <c r="B521" s="62">
        <f>ЦТО!B425</f>
        <v>0</v>
      </c>
      <c r="C521" s="67">
        <f>ЦТО!C425</f>
        <v>0</v>
      </c>
      <c r="D521" s="63">
        <f>ЦТО!D425</f>
        <v>0</v>
      </c>
      <c r="E521" s="68">
        <f>SUM(ЦТО!BB425:BI425)</f>
        <v>0</v>
      </c>
      <c r="F521" s="64" t="str">
        <f>IF(E521&lt;10,'вспомогательные данные'!$C$26,IF(E521&lt;19,'вспомогательные данные'!$C$25,'вспомогательные данные'!$C$24))</f>
        <v>положительный</v>
      </c>
      <c r="G521" s="65">
        <f>(18-ЦТО!AM425-ЦТО!AL425)/(18-ЦТО!AL425-ЦТО!AP425)</f>
        <v>1</v>
      </c>
      <c r="H521" s="66" t="str">
        <f>IF(G521&lt;0.51,'вспомогательные данные'!$C$19,IF(G521&lt;0.92,'вспомогательные данные'!$C$20, IF(G521&lt;2,'вспомогательные данные'!$C$21,'вспомогательные данные'!$C$22)))</f>
        <v>оптимальная работоспособность</v>
      </c>
      <c r="I521" s="61" t="b">
        <f>IF(OR(ЦТО!AT425=1,ЦТО!AU425=1,ЦТО!AV425=1,ЦТО!AX425=1),"Положительная",IF(OR(ЦТО!AY425=1,ЦТО!AZ425=1,ЦТО!BA425=1),"Отрицательная",IF(OR(ЦТО!AW425=1),"Инфантильная")))</f>
        <v>0</v>
      </c>
    </row>
    <row r="522" spans="1:9">
      <c r="A522" s="62">
        <f>ЦТО!A426</f>
        <v>0</v>
      </c>
      <c r="B522" s="62">
        <f>ЦТО!B426</f>
        <v>0</v>
      </c>
      <c r="C522" s="67">
        <f>ЦТО!C426</f>
        <v>0</v>
      </c>
      <c r="D522" s="63">
        <f>ЦТО!D426</f>
        <v>0</v>
      </c>
      <c r="E522" s="68">
        <f>SUM(ЦТО!BB426:BI426)</f>
        <v>0</v>
      </c>
      <c r="F522" s="64" t="str">
        <f>IF(E522&lt;10,'вспомогательные данные'!$C$26,IF(E522&lt;19,'вспомогательные данные'!$C$25,'вспомогательные данные'!$C$24))</f>
        <v>положительный</v>
      </c>
      <c r="G522" s="65">
        <f>(18-ЦТО!AM426-ЦТО!AL426)/(18-ЦТО!AL426-ЦТО!AP426)</f>
        <v>1</v>
      </c>
      <c r="H522" s="66" t="str">
        <f>IF(G522&lt;0.51,'вспомогательные данные'!$C$19,IF(G522&lt;0.92,'вспомогательные данные'!$C$20, IF(G522&lt;2,'вспомогательные данные'!$C$21,'вспомогательные данные'!$C$22)))</f>
        <v>оптимальная работоспособность</v>
      </c>
      <c r="I522" s="61" t="b">
        <f>IF(OR(ЦТО!AT426=1,ЦТО!AU426=1,ЦТО!AV426=1,ЦТО!AX426=1),"Положительная",IF(OR(ЦТО!AY426=1,ЦТО!AZ426=1,ЦТО!BA426=1),"Отрицательная",IF(OR(ЦТО!AW426=1),"Инфантильная")))</f>
        <v>0</v>
      </c>
    </row>
    <row r="523" spans="1:9">
      <c r="A523" s="62">
        <f>ЦТО!A427</f>
        <v>0</v>
      </c>
      <c r="B523" s="62">
        <f>ЦТО!B427</f>
        <v>0</v>
      </c>
      <c r="C523" s="67">
        <f>ЦТО!C427</f>
        <v>0</v>
      </c>
      <c r="D523" s="63">
        <f>ЦТО!D427</f>
        <v>0</v>
      </c>
      <c r="E523" s="68">
        <f>SUM(ЦТО!BB427:BI427)</f>
        <v>0</v>
      </c>
      <c r="F523" s="64" t="str">
        <f>IF(E523&lt;10,'вспомогательные данные'!$C$26,IF(E523&lt;19,'вспомогательные данные'!$C$25,'вспомогательные данные'!$C$24))</f>
        <v>положительный</v>
      </c>
      <c r="G523" s="65">
        <f>(18-ЦТО!AM427-ЦТО!AL427)/(18-ЦТО!AL427-ЦТО!AP427)</f>
        <v>1</v>
      </c>
      <c r="H523" s="66" t="str">
        <f>IF(G523&lt;0.51,'вспомогательные данные'!$C$19,IF(G523&lt;0.92,'вспомогательные данные'!$C$20, IF(G523&lt;2,'вспомогательные данные'!$C$21,'вспомогательные данные'!$C$22)))</f>
        <v>оптимальная работоспособность</v>
      </c>
      <c r="I523" s="61" t="b">
        <f>IF(OR(ЦТО!AT427=1,ЦТО!AU427=1,ЦТО!AV427=1,ЦТО!AX427=1),"Положительная",IF(OR(ЦТО!AY427=1,ЦТО!AZ427=1,ЦТО!BA427=1),"Отрицательная",IF(OR(ЦТО!AW427=1),"Инфантильная")))</f>
        <v>0</v>
      </c>
    </row>
    <row r="524" spans="1:9">
      <c r="A524" s="62">
        <f>ЦТО!A428</f>
        <v>0</v>
      </c>
      <c r="B524" s="62">
        <f>ЦТО!B428</f>
        <v>0</v>
      </c>
      <c r="C524" s="67">
        <f>ЦТО!C428</f>
        <v>0</v>
      </c>
      <c r="D524" s="63">
        <f>ЦТО!D428</f>
        <v>0</v>
      </c>
      <c r="E524" s="68">
        <f>SUM(ЦТО!BB428:BI428)</f>
        <v>0</v>
      </c>
      <c r="F524" s="64" t="str">
        <f>IF(E524&lt;10,'вспомогательные данные'!$C$26,IF(E524&lt;19,'вспомогательные данные'!$C$25,'вспомогательные данные'!$C$24))</f>
        <v>положительный</v>
      </c>
      <c r="G524" s="65">
        <f>(18-ЦТО!AM428-ЦТО!AL428)/(18-ЦТО!AL428-ЦТО!AP428)</f>
        <v>1</v>
      </c>
      <c r="H524" s="66" t="str">
        <f>IF(G524&lt;0.51,'вспомогательные данные'!$C$19,IF(G524&lt;0.92,'вспомогательные данные'!$C$20, IF(G524&lt;2,'вспомогательные данные'!$C$21,'вспомогательные данные'!$C$22)))</f>
        <v>оптимальная работоспособность</v>
      </c>
      <c r="I524" s="61" t="b">
        <f>IF(OR(ЦТО!AT428=1,ЦТО!AU428=1,ЦТО!AV428=1,ЦТО!AX428=1),"Положительная",IF(OR(ЦТО!AY428=1,ЦТО!AZ428=1,ЦТО!BA428=1),"Отрицательная",IF(OR(ЦТО!AW428=1),"Инфантильная")))</f>
        <v>0</v>
      </c>
    </row>
    <row r="525" spans="1:9">
      <c r="A525" s="62">
        <f>ЦТО!A429</f>
        <v>0</v>
      </c>
      <c r="B525" s="62">
        <f>ЦТО!B429</f>
        <v>0</v>
      </c>
      <c r="C525" s="67">
        <f>ЦТО!C429</f>
        <v>0</v>
      </c>
      <c r="D525" s="63">
        <f>ЦТО!D429</f>
        <v>0</v>
      </c>
      <c r="E525" s="68">
        <f>SUM(ЦТО!BB429:BI429)</f>
        <v>0</v>
      </c>
      <c r="F525" s="64" t="str">
        <f>IF(E525&lt;10,'вспомогательные данные'!$C$26,IF(E525&lt;19,'вспомогательные данные'!$C$25,'вспомогательные данные'!$C$24))</f>
        <v>положительный</v>
      </c>
      <c r="G525" s="65">
        <f>(18-ЦТО!AM429-ЦТО!AL429)/(18-ЦТО!AL429-ЦТО!AP429)</f>
        <v>1</v>
      </c>
      <c r="H525" s="66" t="str">
        <f>IF(G525&lt;0.51,'вспомогательные данные'!$C$19,IF(G525&lt;0.92,'вспомогательные данные'!$C$20, IF(G525&lt;2,'вспомогательные данные'!$C$21,'вспомогательные данные'!$C$22)))</f>
        <v>оптимальная работоспособность</v>
      </c>
      <c r="I525" s="61" t="b">
        <f>IF(OR(ЦТО!AT429=1,ЦТО!AU429=1,ЦТО!AV429=1,ЦТО!AX429=1),"Положительная",IF(OR(ЦТО!AY429=1,ЦТО!AZ429=1,ЦТО!BA429=1),"Отрицательная",IF(OR(ЦТО!AW429=1),"Инфантильная")))</f>
        <v>0</v>
      </c>
    </row>
    <row r="526" spans="1:9">
      <c r="A526" s="62">
        <f>ЦТО!A430</f>
        <v>0</v>
      </c>
      <c r="B526" s="62">
        <f>ЦТО!B430</f>
        <v>0</v>
      </c>
      <c r="C526" s="67">
        <f>ЦТО!C430</f>
        <v>0</v>
      </c>
      <c r="D526" s="63">
        <f>ЦТО!D430</f>
        <v>0</v>
      </c>
      <c r="E526" s="68">
        <f>SUM(ЦТО!BB430:BI430)</f>
        <v>0</v>
      </c>
      <c r="F526" s="64" t="str">
        <f>IF(E526&lt;10,'вспомогательные данные'!$C$26,IF(E526&lt;19,'вспомогательные данные'!$C$25,'вспомогательные данные'!$C$24))</f>
        <v>положительный</v>
      </c>
      <c r="G526" s="65">
        <f>(18-ЦТО!AM430-ЦТО!AL430)/(18-ЦТО!AL430-ЦТО!AP430)</f>
        <v>1</v>
      </c>
      <c r="H526" s="66" t="str">
        <f>IF(G526&lt;0.51,'вспомогательные данные'!$C$19,IF(G526&lt;0.92,'вспомогательные данные'!$C$20, IF(G526&lt;2,'вспомогательные данные'!$C$21,'вспомогательные данные'!$C$22)))</f>
        <v>оптимальная работоспособность</v>
      </c>
      <c r="I526" s="61" t="b">
        <f>IF(OR(ЦТО!AT430=1,ЦТО!AU430=1,ЦТО!AV430=1,ЦТО!AX430=1),"Положительная",IF(OR(ЦТО!AY430=1,ЦТО!AZ430=1,ЦТО!BA430=1),"Отрицательная",IF(OR(ЦТО!AW430=1),"Инфантильная")))</f>
        <v>0</v>
      </c>
    </row>
    <row r="527" spans="1:9">
      <c r="A527" s="62">
        <f>ЦТО!A431</f>
        <v>0</v>
      </c>
      <c r="B527" s="62">
        <f>ЦТО!B431</f>
        <v>0</v>
      </c>
      <c r="C527" s="67">
        <f>ЦТО!C431</f>
        <v>0</v>
      </c>
      <c r="D527" s="63">
        <f>ЦТО!D431</f>
        <v>0</v>
      </c>
      <c r="E527" s="68">
        <f>SUM(ЦТО!BB431:BI431)</f>
        <v>0</v>
      </c>
      <c r="F527" s="64" t="str">
        <f>IF(E527&lt;10,'вспомогательные данные'!$C$26,IF(E527&lt;19,'вспомогательные данные'!$C$25,'вспомогательные данные'!$C$24))</f>
        <v>положительный</v>
      </c>
      <c r="G527" s="65">
        <f>(18-ЦТО!AM431-ЦТО!AL431)/(18-ЦТО!AL431-ЦТО!AP431)</f>
        <v>1</v>
      </c>
      <c r="H527" s="66" t="str">
        <f>IF(G527&lt;0.51,'вспомогательные данные'!$C$19,IF(G527&lt;0.92,'вспомогательные данные'!$C$20, IF(G527&lt;2,'вспомогательные данные'!$C$21,'вспомогательные данные'!$C$22)))</f>
        <v>оптимальная работоспособность</v>
      </c>
      <c r="I527" s="61" t="b">
        <f>IF(OR(ЦТО!AT431=1,ЦТО!AU431=1,ЦТО!AV431=1,ЦТО!AX431=1),"Положительная",IF(OR(ЦТО!AY431=1,ЦТО!AZ431=1,ЦТО!BA431=1),"Отрицательная",IF(OR(ЦТО!AW431=1),"Инфантильная")))</f>
        <v>0</v>
      </c>
    </row>
    <row r="528" spans="1:9">
      <c r="A528" s="62">
        <f>ЦТО!A432</f>
        <v>0</v>
      </c>
      <c r="B528" s="62">
        <f>ЦТО!B432</f>
        <v>0</v>
      </c>
      <c r="C528" s="67">
        <f>ЦТО!C432</f>
        <v>0</v>
      </c>
      <c r="D528" s="63">
        <f>ЦТО!D432</f>
        <v>0</v>
      </c>
      <c r="E528" s="68">
        <f>SUM(ЦТО!BB432:BI432)</f>
        <v>0</v>
      </c>
      <c r="F528" s="64" t="str">
        <f>IF(E528&lt;10,'вспомогательные данные'!$C$26,IF(E528&lt;19,'вспомогательные данные'!$C$25,'вспомогательные данные'!$C$24))</f>
        <v>положительный</v>
      </c>
      <c r="G528" s="65">
        <f>(18-ЦТО!AM432-ЦТО!AL432)/(18-ЦТО!AL432-ЦТО!AP432)</f>
        <v>1</v>
      </c>
      <c r="H528" s="66" t="str">
        <f>IF(G528&lt;0.51,'вспомогательные данные'!$C$19,IF(G528&lt;0.92,'вспомогательные данные'!$C$20, IF(G528&lt;2,'вспомогательные данные'!$C$21,'вспомогательные данные'!$C$22)))</f>
        <v>оптимальная работоспособность</v>
      </c>
      <c r="I528" s="61" t="b">
        <f>IF(OR(ЦТО!AT432=1,ЦТО!AU432=1,ЦТО!AV432=1,ЦТО!AX432=1),"Положительная",IF(OR(ЦТО!AY432=1,ЦТО!AZ432=1,ЦТО!BA432=1),"Отрицательная",IF(OR(ЦТО!AW432=1),"Инфантильная")))</f>
        <v>0</v>
      </c>
    </row>
    <row r="529" spans="1:9">
      <c r="A529" s="62">
        <f>ЦТО!A433</f>
        <v>0</v>
      </c>
      <c r="B529" s="62">
        <f>ЦТО!B433</f>
        <v>0</v>
      </c>
      <c r="C529" s="67">
        <f>ЦТО!C433</f>
        <v>0</v>
      </c>
      <c r="D529" s="63">
        <f>ЦТО!D433</f>
        <v>0</v>
      </c>
      <c r="E529" s="68">
        <f>SUM(ЦТО!BB433:BI433)</f>
        <v>0</v>
      </c>
      <c r="F529" s="64" t="str">
        <f>IF(E529&lt;10,'вспомогательные данные'!$C$26,IF(E529&lt;19,'вспомогательные данные'!$C$25,'вспомогательные данные'!$C$24))</f>
        <v>положительный</v>
      </c>
      <c r="G529" s="65">
        <f>(18-ЦТО!AM433-ЦТО!AL433)/(18-ЦТО!AL433-ЦТО!AP433)</f>
        <v>1</v>
      </c>
      <c r="H529" s="66" t="str">
        <f>IF(G529&lt;0.51,'вспомогательные данные'!$C$19,IF(G529&lt;0.92,'вспомогательные данные'!$C$20, IF(G529&lt;2,'вспомогательные данные'!$C$21,'вспомогательные данные'!$C$22)))</f>
        <v>оптимальная работоспособность</v>
      </c>
      <c r="I529" s="61" t="b">
        <f>IF(OR(ЦТО!AT433=1,ЦТО!AU433=1,ЦТО!AV433=1,ЦТО!AX433=1),"Положительная",IF(OR(ЦТО!AY433=1,ЦТО!AZ433=1,ЦТО!BA433=1),"Отрицательная",IF(OR(ЦТО!AW433=1),"Инфантильная")))</f>
        <v>0</v>
      </c>
    </row>
    <row r="530" spans="1:9">
      <c r="A530" s="62">
        <f>ЦТО!A434</f>
        <v>0</v>
      </c>
      <c r="B530" s="62">
        <f>ЦТО!B434</f>
        <v>0</v>
      </c>
      <c r="C530" s="67">
        <f>ЦТО!C434</f>
        <v>0</v>
      </c>
      <c r="D530" s="63">
        <f>ЦТО!D434</f>
        <v>0</v>
      </c>
      <c r="E530" s="68">
        <f>SUM(ЦТО!BB434:BI434)</f>
        <v>0</v>
      </c>
      <c r="F530" s="64" t="str">
        <f>IF(E530&lt;10,'вспомогательные данные'!$C$26,IF(E530&lt;19,'вспомогательные данные'!$C$25,'вспомогательные данные'!$C$24))</f>
        <v>положительный</v>
      </c>
      <c r="G530" s="65">
        <f>(18-ЦТО!AM434-ЦТО!AL434)/(18-ЦТО!AL434-ЦТО!AP434)</f>
        <v>1</v>
      </c>
      <c r="H530" s="66" t="str">
        <f>IF(G530&lt;0.51,'вспомогательные данные'!$C$19,IF(G530&lt;0.92,'вспомогательные данные'!$C$20, IF(G530&lt;2,'вспомогательные данные'!$C$21,'вспомогательные данные'!$C$22)))</f>
        <v>оптимальная работоспособность</v>
      </c>
      <c r="I530" s="61" t="b">
        <f>IF(OR(ЦТО!AT434=1,ЦТО!AU434=1,ЦТО!AV434=1,ЦТО!AX434=1),"Положительная",IF(OR(ЦТО!AY434=1,ЦТО!AZ434=1,ЦТО!BA434=1),"Отрицательная",IF(OR(ЦТО!AW434=1),"Инфантильная")))</f>
        <v>0</v>
      </c>
    </row>
    <row r="531" spans="1:9">
      <c r="A531" s="62">
        <f>ЦТО!A435</f>
        <v>0</v>
      </c>
      <c r="B531" s="62">
        <f>ЦТО!B435</f>
        <v>0</v>
      </c>
      <c r="C531" s="67">
        <f>ЦТО!C435</f>
        <v>0</v>
      </c>
      <c r="D531" s="63">
        <f>ЦТО!D435</f>
        <v>0</v>
      </c>
      <c r="E531" s="68">
        <f>SUM(ЦТО!BB435:BI435)</f>
        <v>0</v>
      </c>
      <c r="F531" s="64" t="str">
        <f>IF(E531&lt;10,'вспомогательные данные'!$C$26,IF(E531&lt;19,'вспомогательные данные'!$C$25,'вспомогательные данные'!$C$24))</f>
        <v>положительный</v>
      </c>
      <c r="G531" s="65">
        <f>(18-ЦТО!AM435-ЦТО!AL435)/(18-ЦТО!AL435-ЦТО!AP435)</f>
        <v>1</v>
      </c>
      <c r="H531" s="66" t="str">
        <f>IF(G531&lt;0.51,'вспомогательные данные'!$C$19,IF(G531&lt;0.92,'вспомогательные данные'!$C$20, IF(G531&lt;2,'вспомогательные данные'!$C$21,'вспомогательные данные'!$C$22)))</f>
        <v>оптимальная работоспособность</v>
      </c>
      <c r="I531" s="61" t="b">
        <f>IF(OR(ЦТО!AT435=1,ЦТО!AU435=1,ЦТО!AV435=1,ЦТО!AX435=1),"Положительная",IF(OR(ЦТО!AY435=1,ЦТО!AZ435=1,ЦТО!BA435=1),"Отрицательная",IF(OR(ЦТО!AW435=1),"Инфантильная")))</f>
        <v>0</v>
      </c>
    </row>
    <row r="532" spans="1:9">
      <c r="A532" s="62">
        <f>ЦТО!A436</f>
        <v>0</v>
      </c>
      <c r="B532" s="62">
        <f>ЦТО!B436</f>
        <v>0</v>
      </c>
      <c r="C532" s="67">
        <f>ЦТО!C436</f>
        <v>0</v>
      </c>
      <c r="D532" s="63">
        <f>ЦТО!D436</f>
        <v>0</v>
      </c>
      <c r="E532" s="68">
        <f>SUM(ЦТО!BB436:BI436)</f>
        <v>0</v>
      </c>
      <c r="F532" s="64" t="str">
        <f>IF(E532&lt;10,'вспомогательные данные'!$C$26,IF(E532&lt;19,'вспомогательные данные'!$C$25,'вспомогательные данные'!$C$24))</f>
        <v>положительный</v>
      </c>
      <c r="G532" s="65">
        <f>(18-ЦТО!AM436-ЦТО!AL436)/(18-ЦТО!AL436-ЦТО!AP436)</f>
        <v>1</v>
      </c>
      <c r="H532" s="66" t="str">
        <f>IF(G532&lt;0.51,'вспомогательные данные'!$C$19,IF(G532&lt;0.92,'вспомогательные данные'!$C$20, IF(G532&lt;2,'вспомогательные данные'!$C$21,'вспомогательные данные'!$C$22)))</f>
        <v>оптимальная работоспособность</v>
      </c>
      <c r="I532" s="61" t="b">
        <f>IF(OR(ЦТО!AT436=1,ЦТО!AU436=1,ЦТО!AV436=1,ЦТО!AX436=1),"Положительная",IF(OR(ЦТО!AY436=1,ЦТО!AZ436=1,ЦТО!BA436=1),"Отрицательная",IF(OR(ЦТО!AW436=1),"Инфантильная")))</f>
        <v>0</v>
      </c>
    </row>
    <row r="533" spans="1:9">
      <c r="A533" s="62">
        <f>ЦТО!A437</f>
        <v>0</v>
      </c>
      <c r="B533" s="62">
        <f>ЦТО!B437</f>
        <v>0</v>
      </c>
      <c r="C533" s="67">
        <f>ЦТО!C437</f>
        <v>0</v>
      </c>
      <c r="D533" s="63">
        <f>ЦТО!D437</f>
        <v>0</v>
      </c>
      <c r="E533" s="68">
        <f>SUM(ЦТО!BB437:BI437)</f>
        <v>0</v>
      </c>
      <c r="F533" s="64" t="str">
        <f>IF(E533&lt;10,'вспомогательные данные'!$C$26,IF(E533&lt;19,'вспомогательные данные'!$C$25,'вспомогательные данные'!$C$24))</f>
        <v>положительный</v>
      </c>
      <c r="G533" s="65">
        <f>(18-ЦТО!AM437-ЦТО!AL437)/(18-ЦТО!AL437-ЦТО!AP437)</f>
        <v>1</v>
      </c>
      <c r="H533" s="66" t="str">
        <f>IF(G533&lt;0.51,'вспомогательные данные'!$C$19,IF(G533&lt;0.92,'вспомогательные данные'!$C$20, IF(G533&lt;2,'вспомогательные данные'!$C$21,'вспомогательные данные'!$C$22)))</f>
        <v>оптимальная работоспособность</v>
      </c>
      <c r="I533" s="61" t="b">
        <f>IF(OR(ЦТО!AT437=1,ЦТО!AU437=1,ЦТО!AV437=1,ЦТО!AX437=1),"Положительная",IF(OR(ЦТО!AY437=1,ЦТО!AZ437=1,ЦТО!BA437=1),"Отрицательная",IF(OR(ЦТО!AW437=1),"Инфантильная")))</f>
        <v>0</v>
      </c>
    </row>
    <row r="534" spans="1:9">
      <c r="A534" s="62">
        <f>ЦТО!A438</f>
        <v>0</v>
      </c>
      <c r="B534" s="62">
        <f>ЦТО!B438</f>
        <v>0</v>
      </c>
      <c r="C534" s="67">
        <f>ЦТО!C438</f>
        <v>0</v>
      </c>
      <c r="D534" s="63">
        <f>ЦТО!D438</f>
        <v>0</v>
      </c>
      <c r="E534" s="68">
        <f>SUM(ЦТО!BB438:BI438)</f>
        <v>0</v>
      </c>
      <c r="F534" s="64" t="str">
        <f>IF(E534&lt;10,'вспомогательные данные'!$C$26,IF(E534&lt;19,'вспомогательные данные'!$C$25,'вспомогательные данные'!$C$24))</f>
        <v>положительный</v>
      </c>
      <c r="G534" s="65">
        <f>(18-ЦТО!AM438-ЦТО!AL438)/(18-ЦТО!AL438-ЦТО!AP438)</f>
        <v>1</v>
      </c>
      <c r="H534" s="66" t="str">
        <f>IF(G534&lt;0.51,'вспомогательные данные'!$C$19,IF(G534&lt;0.92,'вспомогательные данные'!$C$20, IF(G534&lt;2,'вспомогательные данные'!$C$21,'вспомогательные данные'!$C$22)))</f>
        <v>оптимальная работоспособность</v>
      </c>
      <c r="I534" s="61" t="b">
        <f>IF(OR(ЦТО!AT438=1,ЦТО!AU438=1,ЦТО!AV438=1,ЦТО!AX438=1),"Положительная",IF(OR(ЦТО!AY438=1,ЦТО!AZ438=1,ЦТО!BA438=1),"Отрицательная",IF(OR(ЦТО!AW438=1),"Инфантильная")))</f>
        <v>0</v>
      </c>
    </row>
    <row r="535" spans="1:9">
      <c r="A535" s="62">
        <f>ЦТО!A439</f>
        <v>0</v>
      </c>
      <c r="B535" s="62">
        <f>ЦТО!B439</f>
        <v>0</v>
      </c>
      <c r="C535" s="67">
        <f>ЦТО!C439</f>
        <v>0</v>
      </c>
      <c r="D535" s="63">
        <f>ЦТО!D439</f>
        <v>0</v>
      </c>
      <c r="E535" s="68">
        <f>SUM(ЦТО!BB439:BI439)</f>
        <v>0</v>
      </c>
      <c r="F535" s="64" t="str">
        <f>IF(E535&lt;10,'вспомогательные данные'!$C$26,IF(E535&lt;19,'вспомогательные данные'!$C$25,'вспомогательные данные'!$C$24))</f>
        <v>положительный</v>
      </c>
      <c r="G535" s="65">
        <f>(18-ЦТО!AM439-ЦТО!AL439)/(18-ЦТО!AL439-ЦТО!AP439)</f>
        <v>1</v>
      </c>
      <c r="H535" s="66" t="str">
        <f>IF(G535&lt;0.51,'вспомогательные данные'!$C$19,IF(G535&lt;0.92,'вспомогательные данные'!$C$20, IF(G535&lt;2,'вспомогательные данные'!$C$21,'вспомогательные данные'!$C$22)))</f>
        <v>оптимальная работоспособность</v>
      </c>
      <c r="I535" s="61" t="b">
        <f>IF(OR(ЦТО!AT439=1,ЦТО!AU439=1,ЦТО!AV439=1,ЦТО!AX439=1),"Положительная",IF(OR(ЦТО!AY439=1,ЦТО!AZ439=1,ЦТО!BA439=1),"Отрицательная",IF(OR(ЦТО!AW439=1),"Инфантильная")))</f>
        <v>0</v>
      </c>
    </row>
    <row r="536" spans="1:9">
      <c r="A536" s="62">
        <f>ЦТО!A440</f>
        <v>0</v>
      </c>
      <c r="B536" s="62">
        <f>ЦТО!B440</f>
        <v>0</v>
      </c>
      <c r="C536" s="67">
        <f>ЦТО!C440</f>
        <v>0</v>
      </c>
      <c r="D536" s="63">
        <f>ЦТО!D440</f>
        <v>0</v>
      </c>
      <c r="E536" s="68">
        <f>SUM(ЦТО!BB440:BI440)</f>
        <v>0</v>
      </c>
      <c r="F536" s="64" t="str">
        <f>IF(E536&lt;10,'вспомогательные данные'!$C$26,IF(E536&lt;19,'вспомогательные данные'!$C$25,'вспомогательные данные'!$C$24))</f>
        <v>положительный</v>
      </c>
      <c r="G536" s="65">
        <f>(18-ЦТО!AM440-ЦТО!AL440)/(18-ЦТО!AL440-ЦТО!AP440)</f>
        <v>1</v>
      </c>
      <c r="H536" s="66" t="str">
        <f>IF(G536&lt;0.51,'вспомогательные данные'!$C$19,IF(G536&lt;0.92,'вспомогательные данные'!$C$20, IF(G536&lt;2,'вспомогательные данные'!$C$21,'вспомогательные данные'!$C$22)))</f>
        <v>оптимальная работоспособность</v>
      </c>
      <c r="I536" s="61" t="b">
        <f>IF(OR(ЦТО!AT440=1,ЦТО!AU440=1,ЦТО!AV440=1,ЦТО!AX440=1),"Положительная",IF(OR(ЦТО!AY440=1,ЦТО!AZ440=1,ЦТО!BA440=1),"Отрицательная",IF(OR(ЦТО!AW440=1),"Инфантильная")))</f>
        <v>0</v>
      </c>
    </row>
    <row r="537" spans="1:9">
      <c r="A537" s="62">
        <f>ЦТО!A441</f>
        <v>0</v>
      </c>
      <c r="B537" s="62">
        <f>ЦТО!B441</f>
        <v>0</v>
      </c>
      <c r="C537" s="67">
        <f>ЦТО!C441</f>
        <v>0</v>
      </c>
      <c r="D537" s="63">
        <f>ЦТО!D441</f>
        <v>0</v>
      </c>
      <c r="E537" s="68">
        <f>SUM(ЦТО!BB441:BI441)</f>
        <v>0</v>
      </c>
      <c r="F537" s="64" t="str">
        <f>IF(E537&lt;10,'вспомогательные данные'!$C$26,IF(E537&lt;19,'вспомогательные данные'!$C$25,'вспомогательные данные'!$C$24))</f>
        <v>положительный</v>
      </c>
      <c r="G537" s="65">
        <f>(18-ЦТО!AM441-ЦТО!AL441)/(18-ЦТО!AL441-ЦТО!AP441)</f>
        <v>1</v>
      </c>
      <c r="H537" s="66" t="str">
        <f>IF(G537&lt;0.51,'вспомогательные данные'!$C$19,IF(G537&lt;0.92,'вспомогательные данные'!$C$20, IF(G537&lt;2,'вспомогательные данные'!$C$21,'вспомогательные данные'!$C$22)))</f>
        <v>оптимальная работоспособность</v>
      </c>
      <c r="I537" s="61" t="b">
        <f>IF(OR(ЦТО!AT441=1,ЦТО!AU441=1,ЦТО!AV441=1,ЦТО!AX441=1),"Положительная",IF(OR(ЦТО!AY441=1,ЦТО!AZ441=1,ЦТО!BA441=1),"Отрицательная",IF(OR(ЦТО!AW441=1),"Инфантильная")))</f>
        <v>0</v>
      </c>
    </row>
    <row r="538" spans="1:9">
      <c r="A538" s="62">
        <f>ЦТО!A442</f>
        <v>0</v>
      </c>
      <c r="B538" s="62">
        <f>ЦТО!B442</f>
        <v>0</v>
      </c>
      <c r="C538" s="67">
        <f>ЦТО!C442</f>
        <v>0</v>
      </c>
      <c r="D538" s="63">
        <f>ЦТО!D442</f>
        <v>0</v>
      </c>
      <c r="E538" s="68">
        <f>SUM(ЦТО!BB442:BI442)</f>
        <v>0</v>
      </c>
      <c r="F538" s="64" t="str">
        <f>IF(E538&lt;10,'вспомогательные данные'!$C$26,IF(E538&lt;19,'вспомогательные данные'!$C$25,'вспомогательные данные'!$C$24))</f>
        <v>положительный</v>
      </c>
      <c r="G538" s="65">
        <f>(18-ЦТО!AM442-ЦТО!AL442)/(18-ЦТО!AL442-ЦТО!AP442)</f>
        <v>1</v>
      </c>
      <c r="H538" s="66" t="str">
        <f>IF(G538&lt;0.51,'вспомогательные данные'!$C$19,IF(G538&lt;0.92,'вспомогательные данные'!$C$20, IF(G538&lt;2,'вспомогательные данные'!$C$21,'вспомогательные данные'!$C$22)))</f>
        <v>оптимальная работоспособность</v>
      </c>
      <c r="I538" s="61" t="b">
        <f>IF(OR(ЦТО!AT442=1,ЦТО!AU442=1,ЦТО!AV442=1,ЦТО!AX442=1),"Положительная",IF(OR(ЦТО!AY442=1,ЦТО!AZ442=1,ЦТО!BA442=1),"Отрицательная",IF(OR(ЦТО!AW442=1),"Инфантильная")))</f>
        <v>0</v>
      </c>
    </row>
    <row r="539" spans="1:9">
      <c r="A539" s="62">
        <f>ЦТО!A443</f>
        <v>0</v>
      </c>
      <c r="B539" s="62">
        <f>ЦТО!B443</f>
        <v>0</v>
      </c>
      <c r="C539" s="67">
        <f>ЦТО!C443</f>
        <v>0</v>
      </c>
      <c r="D539" s="63">
        <f>ЦТО!D443</f>
        <v>0</v>
      </c>
      <c r="E539" s="68">
        <f>SUM(ЦТО!BB443:BI443)</f>
        <v>0</v>
      </c>
      <c r="F539" s="64" t="str">
        <f>IF(E539&lt;10,'вспомогательные данные'!$C$26,IF(E539&lt;19,'вспомогательные данные'!$C$25,'вспомогательные данные'!$C$24))</f>
        <v>положительный</v>
      </c>
      <c r="G539" s="65">
        <f>(18-ЦТО!AM443-ЦТО!AL443)/(18-ЦТО!AL443-ЦТО!AP443)</f>
        <v>1</v>
      </c>
      <c r="H539" s="66" t="str">
        <f>IF(G539&lt;0.51,'вспомогательные данные'!$C$19,IF(G539&lt;0.92,'вспомогательные данные'!$C$20, IF(G539&lt;2,'вспомогательные данные'!$C$21,'вспомогательные данные'!$C$22)))</f>
        <v>оптимальная работоспособность</v>
      </c>
      <c r="I539" s="61" t="b">
        <f>IF(OR(ЦТО!AT443=1,ЦТО!AU443=1,ЦТО!AV443=1,ЦТО!AX443=1),"Положительная",IF(OR(ЦТО!AY443=1,ЦТО!AZ443=1,ЦТО!BA443=1),"Отрицательная",IF(OR(ЦТО!AW443=1),"Инфантильная")))</f>
        <v>0</v>
      </c>
    </row>
    <row r="540" spans="1:9">
      <c r="A540" s="62">
        <f>ЦТО!A444</f>
        <v>0</v>
      </c>
      <c r="B540" s="62">
        <f>ЦТО!B444</f>
        <v>0</v>
      </c>
      <c r="C540" s="67">
        <f>ЦТО!C444</f>
        <v>0</v>
      </c>
      <c r="D540" s="63">
        <f>ЦТО!D444</f>
        <v>0</v>
      </c>
      <c r="E540" s="68">
        <f>SUM(ЦТО!BB444:BI444)</f>
        <v>0</v>
      </c>
      <c r="F540" s="64" t="str">
        <f>IF(E540&lt;10,'вспомогательные данные'!$C$26,IF(E540&lt;19,'вспомогательные данные'!$C$25,'вспомогательные данные'!$C$24))</f>
        <v>положительный</v>
      </c>
      <c r="G540" s="65">
        <f>(18-ЦТО!AM444-ЦТО!AL444)/(18-ЦТО!AL444-ЦТО!AP444)</f>
        <v>1</v>
      </c>
      <c r="H540" s="66" t="str">
        <f>IF(G540&lt;0.51,'вспомогательные данные'!$C$19,IF(G540&lt;0.92,'вспомогательные данные'!$C$20, IF(G540&lt;2,'вспомогательные данные'!$C$21,'вспомогательные данные'!$C$22)))</f>
        <v>оптимальная работоспособность</v>
      </c>
      <c r="I540" s="61" t="b">
        <f>IF(OR(ЦТО!AT444=1,ЦТО!AU444=1,ЦТО!AV444=1,ЦТО!AX444=1),"Положительная",IF(OR(ЦТО!AY444=1,ЦТО!AZ444=1,ЦТО!BA444=1),"Отрицательная",IF(OR(ЦТО!AW444=1),"Инфантильная")))</f>
        <v>0</v>
      </c>
    </row>
    <row r="541" spans="1:9">
      <c r="A541" s="62">
        <f>ЦТО!A445</f>
        <v>0</v>
      </c>
      <c r="B541" s="62">
        <f>ЦТО!B445</f>
        <v>0</v>
      </c>
      <c r="C541" s="67">
        <f>ЦТО!C445</f>
        <v>0</v>
      </c>
      <c r="D541" s="63">
        <f>ЦТО!D445</f>
        <v>0</v>
      </c>
      <c r="E541" s="68">
        <f>SUM(ЦТО!BB445:BI445)</f>
        <v>0</v>
      </c>
      <c r="F541" s="64" t="str">
        <f>IF(E541&lt;10,'вспомогательные данные'!$C$26,IF(E541&lt;19,'вспомогательные данные'!$C$25,'вспомогательные данные'!$C$24))</f>
        <v>положительный</v>
      </c>
      <c r="G541" s="65">
        <f>(18-ЦТО!AM445-ЦТО!AL445)/(18-ЦТО!AL445-ЦТО!AP445)</f>
        <v>1</v>
      </c>
      <c r="H541" s="66" t="str">
        <f>IF(G541&lt;0.51,'вспомогательные данные'!$C$19,IF(G541&lt;0.92,'вспомогательные данные'!$C$20, IF(G541&lt;2,'вспомогательные данные'!$C$21,'вспомогательные данные'!$C$22)))</f>
        <v>оптимальная работоспособность</v>
      </c>
      <c r="I541" s="61" t="b">
        <f>IF(OR(ЦТО!AT445=1,ЦТО!AU445=1,ЦТО!AV445=1,ЦТО!AX445=1),"Положительная",IF(OR(ЦТО!AY445=1,ЦТО!AZ445=1,ЦТО!BA445=1),"Отрицательная",IF(OR(ЦТО!AW445=1),"Инфантильная")))</f>
        <v>0</v>
      </c>
    </row>
    <row r="542" spans="1:9">
      <c r="A542" s="62">
        <f>ЦТО!A446</f>
        <v>0</v>
      </c>
      <c r="B542" s="62">
        <f>ЦТО!B446</f>
        <v>0</v>
      </c>
      <c r="C542" s="67">
        <f>ЦТО!C446</f>
        <v>0</v>
      </c>
      <c r="D542" s="63">
        <f>ЦТО!D446</f>
        <v>0</v>
      </c>
      <c r="E542" s="68">
        <f>SUM(ЦТО!BB446:BI446)</f>
        <v>0</v>
      </c>
      <c r="F542" s="64" t="str">
        <f>IF(E542&lt;10,'вспомогательные данные'!$C$26,IF(E542&lt;19,'вспомогательные данные'!$C$25,'вспомогательные данные'!$C$24))</f>
        <v>положительный</v>
      </c>
      <c r="G542" s="65">
        <f>(18-ЦТО!AM446-ЦТО!AL446)/(18-ЦТО!AL446-ЦТО!AP446)</f>
        <v>1</v>
      </c>
      <c r="H542" s="66" t="str">
        <f>IF(G542&lt;0.51,'вспомогательные данные'!$C$19,IF(G542&lt;0.92,'вспомогательные данные'!$C$20, IF(G542&lt;2,'вспомогательные данные'!$C$21,'вспомогательные данные'!$C$22)))</f>
        <v>оптимальная работоспособность</v>
      </c>
      <c r="I542" s="61" t="b">
        <f>IF(OR(ЦТО!AT446=1,ЦТО!AU446=1,ЦТО!AV446=1,ЦТО!AX446=1),"Положительная",IF(OR(ЦТО!AY446=1,ЦТО!AZ446=1,ЦТО!BA446=1),"Отрицательная",IF(OR(ЦТО!AW446=1),"Инфантильная")))</f>
        <v>0</v>
      </c>
    </row>
    <row r="543" spans="1:9">
      <c r="A543" s="62">
        <f>ЦТО!A447</f>
        <v>0</v>
      </c>
      <c r="B543" s="62">
        <f>ЦТО!B447</f>
        <v>0</v>
      </c>
      <c r="C543" s="67">
        <f>ЦТО!C447</f>
        <v>0</v>
      </c>
      <c r="D543" s="63">
        <f>ЦТО!D447</f>
        <v>0</v>
      </c>
      <c r="E543" s="68">
        <f>SUM(ЦТО!BB447:BI447)</f>
        <v>0</v>
      </c>
      <c r="F543" s="64" t="str">
        <f>IF(E543&lt;10,'вспомогательные данные'!$C$26,IF(E543&lt;19,'вспомогательные данные'!$C$25,'вспомогательные данные'!$C$24))</f>
        <v>положительный</v>
      </c>
      <c r="G543" s="65">
        <f>(18-ЦТО!AM447-ЦТО!AL447)/(18-ЦТО!AL447-ЦТО!AP447)</f>
        <v>1</v>
      </c>
      <c r="H543" s="66" t="str">
        <f>IF(G543&lt;0.51,'вспомогательные данные'!$C$19,IF(G543&lt;0.92,'вспомогательные данные'!$C$20, IF(G543&lt;2,'вспомогательные данные'!$C$21,'вспомогательные данные'!$C$22)))</f>
        <v>оптимальная работоспособность</v>
      </c>
      <c r="I543" s="61" t="b">
        <f>IF(OR(ЦТО!AT447=1,ЦТО!AU447=1,ЦТО!AV447=1,ЦТО!AX447=1),"Положительная",IF(OR(ЦТО!AY447=1,ЦТО!AZ447=1,ЦТО!BA447=1),"Отрицательная",IF(OR(ЦТО!AW447=1),"Инфантильная")))</f>
        <v>0</v>
      </c>
    </row>
    <row r="544" spans="1:9">
      <c r="A544" s="62">
        <f>ЦТО!A448</f>
        <v>0</v>
      </c>
      <c r="B544" s="62">
        <f>ЦТО!B448</f>
        <v>0</v>
      </c>
      <c r="C544" s="67">
        <f>ЦТО!C448</f>
        <v>0</v>
      </c>
      <c r="D544" s="63">
        <f>ЦТО!D448</f>
        <v>0</v>
      </c>
      <c r="E544" s="68">
        <f>SUM(ЦТО!BB448:BI448)</f>
        <v>0</v>
      </c>
      <c r="F544" s="64" t="str">
        <f>IF(E544&lt;10,'вспомогательные данные'!$C$26,IF(E544&lt;19,'вспомогательные данные'!$C$25,'вспомогательные данные'!$C$24))</f>
        <v>положительный</v>
      </c>
      <c r="G544" s="65">
        <f>(18-ЦТО!AM448-ЦТО!AL448)/(18-ЦТО!AL448-ЦТО!AP448)</f>
        <v>1</v>
      </c>
      <c r="H544" s="66" t="str">
        <f>IF(G544&lt;0.51,'вспомогательные данные'!$C$19,IF(G544&lt;0.92,'вспомогательные данные'!$C$20, IF(G544&lt;2,'вспомогательные данные'!$C$21,'вспомогательные данные'!$C$22)))</f>
        <v>оптимальная работоспособность</v>
      </c>
      <c r="I544" s="61" t="b">
        <f>IF(OR(ЦТО!AT448=1,ЦТО!AU448=1,ЦТО!AV448=1,ЦТО!AX448=1),"Положительная",IF(OR(ЦТО!AY448=1,ЦТО!AZ448=1,ЦТО!BA448=1),"Отрицательная",IF(OR(ЦТО!AW448=1),"Инфантильная")))</f>
        <v>0</v>
      </c>
    </row>
    <row r="545" spans="1:9">
      <c r="A545" s="62">
        <f>ЦТО!A449</f>
        <v>0</v>
      </c>
      <c r="B545" s="62">
        <f>ЦТО!B449</f>
        <v>0</v>
      </c>
      <c r="C545" s="67">
        <f>ЦТО!C449</f>
        <v>0</v>
      </c>
      <c r="D545" s="63">
        <f>ЦТО!D449</f>
        <v>0</v>
      </c>
      <c r="E545" s="68">
        <f>SUM(ЦТО!BB449:BI449)</f>
        <v>0</v>
      </c>
      <c r="F545" s="64" t="str">
        <f>IF(E545&lt;10,'вспомогательные данные'!$C$26,IF(E545&lt;19,'вспомогательные данные'!$C$25,'вспомогательные данные'!$C$24))</f>
        <v>положительный</v>
      </c>
      <c r="G545" s="65">
        <f>(18-ЦТО!AM449-ЦТО!AL449)/(18-ЦТО!AL449-ЦТО!AP449)</f>
        <v>1</v>
      </c>
      <c r="H545" s="66" t="str">
        <f>IF(G545&lt;0.51,'вспомогательные данные'!$C$19,IF(G545&lt;0.92,'вспомогательные данные'!$C$20, IF(G545&lt;2,'вспомогательные данные'!$C$21,'вспомогательные данные'!$C$22)))</f>
        <v>оптимальная работоспособность</v>
      </c>
      <c r="I545" s="61" t="b">
        <f>IF(OR(ЦТО!AT449=1,ЦТО!AU449=1,ЦТО!AV449=1,ЦТО!AX449=1),"Положительная",IF(OR(ЦТО!AY449=1,ЦТО!AZ449=1,ЦТО!BA449=1),"Отрицательная",IF(OR(ЦТО!AW449=1),"Инфантильная")))</f>
        <v>0</v>
      </c>
    </row>
    <row r="546" spans="1:9">
      <c r="A546" s="62">
        <f>ЦТО!A450</f>
        <v>0</v>
      </c>
      <c r="B546" s="62">
        <f>ЦТО!B450</f>
        <v>0</v>
      </c>
      <c r="C546" s="67">
        <f>ЦТО!C450</f>
        <v>0</v>
      </c>
      <c r="D546" s="63">
        <f>ЦТО!D450</f>
        <v>0</v>
      </c>
      <c r="E546" s="68">
        <f>SUM(ЦТО!BB450:BI450)</f>
        <v>0</v>
      </c>
      <c r="F546" s="64" t="str">
        <f>IF(E546&lt;10,'вспомогательные данные'!$C$26,IF(E546&lt;19,'вспомогательные данные'!$C$25,'вспомогательные данные'!$C$24))</f>
        <v>положительный</v>
      </c>
      <c r="G546" s="65">
        <f>(18-ЦТО!AM450-ЦТО!AL450)/(18-ЦТО!AL450-ЦТО!AP450)</f>
        <v>1</v>
      </c>
      <c r="H546" s="66" t="str">
        <f>IF(G546&lt;0.51,'вспомогательные данные'!$C$19,IF(G546&lt;0.92,'вспомогательные данные'!$C$20, IF(G546&lt;2,'вспомогательные данные'!$C$21,'вспомогательные данные'!$C$22)))</f>
        <v>оптимальная работоспособность</v>
      </c>
      <c r="I546" s="61" t="b">
        <f>IF(OR(ЦТО!AT450=1,ЦТО!AU450=1,ЦТО!AV450=1,ЦТО!AX450=1),"Положительная",IF(OR(ЦТО!AY450=1,ЦТО!AZ450=1,ЦТО!BA450=1),"Отрицательная",IF(OR(ЦТО!AW450=1),"Инфантильная")))</f>
        <v>0</v>
      </c>
    </row>
    <row r="547" spans="1:9">
      <c r="A547" s="62">
        <f>ЦТО!A451</f>
        <v>0</v>
      </c>
      <c r="B547" s="62">
        <f>ЦТО!B451</f>
        <v>0</v>
      </c>
      <c r="C547" s="67">
        <f>ЦТО!C451</f>
        <v>0</v>
      </c>
      <c r="D547" s="63">
        <f>ЦТО!D451</f>
        <v>0</v>
      </c>
      <c r="E547" s="68">
        <f>SUM(ЦТО!BB451:BI451)</f>
        <v>0</v>
      </c>
      <c r="F547" s="64" t="str">
        <f>IF(E547&lt;10,'вспомогательные данные'!$C$26,IF(E547&lt;19,'вспомогательные данные'!$C$25,'вспомогательные данные'!$C$24))</f>
        <v>положительный</v>
      </c>
      <c r="G547" s="65">
        <f>(18-ЦТО!AM451-ЦТО!AL451)/(18-ЦТО!AL451-ЦТО!AP451)</f>
        <v>1</v>
      </c>
      <c r="H547" s="66" t="str">
        <f>IF(G547&lt;0.51,'вспомогательные данные'!$C$19,IF(G547&lt;0.92,'вспомогательные данные'!$C$20, IF(G547&lt;2,'вспомогательные данные'!$C$21,'вспомогательные данные'!$C$22)))</f>
        <v>оптимальная работоспособность</v>
      </c>
      <c r="I547" s="61" t="b">
        <f>IF(OR(ЦТО!AT451=1,ЦТО!AU451=1,ЦТО!AV451=1,ЦТО!AX451=1),"Положительная",IF(OR(ЦТО!AY451=1,ЦТО!AZ451=1,ЦТО!BA451=1),"Отрицательная",IF(OR(ЦТО!AW451=1),"Инфантильная")))</f>
        <v>0</v>
      </c>
    </row>
    <row r="548" spans="1:9">
      <c r="A548" s="62">
        <f>ЦТО!A452</f>
        <v>0</v>
      </c>
      <c r="B548" s="62">
        <f>ЦТО!B452</f>
        <v>0</v>
      </c>
      <c r="C548" s="67">
        <f>ЦТО!C452</f>
        <v>0</v>
      </c>
      <c r="D548" s="63">
        <f>ЦТО!D452</f>
        <v>0</v>
      </c>
      <c r="E548" s="68">
        <f>SUM(ЦТО!BB452:BI452)</f>
        <v>0</v>
      </c>
      <c r="F548" s="64" t="str">
        <f>IF(E548&lt;10,'вспомогательные данные'!$C$26,IF(E548&lt;19,'вспомогательные данные'!$C$25,'вспомогательные данные'!$C$24))</f>
        <v>положительный</v>
      </c>
      <c r="G548" s="65">
        <f>(18-ЦТО!AM452-ЦТО!AL452)/(18-ЦТО!AL452-ЦТО!AP452)</f>
        <v>1</v>
      </c>
      <c r="H548" s="66" t="str">
        <f>IF(G548&lt;0.51,'вспомогательные данные'!$C$19,IF(G548&lt;0.92,'вспомогательные данные'!$C$20, IF(G548&lt;2,'вспомогательные данные'!$C$21,'вспомогательные данные'!$C$22)))</f>
        <v>оптимальная работоспособность</v>
      </c>
      <c r="I548" s="61" t="b">
        <f>IF(OR(ЦТО!AT452=1,ЦТО!AU452=1,ЦТО!AV452=1,ЦТО!AX452=1),"Положительная",IF(OR(ЦТО!AY452=1,ЦТО!AZ452=1,ЦТО!BA452=1),"Отрицательная",IF(OR(ЦТО!AW452=1),"Инфантильная")))</f>
        <v>0</v>
      </c>
    </row>
    <row r="549" spans="1:9">
      <c r="A549" s="62">
        <f>ЦТО!A453</f>
        <v>0</v>
      </c>
      <c r="B549" s="62">
        <f>ЦТО!B453</f>
        <v>0</v>
      </c>
      <c r="C549" s="67">
        <f>ЦТО!C453</f>
        <v>0</v>
      </c>
      <c r="D549" s="63">
        <f>ЦТО!D453</f>
        <v>0</v>
      </c>
      <c r="E549" s="68">
        <f>SUM(ЦТО!BB453:BI453)</f>
        <v>0</v>
      </c>
      <c r="F549" s="64" t="str">
        <f>IF(E549&lt;10,'вспомогательные данные'!$C$26,IF(E549&lt;19,'вспомогательные данные'!$C$25,'вспомогательные данные'!$C$24))</f>
        <v>положительный</v>
      </c>
      <c r="G549" s="65">
        <f>(18-ЦТО!AM453-ЦТО!AL453)/(18-ЦТО!AL453-ЦТО!AP453)</f>
        <v>1</v>
      </c>
      <c r="H549" s="66" t="str">
        <f>IF(G549&lt;0.51,'вспомогательные данные'!$C$19,IF(G549&lt;0.92,'вспомогательные данные'!$C$20, IF(G549&lt;2,'вспомогательные данные'!$C$21,'вспомогательные данные'!$C$22)))</f>
        <v>оптимальная работоспособность</v>
      </c>
      <c r="I549" s="61" t="b">
        <f>IF(OR(ЦТО!AT453=1,ЦТО!AU453=1,ЦТО!AV453=1,ЦТО!AX453=1),"Положительная",IF(OR(ЦТО!AY453=1,ЦТО!AZ453=1,ЦТО!BA453=1),"Отрицательная",IF(OR(ЦТО!AW453=1),"Инфантильная")))</f>
        <v>0</v>
      </c>
    </row>
    <row r="550" spans="1:9">
      <c r="A550" s="62">
        <f>ЦТО!A454</f>
        <v>0</v>
      </c>
      <c r="B550" s="62">
        <f>ЦТО!B454</f>
        <v>0</v>
      </c>
      <c r="C550" s="67">
        <f>ЦТО!C454</f>
        <v>0</v>
      </c>
      <c r="D550" s="63">
        <f>ЦТО!D454</f>
        <v>0</v>
      </c>
      <c r="E550" s="68">
        <f>SUM(ЦТО!BB454:BI454)</f>
        <v>0</v>
      </c>
      <c r="F550" s="64" t="str">
        <f>IF(E550&lt;10,'вспомогательные данные'!$C$26,IF(E550&lt;19,'вспомогательные данные'!$C$25,'вспомогательные данные'!$C$24))</f>
        <v>положительный</v>
      </c>
      <c r="G550" s="65">
        <f>(18-ЦТО!AM454-ЦТО!AL454)/(18-ЦТО!AL454-ЦТО!AP454)</f>
        <v>1</v>
      </c>
      <c r="H550" s="66" t="str">
        <f>IF(G550&lt;0.51,'вспомогательные данные'!$C$19,IF(G550&lt;0.92,'вспомогательные данные'!$C$20, IF(G550&lt;2,'вспомогательные данные'!$C$21,'вспомогательные данные'!$C$22)))</f>
        <v>оптимальная работоспособность</v>
      </c>
      <c r="I550" s="61" t="b">
        <f>IF(OR(ЦТО!AT454=1,ЦТО!AU454=1,ЦТО!AV454=1,ЦТО!AX454=1),"Положительная",IF(OR(ЦТО!AY454=1,ЦТО!AZ454=1,ЦТО!BA454=1),"Отрицательная",IF(OR(ЦТО!AW454=1),"Инфантильная")))</f>
        <v>0</v>
      </c>
    </row>
    <row r="551" spans="1:9">
      <c r="A551" s="62">
        <f>ЦТО!A455</f>
        <v>0</v>
      </c>
      <c r="B551" s="62">
        <f>ЦТО!B455</f>
        <v>0</v>
      </c>
      <c r="C551" s="67">
        <f>ЦТО!C455</f>
        <v>0</v>
      </c>
      <c r="D551" s="63">
        <f>ЦТО!D455</f>
        <v>0</v>
      </c>
      <c r="E551" s="68">
        <f>SUM(ЦТО!BB455:BI455)</f>
        <v>0</v>
      </c>
      <c r="F551" s="64" t="str">
        <f>IF(E551&lt;10,'вспомогательные данные'!$C$26,IF(E551&lt;19,'вспомогательные данные'!$C$25,'вспомогательные данные'!$C$24))</f>
        <v>положительный</v>
      </c>
      <c r="G551" s="65">
        <f>(18-ЦТО!AM455-ЦТО!AL455)/(18-ЦТО!AL455-ЦТО!AP455)</f>
        <v>1</v>
      </c>
      <c r="H551" s="66" t="str">
        <f>IF(G551&lt;0.51,'вспомогательные данные'!$C$19,IF(G551&lt;0.92,'вспомогательные данные'!$C$20, IF(G551&lt;2,'вспомогательные данные'!$C$21,'вспомогательные данные'!$C$22)))</f>
        <v>оптимальная работоспособность</v>
      </c>
      <c r="I551" s="61" t="b">
        <f>IF(OR(ЦТО!AT455=1,ЦТО!AU455=1,ЦТО!AV455=1,ЦТО!AX455=1),"Положительная",IF(OR(ЦТО!AY455=1,ЦТО!AZ455=1,ЦТО!BA455=1),"Отрицательная",IF(OR(ЦТО!AW455=1),"Инфантильная")))</f>
        <v>0</v>
      </c>
    </row>
    <row r="552" spans="1:9">
      <c r="A552" s="62">
        <f>ЦТО!A456</f>
        <v>0</v>
      </c>
      <c r="B552" s="62">
        <f>ЦТО!B456</f>
        <v>0</v>
      </c>
      <c r="C552" s="67">
        <f>ЦТО!C456</f>
        <v>0</v>
      </c>
      <c r="D552" s="63">
        <f>ЦТО!D456</f>
        <v>0</v>
      </c>
      <c r="E552" s="68">
        <f>SUM(ЦТО!BB456:BI456)</f>
        <v>0</v>
      </c>
      <c r="F552" s="64" t="str">
        <f>IF(E552&lt;10,'вспомогательные данные'!$C$26,IF(E552&lt;19,'вспомогательные данные'!$C$25,'вспомогательные данные'!$C$24))</f>
        <v>положительный</v>
      </c>
      <c r="G552" s="65">
        <f>(18-ЦТО!AM456-ЦТО!AL456)/(18-ЦТО!AL456-ЦТО!AP456)</f>
        <v>1</v>
      </c>
      <c r="H552" s="66" t="str">
        <f>IF(G552&lt;0.51,'вспомогательные данные'!$C$19,IF(G552&lt;0.92,'вспомогательные данные'!$C$20, IF(G552&lt;2,'вспомогательные данные'!$C$21,'вспомогательные данные'!$C$22)))</f>
        <v>оптимальная работоспособность</v>
      </c>
      <c r="I552" s="61" t="b">
        <f>IF(OR(ЦТО!AT456=1,ЦТО!AU456=1,ЦТО!AV456=1,ЦТО!AX456=1),"Положительная",IF(OR(ЦТО!AY456=1,ЦТО!AZ456=1,ЦТО!BA456=1),"Отрицательная",IF(OR(ЦТО!AW456=1),"Инфантильная")))</f>
        <v>0</v>
      </c>
    </row>
    <row r="553" spans="1:9">
      <c r="A553" s="62">
        <f>ЦТО!A457</f>
        <v>0</v>
      </c>
      <c r="B553" s="62">
        <f>ЦТО!B457</f>
        <v>0</v>
      </c>
      <c r="C553" s="67">
        <f>ЦТО!C457</f>
        <v>0</v>
      </c>
      <c r="D553" s="63">
        <f>ЦТО!D457</f>
        <v>0</v>
      </c>
      <c r="E553" s="68">
        <f>SUM(ЦТО!BB457:BI457)</f>
        <v>0</v>
      </c>
      <c r="F553" s="64" t="str">
        <f>IF(E553&lt;10,'вспомогательные данные'!$C$26,IF(E553&lt;19,'вспомогательные данные'!$C$25,'вспомогательные данные'!$C$24))</f>
        <v>положительный</v>
      </c>
      <c r="G553" s="65">
        <f>(18-ЦТО!AM457-ЦТО!AL457)/(18-ЦТО!AL457-ЦТО!AP457)</f>
        <v>1</v>
      </c>
      <c r="H553" s="66" t="str">
        <f>IF(G553&lt;0.51,'вспомогательные данные'!$C$19,IF(G553&lt;0.92,'вспомогательные данные'!$C$20, IF(G553&lt;2,'вспомогательные данные'!$C$21,'вспомогательные данные'!$C$22)))</f>
        <v>оптимальная работоспособность</v>
      </c>
      <c r="I553" s="61" t="b">
        <f>IF(OR(ЦТО!AT457=1,ЦТО!AU457=1,ЦТО!AV457=1,ЦТО!AX457=1),"Положительная",IF(OR(ЦТО!AY457=1,ЦТО!AZ457=1,ЦТО!BA457=1),"Отрицательная",IF(OR(ЦТО!AW457=1),"Инфантильная")))</f>
        <v>0</v>
      </c>
    </row>
    <row r="554" spans="1:9">
      <c r="A554" s="62">
        <f>ЦТО!A458</f>
        <v>0</v>
      </c>
      <c r="B554" s="62">
        <f>ЦТО!B458</f>
        <v>0</v>
      </c>
      <c r="C554" s="67">
        <f>ЦТО!C458</f>
        <v>0</v>
      </c>
      <c r="D554" s="63">
        <f>ЦТО!D458</f>
        <v>0</v>
      </c>
      <c r="E554" s="68">
        <f>SUM(ЦТО!BB458:BI458)</f>
        <v>0</v>
      </c>
      <c r="F554" s="64" t="str">
        <f>IF(E554&lt;10,'вспомогательные данные'!$C$26,IF(E554&lt;19,'вспомогательные данные'!$C$25,'вспомогательные данные'!$C$24))</f>
        <v>положительный</v>
      </c>
      <c r="G554" s="65">
        <f>(18-ЦТО!AM458-ЦТО!AL458)/(18-ЦТО!AL458-ЦТО!AP458)</f>
        <v>1</v>
      </c>
      <c r="H554" s="66" t="str">
        <f>IF(G554&lt;0.51,'вспомогательные данные'!$C$19,IF(G554&lt;0.92,'вспомогательные данные'!$C$20, IF(G554&lt;2,'вспомогательные данные'!$C$21,'вспомогательные данные'!$C$22)))</f>
        <v>оптимальная работоспособность</v>
      </c>
      <c r="I554" s="61" t="b">
        <f>IF(OR(ЦТО!AT458=1,ЦТО!AU458=1,ЦТО!AV458=1,ЦТО!AX458=1),"Положительная",IF(OR(ЦТО!AY458=1,ЦТО!AZ458=1,ЦТО!BA458=1),"Отрицательная",IF(OR(ЦТО!AW458=1),"Инфантильная")))</f>
        <v>0</v>
      </c>
    </row>
    <row r="555" spans="1:9">
      <c r="A555" s="62">
        <f>ЦТО!A459</f>
        <v>0</v>
      </c>
      <c r="B555" s="62">
        <f>ЦТО!B459</f>
        <v>0</v>
      </c>
      <c r="C555" s="67">
        <f>ЦТО!C459</f>
        <v>0</v>
      </c>
      <c r="D555" s="63">
        <f>ЦТО!D459</f>
        <v>0</v>
      </c>
      <c r="E555" s="68">
        <f>SUM(ЦТО!BB459:BI459)</f>
        <v>0</v>
      </c>
      <c r="F555" s="64" t="str">
        <f>IF(E555&lt;10,'вспомогательные данные'!$C$26,IF(E555&lt;19,'вспомогательные данные'!$C$25,'вспомогательные данные'!$C$24))</f>
        <v>положительный</v>
      </c>
      <c r="G555" s="65">
        <f>(18-ЦТО!AM459-ЦТО!AL459)/(18-ЦТО!AL459-ЦТО!AP459)</f>
        <v>1</v>
      </c>
      <c r="H555" s="66" t="str">
        <f>IF(G555&lt;0.51,'вспомогательные данные'!$C$19,IF(G555&lt;0.92,'вспомогательные данные'!$C$20, IF(G555&lt;2,'вспомогательные данные'!$C$21,'вспомогательные данные'!$C$22)))</f>
        <v>оптимальная работоспособность</v>
      </c>
      <c r="I555" s="61" t="b">
        <f>IF(OR(ЦТО!AT459=1,ЦТО!AU459=1,ЦТО!AV459=1,ЦТО!AX459=1),"Положительная",IF(OR(ЦТО!AY459=1,ЦТО!AZ459=1,ЦТО!BA459=1),"Отрицательная",IF(OR(ЦТО!AW459=1),"Инфантильная")))</f>
        <v>0</v>
      </c>
    </row>
    <row r="556" spans="1:9">
      <c r="A556" s="62">
        <f>ЦТО!A460</f>
        <v>0</v>
      </c>
      <c r="B556" s="62">
        <f>ЦТО!B460</f>
        <v>0</v>
      </c>
      <c r="C556" s="67">
        <f>ЦТО!C460</f>
        <v>0</v>
      </c>
      <c r="D556" s="63">
        <f>ЦТО!D460</f>
        <v>0</v>
      </c>
      <c r="E556" s="68">
        <f>SUM(ЦТО!BB460:BI460)</f>
        <v>0</v>
      </c>
      <c r="F556" s="64" t="str">
        <f>IF(E556&lt;10,'вспомогательные данные'!$C$26,IF(E556&lt;19,'вспомогательные данные'!$C$25,'вспомогательные данные'!$C$24))</f>
        <v>положительный</v>
      </c>
      <c r="G556" s="65">
        <f>(18-ЦТО!AM460-ЦТО!AL460)/(18-ЦТО!AL460-ЦТО!AP460)</f>
        <v>1</v>
      </c>
      <c r="H556" s="66" t="str">
        <f>IF(G556&lt;0.51,'вспомогательные данные'!$C$19,IF(G556&lt;0.92,'вспомогательные данные'!$C$20, IF(G556&lt;2,'вспомогательные данные'!$C$21,'вспомогательные данные'!$C$22)))</f>
        <v>оптимальная работоспособность</v>
      </c>
      <c r="I556" s="61" t="b">
        <f>IF(OR(ЦТО!AT460=1,ЦТО!AU460=1,ЦТО!AV460=1,ЦТО!AX460=1),"Положительная",IF(OR(ЦТО!AY460=1,ЦТО!AZ460=1,ЦТО!BA460=1),"Отрицательная",IF(OR(ЦТО!AW460=1),"Инфантильная")))</f>
        <v>0</v>
      </c>
    </row>
    <row r="557" spans="1:9">
      <c r="A557" s="62">
        <f>ЦТО!A461</f>
        <v>0</v>
      </c>
      <c r="B557" s="62">
        <f>ЦТО!B461</f>
        <v>0</v>
      </c>
      <c r="C557" s="67">
        <f>ЦТО!C461</f>
        <v>0</v>
      </c>
      <c r="D557" s="63">
        <f>ЦТО!D461</f>
        <v>0</v>
      </c>
      <c r="E557" s="68">
        <f>SUM(ЦТО!BB461:BI461)</f>
        <v>0</v>
      </c>
      <c r="F557" s="64" t="str">
        <f>IF(E557&lt;10,'вспомогательные данные'!$C$26,IF(E557&lt;19,'вспомогательные данные'!$C$25,'вспомогательные данные'!$C$24))</f>
        <v>положительный</v>
      </c>
      <c r="G557" s="65">
        <f>(18-ЦТО!AM461-ЦТО!AL461)/(18-ЦТО!AL461-ЦТО!AP461)</f>
        <v>1</v>
      </c>
      <c r="H557" s="66" t="str">
        <f>IF(G557&lt;0.51,'вспомогательные данные'!$C$19,IF(G557&lt;0.92,'вспомогательные данные'!$C$20, IF(G557&lt;2,'вспомогательные данные'!$C$21,'вспомогательные данные'!$C$22)))</f>
        <v>оптимальная работоспособность</v>
      </c>
      <c r="I557" s="61" t="b">
        <f>IF(OR(ЦТО!AT461=1,ЦТО!AU461=1,ЦТО!AV461=1,ЦТО!AX461=1),"Положительная",IF(OR(ЦТО!AY461=1,ЦТО!AZ461=1,ЦТО!BA461=1),"Отрицательная",IF(OR(ЦТО!AW461=1),"Инфантильная")))</f>
        <v>0</v>
      </c>
    </row>
    <row r="558" spans="1:9">
      <c r="A558" s="62">
        <f>ЦТО!A462</f>
        <v>0</v>
      </c>
      <c r="B558" s="62">
        <f>ЦТО!B462</f>
        <v>0</v>
      </c>
      <c r="C558" s="67">
        <f>ЦТО!C462</f>
        <v>0</v>
      </c>
      <c r="D558" s="63">
        <f>ЦТО!D462</f>
        <v>0</v>
      </c>
      <c r="E558" s="68">
        <f>SUM(ЦТО!BB462:BI462)</f>
        <v>0</v>
      </c>
      <c r="F558" s="64" t="str">
        <f>IF(E558&lt;10,'вспомогательные данные'!$C$26,IF(E558&lt;19,'вспомогательные данные'!$C$25,'вспомогательные данные'!$C$24))</f>
        <v>положительный</v>
      </c>
      <c r="G558" s="65">
        <f>(18-ЦТО!AM462-ЦТО!AL462)/(18-ЦТО!AL462-ЦТО!AP462)</f>
        <v>1</v>
      </c>
      <c r="H558" s="66" t="str">
        <f>IF(G558&lt;0.51,'вспомогательные данные'!$C$19,IF(G558&lt;0.92,'вспомогательные данные'!$C$20, IF(G558&lt;2,'вспомогательные данные'!$C$21,'вспомогательные данные'!$C$22)))</f>
        <v>оптимальная работоспособность</v>
      </c>
      <c r="I558" s="61" t="b">
        <f>IF(OR(ЦТО!AT462=1,ЦТО!AU462=1,ЦТО!AV462=1,ЦТО!AX462=1),"Положительная",IF(OR(ЦТО!AY462=1,ЦТО!AZ462=1,ЦТО!BA462=1),"Отрицательная",IF(OR(ЦТО!AW462=1),"Инфантильная")))</f>
        <v>0</v>
      </c>
    </row>
    <row r="559" spans="1:9">
      <c r="A559" s="62">
        <f>ЦТО!A463</f>
        <v>0</v>
      </c>
      <c r="B559" s="62">
        <f>ЦТО!B463</f>
        <v>0</v>
      </c>
      <c r="C559" s="67">
        <f>ЦТО!C463</f>
        <v>0</v>
      </c>
      <c r="D559" s="63">
        <f>ЦТО!D463</f>
        <v>0</v>
      </c>
      <c r="E559" s="68">
        <f>SUM(ЦТО!BB463:BI463)</f>
        <v>0</v>
      </c>
      <c r="F559" s="64" t="str">
        <f>IF(E559&lt;10,'вспомогательные данные'!$C$26,IF(E559&lt;19,'вспомогательные данные'!$C$25,'вспомогательные данные'!$C$24))</f>
        <v>положительный</v>
      </c>
      <c r="G559" s="65">
        <f>(18-ЦТО!AM463-ЦТО!AL463)/(18-ЦТО!AL463-ЦТО!AP463)</f>
        <v>1</v>
      </c>
      <c r="H559" s="66" t="str">
        <f>IF(G559&lt;0.51,'вспомогательные данные'!$C$19,IF(G559&lt;0.92,'вспомогательные данные'!$C$20, IF(G559&lt;2,'вспомогательные данные'!$C$21,'вспомогательные данные'!$C$22)))</f>
        <v>оптимальная работоспособность</v>
      </c>
      <c r="I559" s="61" t="b">
        <f>IF(OR(ЦТО!AT463=1,ЦТО!AU463=1,ЦТО!AV463=1,ЦТО!AX463=1),"Положительная",IF(OR(ЦТО!AY463=1,ЦТО!AZ463=1,ЦТО!BA463=1),"Отрицательная",IF(OR(ЦТО!AW463=1),"Инфантильная")))</f>
        <v>0</v>
      </c>
    </row>
    <row r="560" spans="1:9">
      <c r="A560" s="62">
        <f>ЦТО!A464</f>
        <v>0</v>
      </c>
      <c r="B560" s="62">
        <f>ЦТО!B464</f>
        <v>0</v>
      </c>
      <c r="C560" s="67">
        <f>ЦТО!C464</f>
        <v>0</v>
      </c>
      <c r="D560" s="63">
        <f>ЦТО!D464</f>
        <v>0</v>
      </c>
      <c r="E560" s="68">
        <f>SUM(ЦТО!BB464:BI464)</f>
        <v>0</v>
      </c>
      <c r="F560" s="64" t="str">
        <f>IF(E560&lt;10,'вспомогательные данные'!$C$26,IF(E560&lt;19,'вспомогательные данные'!$C$25,'вспомогательные данные'!$C$24))</f>
        <v>положительный</v>
      </c>
      <c r="G560" s="65">
        <f>(18-ЦТО!AM464-ЦТО!AL464)/(18-ЦТО!AL464-ЦТО!AP464)</f>
        <v>1</v>
      </c>
      <c r="H560" s="66" t="str">
        <f>IF(G560&lt;0.51,'вспомогательные данные'!$C$19,IF(G560&lt;0.92,'вспомогательные данные'!$C$20, IF(G560&lt;2,'вспомогательные данные'!$C$21,'вспомогательные данные'!$C$22)))</f>
        <v>оптимальная работоспособность</v>
      </c>
      <c r="I560" s="61" t="b">
        <f>IF(OR(ЦТО!AT464=1,ЦТО!AU464=1,ЦТО!AV464=1,ЦТО!AX464=1),"Положительная",IF(OR(ЦТО!AY464=1,ЦТО!AZ464=1,ЦТО!BA464=1),"Отрицательная",IF(OR(ЦТО!AW464=1),"Инфантильная")))</f>
        <v>0</v>
      </c>
    </row>
    <row r="561" spans="1:9">
      <c r="A561" s="62">
        <f>ЦТО!A465</f>
        <v>0</v>
      </c>
      <c r="B561" s="62">
        <f>ЦТО!B465</f>
        <v>0</v>
      </c>
      <c r="C561" s="67">
        <f>ЦТО!C465</f>
        <v>0</v>
      </c>
      <c r="D561" s="63">
        <f>ЦТО!D465</f>
        <v>0</v>
      </c>
      <c r="E561" s="68">
        <f>SUM(ЦТО!BB465:BI465)</f>
        <v>0</v>
      </c>
      <c r="F561" s="64" t="str">
        <f>IF(E561&lt;10,'вспомогательные данные'!$C$26,IF(E561&lt;19,'вспомогательные данные'!$C$25,'вспомогательные данные'!$C$24))</f>
        <v>положительный</v>
      </c>
      <c r="G561" s="65">
        <f>(18-ЦТО!AM465-ЦТО!AL465)/(18-ЦТО!AL465-ЦТО!AP465)</f>
        <v>1</v>
      </c>
      <c r="H561" s="66" t="str">
        <f>IF(G561&lt;0.51,'вспомогательные данные'!$C$19,IF(G561&lt;0.92,'вспомогательные данные'!$C$20, IF(G561&lt;2,'вспомогательные данные'!$C$21,'вспомогательные данные'!$C$22)))</f>
        <v>оптимальная работоспособность</v>
      </c>
      <c r="I561" s="61" t="b">
        <f>IF(OR(ЦТО!AT465=1,ЦТО!AU465=1,ЦТО!AV465=1,ЦТО!AX465=1),"Положительная",IF(OR(ЦТО!AY465=1,ЦТО!AZ465=1,ЦТО!BA465=1),"Отрицательная",IF(OR(ЦТО!AW465=1),"Инфантильная")))</f>
        <v>0</v>
      </c>
    </row>
    <row r="562" spans="1:9">
      <c r="A562" s="62">
        <f>ЦТО!A466</f>
        <v>0</v>
      </c>
      <c r="B562" s="62">
        <f>ЦТО!B466</f>
        <v>0</v>
      </c>
      <c r="C562" s="67">
        <f>ЦТО!C466</f>
        <v>0</v>
      </c>
      <c r="D562" s="63">
        <f>ЦТО!D466</f>
        <v>0</v>
      </c>
      <c r="E562" s="68">
        <f>SUM(ЦТО!BB466:BI466)</f>
        <v>0</v>
      </c>
      <c r="F562" s="64" t="str">
        <f>IF(E562&lt;10,'вспомогательные данные'!$C$26,IF(E562&lt;19,'вспомогательные данные'!$C$25,'вспомогательные данные'!$C$24))</f>
        <v>положительный</v>
      </c>
      <c r="G562" s="65">
        <f>(18-ЦТО!AM466-ЦТО!AL466)/(18-ЦТО!AL466-ЦТО!AP466)</f>
        <v>1</v>
      </c>
      <c r="H562" s="66" t="str">
        <f>IF(G562&lt;0.51,'вспомогательные данные'!$C$19,IF(G562&lt;0.92,'вспомогательные данные'!$C$20, IF(G562&lt;2,'вспомогательные данные'!$C$21,'вспомогательные данные'!$C$22)))</f>
        <v>оптимальная работоспособность</v>
      </c>
      <c r="I562" s="61" t="b">
        <f>IF(OR(ЦТО!AT466=1,ЦТО!AU466=1,ЦТО!AV466=1,ЦТО!AX466=1),"Положительная",IF(OR(ЦТО!AY466=1,ЦТО!AZ466=1,ЦТО!BA466=1),"Отрицательная",IF(OR(ЦТО!AW466=1),"Инфантильная")))</f>
        <v>0</v>
      </c>
    </row>
    <row r="563" spans="1:9">
      <c r="A563" s="62">
        <f>ЦТО!A467</f>
        <v>0</v>
      </c>
      <c r="B563" s="62">
        <f>ЦТО!B467</f>
        <v>0</v>
      </c>
      <c r="C563" s="67">
        <f>ЦТО!C467</f>
        <v>0</v>
      </c>
      <c r="D563" s="63">
        <f>ЦТО!D467</f>
        <v>0</v>
      </c>
      <c r="E563" s="68">
        <f>SUM(ЦТО!BB467:BI467)</f>
        <v>0</v>
      </c>
      <c r="F563" s="64" t="str">
        <f>IF(E563&lt;10,'вспомогательные данные'!$C$26,IF(E563&lt;19,'вспомогательные данные'!$C$25,'вспомогательные данные'!$C$24))</f>
        <v>положительный</v>
      </c>
      <c r="G563" s="65">
        <f>(18-ЦТО!AM467-ЦТО!AL467)/(18-ЦТО!AL467-ЦТО!AP467)</f>
        <v>1</v>
      </c>
      <c r="H563" s="66" t="str">
        <f>IF(G563&lt;0.51,'вспомогательные данные'!$C$19,IF(G563&lt;0.92,'вспомогательные данные'!$C$20, IF(G563&lt;2,'вспомогательные данные'!$C$21,'вспомогательные данные'!$C$22)))</f>
        <v>оптимальная работоспособность</v>
      </c>
      <c r="I563" s="61" t="b">
        <f>IF(OR(ЦТО!AT467=1,ЦТО!AU467=1,ЦТО!AV467=1,ЦТО!AX467=1),"Положительная",IF(OR(ЦТО!AY467=1,ЦТО!AZ467=1,ЦТО!BA467=1),"Отрицательная",IF(OR(ЦТО!AW467=1),"Инфантильная")))</f>
        <v>0</v>
      </c>
    </row>
    <row r="564" spans="1:9">
      <c r="A564" s="62">
        <f>ЦТО!A468</f>
        <v>0</v>
      </c>
      <c r="B564" s="62">
        <f>ЦТО!B468</f>
        <v>0</v>
      </c>
      <c r="C564" s="67">
        <f>ЦТО!C468</f>
        <v>0</v>
      </c>
      <c r="D564" s="63">
        <f>ЦТО!D468</f>
        <v>0</v>
      </c>
      <c r="E564" s="68">
        <f>SUM(ЦТО!BB468:BI468)</f>
        <v>0</v>
      </c>
      <c r="F564" s="64" t="str">
        <f>IF(E564&lt;10,'вспомогательные данные'!$C$26,IF(E564&lt;19,'вспомогательные данные'!$C$25,'вспомогательные данные'!$C$24))</f>
        <v>положительный</v>
      </c>
      <c r="G564" s="65">
        <f>(18-ЦТО!AM468-ЦТО!AL468)/(18-ЦТО!AL468-ЦТО!AP468)</f>
        <v>1</v>
      </c>
      <c r="H564" s="66" t="str">
        <f>IF(G564&lt;0.51,'вспомогательные данные'!$C$19,IF(G564&lt;0.92,'вспомогательные данные'!$C$20, IF(G564&lt;2,'вспомогательные данные'!$C$21,'вспомогательные данные'!$C$22)))</f>
        <v>оптимальная работоспособность</v>
      </c>
      <c r="I564" s="61" t="b">
        <f>IF(OR(ЦТО!AT468=1,ЦТО!AU468=1,ЦТО!AV468=1,ЦТО!AX468=1),"Положительная",IF(OR(ЦТО!AY468=1,ЦТО!AZ468=1,ЦТО!BA468=1),"Отрицательная",IF(OR(ЦТО!AW468=1),"Инфантильная")))</f>
        <v>0</v>
      </c>
    </row>
    <row r="565" spans="1:9">
      <c r="A565" s="62">
        <f>ЦТО!A469</f>
        <v>0</v>
      </c>
      <c r="B565" s="62">
        <f>ЦТО!B469</f>
        <v>0</v>
      </c>
      <c r="C565" s="67">
        <f>ЦТО!C469</f>
        <v>0</v>
      </c>
      <c r="D565" s="63">
        <f>ЦТО!D469</f>
        <v>0</v>
      </c>
      <c r="E565" s="68">
        <f>SUM(ЦТО!BB469:BI469)</f>
        <v>0</v>
      </c>
      <c r="F565" s="64" t="str">
        <f>IF(E565&lt;10,'вспомогательные данные'!$C$26,IF(E565&lt;19,'вспомогательные данные'!$C$25,'вспомогательные данные'!$C$24))</f>
        <v>положительный</v>
      </c>
      <c r="G565" s="65">
        <f>(18-ЦТО!AM469-ЦТО!AL469)/(18-ЦТО!AL469-ЦТО!AP469)</f>
        <v>1</v>
      </c>
      <c r="H565" s="66" t="str">
        <f>IF(G565&lt;0.51,'вспомогательные данные'!$C$19,IF(G565&lt;0.92,'вспомогательные данные'!$C$20, IF(G565&lt;2,'вспомогательные данные'!$C$21,'вспомогательные данные'!$C$22)))</f>
        <v>оптимальная работоспособность</v>
      </c>
      <c r="I565" s="61" t="b">
        <f>IF(OR(ЦТО!AT469=1,ЦТО!AU469=1,ЦТО!AV469=1,ЦТО!AX469=1),"Положительная",IF(OR(ЦТО!AY469=1,ЦТО!AZ469=1,ЦТО!BA469=1),"Отрицательная",IF(OR(ЦТО!AW469=1),"Инфантильная")))</f>
        <v>0</v>
      </c>
    </row>
    <row r="566" spans="1:9">
      <c r="A566" s="62">
        <f>ЦТО!A470</f>
        <v>0</v>
      </c>
      <c r="B566" s="62">
        <f>ЦТО!B470</f>
        <v>0</v>
      </c>
      <c r="C566" s="67">
        <f>ЦТО!C470</f>
        <v>0</v>
      </c>
      <c r="D566" s="63">
        <f>ЦТО!D470</f>
        <v>0</v>
      </c>
      <c r="E566" s="68">
        <f>SUM(ЦТО!BB470:BI470)</f>
        <v>0</v>
      </c>
      <c r="F566" s="64" t="str">
        <f>IF(E566&lt;10,'вспомогательные данные'!$C$26,IF(E566&lt;19,'вспомогательные данные'!$C$25,'вспомогательные данные'!$C$24))</f>
        <v>положительный</v>
      </c>
      <c r="G566" s="65">
        <f>(18-ЦТО!AM470-ЦТО!AL470)/(18-ЦТО!AL470-ЦТО!AP470)</f>
        <v>1</v>
      </c>
      <c r="H566" s="66" t="str">
        <f>IF(G566&lt;0.51,'вспомогательные данные'!$C$19,IF(G566&lt;0.92,'вспомогательные данные'!$C$20, IF(G566&lt;2,'вспомогательные данные'!$C$21,'вспомогательные данные'!$C$22)))</f>
        <v>оптимальная работоспособность</v>
      </c>
      <c r="I566" s="61" t="b">
        <f>IF(OR(ЦТО!AT470=1,ЦТО!AU470=1,ЦТО!AV470=1,ЦТО!AX470=1),"Положительная",IF(OR(ЦТО!AY470=1,ЦТО!AZ470=1,ЦТО!BA470=1),"Отрицательная",IF(OR(ЦТО!AW470=1),"Инфантильная")))</f>
        <v>0</v>
      </c>
    </row>
    <row r="567" spans="1:9">
      <c r="A567" s="62">
        <f>ЦТО!A471</f>
        <v>0</v>
      </c>
      <c r="B567" s="62">
        <f>ЦТО!B471</f>
        <v>0</v>
      </c>
      <c r="C567" s="67">
        <f>ЦТО!C471</f>
        <v>0</v>
      </c>
      <c r="D567" s="63">
        <f>ЦТО!D471</f>
        <v>0</v>
      </c>
      <c r="E567" s="68">
        <f>SUM(ЦТО!BB471:BI471)</f>
        <v>0</v>
      </c>
      <c r="F567" s="64" t="str">
        <f>IF(E567&lt;10,'вспомогательные данные'!$C$26,IF(E567&lt;19,'вспомогательные данные'!$C$25,'вспомогательные данные'!$C$24))</f>
        <v>положительный</v>
      </c>
      <c r="G567" s="65">
        <f>(18-ЦТО!AM471-ЦТО!AL471)/(18-ЦТО!AL471-ЦТО!AP471)</f>
        <v>1</v>
      </c>
      <c r="H567" s="66" t="str">
        <f>IF(G567&lt;0.51,'вспомогательные данные'!$C$19,IF(G567&lt;0.92,'вспомогательные данные'!$C$20, IF(G567&lt;2,'вспомогательные данные'!$C$21,'вспомогательные данные'!$C$22)))</f>
        <v>оптимальная работоспособность</v>
      </c>
      <c r="I567" s="61" t="b">
        <f>IF(OR(ЦТО!AT471=1,ЦТО!AU471=1,ЦТО!AV471=1,ЦТО!AX471=1),"Положительная",IF(OR(ЦТО!AY471=1,ЦТО!AZ471=1,ЦТО!BA471=1),"Отрицательная",IF(OR(ЦТО!AW471=1),"Инфантильная")))</f>
        <v>0</v>
      </c>
    </row>
    <row r="568" spans="1:9">
      <c r="A568" s="62">
        <f>ЦТО!A472</f>
        <v>0</v>
      </c>
      <c r="B568" s="62">
        <f>ЦТО!B472</f>
        <v>0</v>
      </c>
      <c r="C568" s="67">
        <f>ЦТО!C472</f>
        <v>0</v>
      </c>
      <c r="D568" s="63">
        <f>ЦТО!D472</f>
        <v>0</v>
      </c>
      <c r="E568" s="68">
        <f>SUM(ЦТО!BB472:BI472)</f>
        <v>0</v>
      </c>
      <c r="F568" s="64" t="str">
        <f>IF(E568&lt;10,'вспомогательные данные'!$C$26,IF(E568&lt;19,'вспомогательные данные'!$C$25,'вспомогательные данные'!$C$24))</f>
        <v>положительный</v>
      </c>
      <c r="G568" s="65">
        <f>(18-ЦТО!AM472-ЦТО!AL472)/(18-ЦТО!AL472-ЦТО!AP472)</f>
        <v>1</v>
      </c>
      <c r="H568" s="66" t="str">
        <f>IF(G568&lt;0.51,'вспомогательные данные'!$C$19,IF(G568&lt;0.92,'вспомогательные данные'!$C$20, IF(G568&lt;2,'вспомогательные данные'!$C$21,'вспомогательные данные'!$C$22)))</f>
        <v>оптимальная работоспособность</v>
      </c>
      <c r="I568" s="61" t="b">
        <f>IF(OR(ЦТО!AT472=1,ЦТО!AU472=1,ЦТО!AV472=1,ЦТО!AX472=1),"Положительная",IF(OR(ЦТО!AY472=1,ЦТО!AZ472=1,ЦТО!BA472=1),"Отрицательная",IF(OR(ЦТО!AW472=1),"Инфантильная")))</f>
        <v>0</v>
      </c>
    </row>
    <row r="569" spans="1:9">
      <c r="A569" s="62">
        <f>ЦТО!A473</f>
        <v>0</v>
      </c>
      <c r="B569" s="62">
        <f>ЦТО!B473</f>
        <v>0</v>
      </c>
      <c r="C569" s="67">
        <f>ЦТО!C473</f>
        <v>0</v>
      </c>
      <c r="D569" s="63">
        <f>ЦТО!D473</f>
        <v>0</v>
      </c>
      <c r="E569" s="68">
        <f>SUM(ЦТО!BB473:BI473)</f>
        <v>0</v>
      </c>
      <c r="F569" s="64" t="str">
        <f>IF(E569&lt;10,'вспомогательные данные'!$C$26,IF(E569&lt;19,'вспомогательные данные'!$C$25,'вспомогательные данные'!$C$24))</f>
        <v>положительный</v>
      </c>
      <c r="G569" s="65">
        <f>(18-ЦТО!AM473-ЦТО!AL473)/(18-ЦТО!AL473-ЦТО!AP473)</f>
        <v>1</v>
      </c>
      <c r="H569" s="66" t="str">
        <f>IF(G569&lt;0.51,'вспомогательные данные'!$C$19,IF(G569&lt;0.92,'вспомогательные данные'!$C$20, IF(G569&lt;2,'вспомогательные данные'!$C$21,'вспомогательные данные'!$C$22)))</f>
        <v>оптимальная работоспособность</v>
      </c>
      <c r="I569" s="61" t="b">
        <f>IF(OR(ЦТО!AT473=1,ЦТО!AU473=1,ЦТО!AV473=1,ЦТО!AX473=1),"Положительная",IF(OR(ЦТО!AY473=1,ЦТО!AZ473=1,ЦТО!BA473=1),"Отрицательная",IF(OR(ЦТО!AW473=1),"Инфантильная")))</f>
        <v>0</v>
      </c>
    </row>
    <row r="570" spans="1:9">
      <c r="A570" s="62">
        <f>ЦТО!A474</f>
        <v>0</v>
      </c>
      <c r="B570" s="62">
        <f>ЦТО!B474</f>
        <v>0</v>
      </c>
      <c r="C570" s="67">
        <f>ЦТО!C474</f>
        <v>0</v>
      </c>
      <c r="D570" s="63">
        <f>ЦТО!D474</f>
        <v>0</v>
      </c>
      <c r="E570" s="68">
        <f>SUM(ЦТО!BB474:BI474)</f>
        <v>0</v>
      </c>
      <c r="F570" s="64" t="str">
        <f>IF(E570&lt;10,'вспомогательные данные'!$C$26,IF(E570&lt;19,'вспомогательные данные'!$C$25,'вспомогательные данные'!$C$24))</f>
        <v>положительный</v>
      </c>
      <c r="G570" s="65">
        <f>(18-ЦТО!AM474-ЦТО!AL474)/(18-ЦТО!AL474-ЦТО!AP474)</f>
        <v>1</v>
      </c>
      <c r="H570" s="66" t="str">
        <f>IF(G570&lt;0.51,'вспомогательные данные'!$C$19,IF(G570&lt;0.92,'вспомогательные данные'!$C$20, IF(G570&lt;2,'вспомогательные данные'!$C$21,'вспомогательные данные'!$C$22)))</f>
        <v>оптимальная работоспособность</v>
      </c>
      <c r="I570" s="61" t="b">
        <f>IF(OR(ЦТО!AT474=1,ЦТО!AU474=1,ЦТО!AV474=1,ЦТО!AX474=1),"Положительная",IF(OR(ЦТО!AY474=1,ЦТО!AZ474=1,ЦТО!BA474=1),"Отрицательная",IF(OR(ЦТО!AW474=1),"Инфантильная")))</f>
        <v>0</v>
      </c>
    </row>
    <row r="571" spans="1:9">
      <c r="A571" s="62">
        <f>ЦТО!A475</f>
        <v>0</v>
      </c>
      <c r="B571" s="62">
        <f>ЦТО!B475</f>
        <v>0</v>
      </c>
      <c r="C571" s="67">
        <f>ЦТО!C475</f>
        <v>0</v>
      </c>
      <c r="D571" s="63">
        <f>ЦТО!D475</f>
        <v>0</v>
      </c>
      <c r="E571" s="68">
        <f>SUM(ЦТО!BB475:BI475)</f>
        <v>0</v>
      </c>
      <c r="F571" s="64" t="str">
        <f>IF(E571&lt;10,'вспомогательные данные'!$C$26,IF(E571&lt;19,'вспомогательные данные'!$C$25,'вспомогательные данные'!$C$24))</f>
        <v>положительный</v>
      </c>
      <c r="G571" s="65">
        <f>(18-ЦТО!AM475-ЦТО!AL475)/(18-ЦТО!AL475-ЦТО!AP475)</f>
        <v>1</v>
      </c>
      <c r="H571" s="66" t="str">
        <f>IF(G571&lt;0.51,'вспомогательные данные'!$C$19,IF(G571&lt;0.92,'вспомогательные данные'!$C$20, IF(G571&lt;2,'вспомогательные данные'!$C$21,'вспомогательные данные'!$C$22)))</f>
        <v>оптимальная работоспособность</v>
      </c>
      <c r="I571" s="61" t="b">
        <f>IF(OR(ЦТО!AT475=1,ЦТО!AU475=1,ЦТО!AV475=1,ЦТО!AX475=1),"Положительная",IF(OR(ЦТО!AY475=1,ЦТО!AZ475=1,ЦТО!BA475=1),"Отрицательная",IF(OR(ЦТО!AW475=1),"Инфантильная")))</f>
        <v>0</v>
      </c>
    </row>
    <row r="572" spans="1:9">
      <c r="A572" s="62">
        <f>ЦТО!A476</f>
        <v>0</v>
      </c>
      <c r="B572" s="62">
        <f>ЦТО!B476</f>
        <v>0</v>
      </c>
      <c r="C572" s="67">
        <f>ЦТО!C476</f>
        <v>0</v>
      </c>
      <c r="D572" s="63">
        <f>ЦТО!D476</f>
        <v>0</v>
      </c>
      <c r="E572" s="68">
        <f>SUM(ЦТО!BB476:BI476)</f>
        <v>0</v>
      </c>
      <c r="F572" s="64" t="str">
        <f>IF(E572&lt;10,'вспомогательные данные'!$C$26,IF(E572&lt;19,'вспомогательные данные'!$C$25,'вспомогательные данные'!$C$24))</f>
        <v>положительный</v>
      </c>
      <c r="G572" s="65">
        <f>(18-ЦТО!AM476-ЦТО!AL476)/(18-ЦТО!AL476-ЦТО!AP476)</f>
        <v>1</v>
      </c>
      <c r="H572" s="66" t="str">
        <f>IF(G572&lt;0.51,'вспомогательные данные'!$C$19,IF(G572&lt;0.92,'вспомогательные данные'!$C$20, IF(G572&lt;2,'вспомогательные данные'!$C$21,'вспомогательные данные'!$C$22)))</f>
        <v>оптимальная работоспособность</v>
      </c>
      <c r="I572" s="61" t="b">
        <f>IF(OR(ЦТО!AT476=1,ЦТО!AU476=1,ЦТО!AV476=1,ЦТО!AX476=1),"Положительная",IF(OR(ЦТО!AY476=1,ЦТО!AZ476=1,ЦТО!BA476=1),"Отрицательная",IF(OR(ЦТО!AW476=1),"Инфантильная")))</f>
        <v>0</v>
      </c>
    </row>
    <row r="573" spans="1:9">
      <c r="A573" s="62">
        <f>ЦТО!A477</f>
        <v>0</v>
      </c>
      <c r="B573" s="62">
        <f>ЦТО!B477</f>
        <v>0</v>
      </c>
      <c r="C573" s="67">
        <f>ЦТО!C477</f>
        <v>0</v>
      </c>
      <c r="D573" s="63">
        <f>ЦТО!D477</f>
        <v>0</v>
      </c>
      <c r="E573" s="68">
        <f>SUM(ЦТО!BB477:BI477)</f>
        <v>0</v>
      </c>
      <c r="F573" s="64" t="str">
        <f>IF(E573&lt;10,'вспомогательные данные'!$C$26,IF(E573&lt;19,'вспомогательные данные'!$C$25,'вспомогательные данные'!$C$24))</f>
        <v>положительный</v>
      </c>
      <c r="G573" s="65">
        <f>(18-ЦТО!AM477-ЦТО!AL477)/(18-ЦТО!AL477-ЦТО!AP477)</f>
        <v>1</v>
      </c>
      <c r="H573" s="66" t="str">
        <f>IF(G573&lt;0.51,'вспомогательные данные'!$C$19,IF(G573&lt;0.92,'вспомогательные данные'!$C$20, IF(G573&lt;2,'вспомогательные данные'!$C$21,'вспомогательные данные'!$C$22)))</f>
        <v>оптимальная работоспособность</v>
      </c>
      <c r="I573" s="61" t="b">
        <f>IF(OR(ЦТО!AT477=1,ЦТО!AU477=1,ЦТО!AV477=1,ЦТО!AX477=1),"Положительная",IF(OR(ЦТО!AY477=1,ЦТО!AZ477=1,ЦТО!BA477=1),"Отрицательная",IF(OR(ЦТО!AW477=1),"Инфантильная")))</f>
        <v>0</v>
      </c>
    </row>
    <row r="574" spans="1:9">
      <c r="A574" s="62">
        <f>ЦТО!A478</f>
        <v>0</v>
      </c>
      <c r="B574" s="62">
        <f>ЦТО!B478</f>
        <v>0</v>
      </c>
      <c r="C574" s="67">
        <f>ЦТО!C478</f>
        <v>0</v>
      </c>
      <c r="D574" s="63">
        <f>ЦТО!D478</f>
        <v>0</v>
      </c>
      <c r="E574" s="68">
        <f>SUM(ЦТО!BB478:BI478)</f>
        <v>0</v>
      </c>
      <c r="F574" s="64" t="str">
        <f>IF(E574&lt;10,'вспомогательные данные'!$C$26,IF(E574&lt;19,'вспомогательные данные'!$C$25,'вспомогательные данные'!$C$24))</f>
        <v>положительный</v>
      </c>
      <c r="G574" s="65">
        <f>(18-ЦТО!AM478-ЦТО!AL478)/(18-ЦТО!AL478-ЦТО!AP478)</f>
        <v>1</v>
      </c>
      <c r="H574" s="66" t="str">
        <f>IF(G574&lt;0.51,'вспомогательные данные'!$C$19,IF(G574&lt;0.92,'вспомогательные данные'!$C$20, IF(G574&lt;2,'вспомогательные данные'!$C$21,'вспомогательные данные'!$C$22)))</f>
        <v>оптимальная работоспособность</v>
      </c>
      <c r="I574" s="61" t="b">
        <f>IF(OR(ЦТО!AT478=1,ЦТО!AU478=1,ЦТО!AV478=1,ЦТО!AX478=1),"Положительная",IF(OR(ЦТО!AY478=1,ЦТО!AZ478=1,ЦТО!BA478=1),"Отрицательная",IF(OR(ЦТО!AW478=1),"Инфантильная")))</f>
        <v>0</v>
      </c>
    </row>
    <row r="575" spans="1:9">
      <c r="A575" s="62">
        <f>ЦТО!A479</f>
        <v>0</v>
      </c>
      <c r="B575" s="62">
        <f>ЦТО!B479</f>
        <v>0</v>
      </c>
      <c r="C575" s="67">
        <f>ЦТО!C479</f>
        <v>0</v>
      </c>
      <c r="D575" s="63">
        <f>ЦТО!D479</f>
        <v>0</v>
      </c>
      <c r="E575" s="68">
        <f>SUM(ЦТО!BB479:BI479)</f>
        <v>0</v>
      </c>
      <c r="F575" s="64" t="str">
        <f>IF(E575&lt;10,'вспомогательные данные'!$C$26,IF(E575&lt;19,'вспомогательные данные'!$C$25,'вспомогательные данные'!$C$24))</f>
        <v>положительный</v>
      </c>
      <c r="G575" s="65">
        <f>(18-ЦТО!AM479-ЦТО!AL479)/(18-ЦТО!AL479-ЦТО!AP479)</f>
        <v>1</v>
      </c>
      <c r="H575" s="66" t="str">
        <f>IF(G575&lt;0.51,'вспомогательные данные'!$C$19,IF(G575&lt;0.92,'вспомогательные данные'!$C$20, IF(G575&lt;2,'вспомогательные данные'!$C$21,'вспомогательные данные'!$C$22)))</f>
        <v>оптимальная работоспособность</v>
      </c>
      <c r="I575" s="61" t="b">
        <f>IF(OR(ЦТО!AT479=1,ЦТО!AU479=1,ЦТО!AV479=1,ЦТО!AX479=1),"Положительная",IF(OR(ЦТО!AY479=1,ЦТО!AZ479=1,ЦТО!BA479=1),"Отрицательная",IF(OR(ЦТО!AW479=1),"Инфантильная")))</f>
        <v>0</v>
      </c>
    </row>
    <row r="576" spans="1:9">
      <c r="A576" s="62">
        <f>ЦТО!A480</f>
        <v>0</v>
      </c>
      <c r="B576" s="62">
        <f>ЦТО!B480</f>
        <v>0</v>
      </c>
      <c r="C576" s="67">
        <f>ЦТО!C480</f>
        <v>0</v>
      </c>
      <c r="D576" s="63">
        <f>ЦТО!D480</f>
        <v>0</v>
      </c>
      <c r="E576" s="68">
        <f>SUM(ЦТО!BB480:BI480)</f>
        <v>0</v>
      </c>
      <c r="F576" s="64" t="str">
        <f>IF(E576&lt;10,'вспомогательные данные'!$C$26,IF(E576&lt;19,'вспомогательные данные'!$C$25,'вспомогательные данные'!$C$24))</f>
        <v>положительный</v>
      </c>
      <c r="G576" s="65">
        <f>(18-ЦТО!AM480-ЦТО!AL480)/(18-ЦТО!AL480-ЦТО!AP480)</f>
        <v>1</v>
      </c>
      <c r="H576" s="66" t="str">
        <f>IF(G576&lt;0.51,'вспомогательные данные'!$C$19,IF(G576&lt;0.92,'вспомогательные данные'!$C$20, IF(G576&lt;2,'вспомогательные данные'!$C$21,'вспомогательные данные'!$C$22)))</f>
        <v>оптимальная работоспособность</v>
      </c>
      <c r="I576" s="61" t="b">
        <f>IF(OR(ЦТО!AT480=1,ЦТО!AU480=1,ЦТО!AV480=1,ЦТО!AX480=1),"Положительная",IF(OR(ЦТО!AY480=1,ЦТО!AZ480=1,ЦТО!BA480=1),"Отрицательная",IF(OR(ЦТО!AW480=1),"Инфантильная")))</f>
        <v>0</v>
      </c>
    </row>
    <row r="577" spans="1:9">
      <c r="A577" s="62">
        <f>ЦТО!A481</f>
        <v>0</v>
      </c>
      <c r="B577" s="62">
        <f>ЦТО!B481</f>
        <v>0</v>
      </c>
      <c r="C577" s="67">
        <f>ЦТО!C481</f>
        <v>0</v>
      </c>
      <c r="D577" s="63">
        <f>ЦТО!D481</f>
        <v>0</v>
      </c>
      <c r="E577" s="68">
        <f>SUM(ЦТО!BB481:BI481)</f>
        <v>0</v>
      </c>
      <c r="F577" s="64" t="str">
        <f>IF(E577&lt;10,'вспомогательные данные'!$C$26,IF(E577&lt;19,'вспомогательные данные'!$C$25,'вспомогательные данные'!$C$24))</f>
        <v>положительный</v>
      </c>
      <c r="G577" s="65">
        <f>(18-ЦТО!AM481-ЦТО!AL481)/(18-ЦТО!AL481-ЦТО!AP481)</f>
        <v>1</v>
      </c>
      <c r="H577" s="66" t="str">
        <f>IF(G577&lt;0.51,'вспомогательные данные'!$C$19,IF(G577&lt;0.92,'вспомогательные данные'!$C$20, IF(G577&lt;2,'вспомогательные данные'!$C$21,'вспомогательные данные'!$C$22)))</f>
        <v>оптимальная работоспособность</v>
      </c>
      <c r="I577" s="61" t="b">
        <f>IF(OR(ЦТО!AT481=1,ЦТО!AU481=1,ЦТО!AV481=1,ЦТО!AX481=1),"Положительная",IF(OR(ЦТО!AY481=1,ЦТО!AZ481=1,ЦТО!BA481=1),"Отрицательная",IF(OR(ЦТО!AW481=1),"Инфантильная")))</f>
        <v>0</v>
      </c>
    </row>
    <row r="578" spans="1:9">
      <c r="A578" s="62">
        <f>ЦТО!A482</f>
        <v>0</v>
      </c>
      <c r="B578" s="62">
        <f>ЦТО!B482</f>
        <v>0</v>
      </c>
      <c r="C578" s="67">
        <f>ЦТО!C482</f>
        <v>0</v>
      </c>
      <c r="D578" s="63">
        <f>ЦТО!D482</f>
        <v>0</v>
      </c>
      <c r="E578" s="68">
        <f>SUM(ЦТО!BB482:BI482)</f>
        <v>0</v>
      </c>
      <c r="F578" s="64" t="str">
        <f>IF(E578&lt;10,'вспомогательные данные'!$C$26,IF(E578&lt;19,'вспомогательные данные'!$C$25,'вспомогательные данные'!$C$24))</f>
        <v>положительный</v>
      </c>
      <c r="G578" s="65">
        <f>(18-ЦТО!AM482-ЦТО!AL482)/(18-ЦТО!AL482-ЦТО!AP482)</f>
        <v>1</v>
      </c>
      <c r="H578" s="66" t="str">
        <f>IF(G578&lt;0.51,'вспомогательные данные'!$C$19,IF(G578&lt;0.92,'вспомогательные данные'!$C$20, IF(G578&lt;2,'вспомогательные данные'!$C$21,'вспомогательные данные'!$C$22)))</f>
        <v>оптимальная работоспособность</v>
      </c>
      <c r="I578" s="61" t="b">
        <f>IF(OR(ЦТО!AT482=1,ЦТО!AU482=1,ЦТО!AV482=1,ЦТО!AX482=1),"Положительная",IF(OR(ЦТО!AY482=1,ЦТО!AZ482=1,ЦТО!BA482=1),"Отрицательная",IF(OR(ЦТО!AW482=1),"Инфантильная")))</f>
        <v>0</v>
      </c>
    </row>
    <row r="579" spans="1:9">
      <c r="A579" s="62">
        <f>ЦТО!A483</f>
        <v>0</v>
      </c>
      <c r="B579" s="62">
        <f>ЦТО!B483</f>
        <v>0</v>
      </c>
      <c r="C579" s="67">
        <f>ЦТО!C483</f>
        <v>0</v>
      </c>
      <c r="D579" s="63">
        <f>ЦТО!D483</f>
        <v>0</v>
      </c>
      <c r="E579" s="68">
        <f>SUM(ЦТО!BB483:BI483)</f>
        <v>0</v>
      </c>
      <c r="F579" s="64" t="str">
        <f>IF(E579&lt;10,'вспомогательные данные'!$C$26,IF(E579&lt;19,'вспомогательные данные'!$C$25,'вспомогательные данные'!$C$24))</f>
        <v>положительный</v>
      </c>
      <c r="G579" s="65">
        <f>(18-ЦТО!AM483-ЦТО!AL483)/(18-ЦТО!AL483-ЦТО!AP483)</f>
        <v>1</v>
      </c>
      <c r="H579" s="66" t="str">
        <f>IF(G579&lt;0.51,'вспомогательные данные'!$C$19,IF(G579&lt;0.92,'вспомогательные данные'!$C$20, IF(G579&lt;2,'вспомогательные данные'!$C$21,'вспомогательные данные'!$C$22)))</f>
        <v>оптимальная работоспособность</v>
      </c>
      <c r="I579" s="61" t="b">
        <f>IF(OR(ЦТО!AT483=1,ЦТО!AU483=1,ЦТО!AV483=1,ЦТО!AX483=1),"Положительная",IF(OR(ЦТО!AY483=1,ЦТО!AZ483=1,ЦТО!BA483=1),"Отрицательная",IF(OR(ЦТО!AW483=1),"Инфантильная")))</f>
        <v>0</v>
      </c>
    </row>
    <row r="580" spans="1:9">
      <c r="A580" s="62">
        <f>ЦТО!A484</f>
        <v>0</v>
      </c>
      <c r="B580" s="62">
        <f>ЦТО!B484</f>
        <v>0</v>
      </c>
      <c r="C580" s="67">
        <f>ЦТО!C484</f>
        <v>0</v>
      </c>
      <c r="D580" s="63">
        <f>ЦТО!D484</f>
        <v>0</v>
      </c>
      <c r="E580" s="68">
        <f>SUM(ЦТО!BB484:BI484)</f>
        <v>0</v>
      </c>
      <c r="F580" s="64" t="str">
        <f>IF(E580&lt;10,'вспомогательные данные'!$C$26,IF(E580&lt;19,'вспомогательные данные'!$C$25,'вспомогательные данные'!$C$24))</f>
        <v>положительный</v>
      </c>
      <c r="G580" s="65">
        <f>(18-ЦТО!AM484-ЦТО!AL484)/(18-ЦТО!AL484-ЦТО!AP484)</f>
        <v>1</v>
      </c>
      <c r="H580" s="66" t="str">
        <f>IF(G580&lt;0.51,'вспомогательные данные'!$C$19,IF(G580&lt;0.92,'вспомогательные данные'!$C$20, IF(G580&lt;2,'вспомогательные данные'!$C$21,'вспомогательные данные'!$C$22)))</f>
        <v>оптимальная работоспособность</v>
      </c>
      <c r="I580" s="61" t="b">
        <f>IF(OR(ЦТО!AT484=1,ЦТО!AU484=1,ЦТО!AV484=1,ЦТО!AX484=1),"Положительная",IF(OR(ЦТО!AY484=1,ЦТО!AZ484=1,ЦТО!BA484=1),"Отрицательная",IF(OR(ЦТО!AW484=1),"Инфантильная")))</f>
        <v>0</v>
      </c>
    </row>
    <row r="581" spans="1:9">
      <c r="A581" s="62">
        <f>ЦТО!A485</f>
        <v>0</v>
      </c>
      <c r="B581" s="62">
        <f>ЦТО!B485</f>
        <v>0</v>
      </c>
      <c r="C581" s="67">
        <f>ЦТО!C485</f>
        <v>0</v>
      </c>
      <c r="D581" s="63">
        <f>ЦТО!D485</f>
        <v>0</v>
      </c>
      <c r="E581" s="68">
        <f>SUM(ЦТО!BB485:BI485)</f>
        <v>0</v>
      </c>
      <c r="F581" s="64" t="str">
        <f>IF(E581&lt;10,'вспомогательные данные'!$C$26,IF(E581&lt;19,'вспомогательные данные'!$C$25,'вспомогательные данные'!$C$24))</f>
        <v>положительный</v>
      </c>
      <c r="G581" s="65">
        <f>(18-ЦТО!AM485-ЦТО!AL485)/(18-ЦТО!AL485-ЦТО!AP485)</f>
        <v>1</v>
      </c>
      <c r="H581" s="66" t="str">
        <f>IF(G581&lt;0.51,'вспомогательные данные'!$C$19,IF(G581&lt;0.92,'вспомогательные данные'!$C$20, IF(G581&lt;2,'вспомогательные данные'!$C$21,'вспомогательные данные'!$C$22)))</f>
        <v>оптимальная работоспособность</v>
      </c>
      <c r="I581" s="61" t="b">
        <f>IF(OR(ЦТО!AT485=1,ЦТО!AU485=1,ЦТО!AV485=1,ЦТО!AX485=1),"Положительная",IF(OR(ЦТО!AY485=1,ЦТО!AZ485=1,ЦТО!BA485=1),"Отрицательная",IF(OR(ЦТО!AW485=1),"Инфантильная")))</f>
        <v>0</v>
      </c>
    </row>
    <row r="582" spans="1:9">
      <c r="A582" s="62">
        <f>ЦТО!A486</f>
        <v>0</v>
      </c>
      <c r="B582" s="62">
        <f>ЦТО!B486</f>
        <v>0</v>
      </c>
      <c r="C582" s="67">
        <f>ЦТО!C486</f>
        <v>0</v>
      </c>
      <c r="D582" s="63">
        <f>ЦТО!D486</f>
        <v>0</v>
      </c>
      <c r="E582" s="68">
        <f>SUM(ЦТО!BB486:BI486)</f>
        <v>0</v>
      </c>
      <c r="F582" s="64" t="str">
        <f>IF(E582&lt;10,'вспомогательные данные'!$C$26,IF(E582&lt;19,'вспомогательные данные'!$C$25,'вспомогательные данные'!$C$24))</f>
        <v>положительный</v>
      </c>
      <c r="G582" s="65">
        <f>(18-ЦТО!AM486-ЦТО!AL486)/(18-ЦТО!AL486-ЦТО!AP486)</f>
        <v>1</v>
      </c>
      <c r="H582" s="66" t="str">
        <f>IF(G582&lt;0.51,'вспомогательные данные'!$C$19,IF(G582&lt;0.92,'вспомогательные данные'!$C$20, IF(G582&lt;2,'вспомогательные данные'!$C$21,'вспомогательные данные'!$C$22)))</f>
        <v>оптимальная работоспособность</v>
      </c>
      <c r="I582" s="61" t="b">
        <f>IF(OR(ЦТО!AT486=1,ЦТО!AU486=1,ЦТО!AV486=1,ЦТО!AX486=1),"Положительная",IF(OR(ЦТО!AY486=1,ЦТО!AZ486=1,ЦТО!BA486=1),"Отрицательная",IF(OR(ЦТО!AW486=1),"Инфантильная")))</f>
        <v>0</v>
      </c>
    </row>
    <row r="583" spans="1:9">
      <c r="A583" s="62">
        <f>ЦТО!A487</f>
        <v>0</v>
      </c>
      <c r="B583" s="62">
        <f>ЦТО!B487</f>
        <v>0</v>
      </c>
      <c r="C583" s="67">
        <f>ЦТО!C487</f>
        <v>0</v>
      </c>
      <c r="D583" s="63">
        <f>ЦТО!D487</f>
        <v>0</v>
      </c>
      <c r="E583" s="68">
        <f>SUM(ЦТО!BB487:BI487)</f>
        <v>0</v>
      </c>
      <c r="F583" s="64" t="str">
        <f>IF(E583&lt;10,'вспомогательные данные'!$C$26,IF(E583&lt;19,'вспомогательные данные'!$C$25,'вспомогательные данные'!$C$24))</f>
        <v>положительный</v>
      </c>
      <c r="G583" s="65">
        <f>(18-ЦТО!AM487-ЦТО!AL487)/(18-ЦТО!AL487-ЦТО!AP487)</f>
        <v>1</v>
      </c>
      <c r="H583" s="66" t="str">
        <f>IF(G583&lt;0.51,'вспомогательные данные'!$C$19,IF(G583&lt;0.92,'вспомогательные данные'!$C$20, IF(G583&lt;2,'вспомогательные данные'!$C$21,'вспомогательные данные'!$C$22)))</f>
        <v>оптимальная работоспособность</v>
      </c>
      <c r="I583" s="61" t="b">
        <f>IF(OR(ЦТО!AT487=1,ЦТО!AU487=1,ЦТО!AV487=1,ЦТО!AX487=1),"Положительная",IF(OR(ЦТО!AY487=1,ЦТО!AZ487=1,ЦТО!BA487=1),"Отрицательная",IF(OR(ЦТО!AW487=1),"Инфантильная")))</f>
        <v>0</v>
      </c>
    </row>
    <row r="584" spans="1:9">
      <c r="A584" s="62">
        <f>ЦТО!A488</f>
        <v>0</v>
      </c>
      <c r="B584" s="62">
        <f>ЦТО!B488</f>
        <v>0</v>
      </c>
      <c r="C584" s="67">
        <f>ЦТО!C488</f>
        <v>0</v>
      </c>
      <c r="D584" s="63">
        <f>ЦТО!D488</f>
        <v>0</v>
      </c>
      <c r="E584" s="68">
        <f>SUM(ЦТО!BB488:BI488)</f>
        <v>0</v>
      </c>
      <c r="F584" s="64" t="str">
        <f>IF(E584&lt;10,'вспомогательные данные'!$C$26,IF(E584&lt;19,'вспомогательные данные'!$C$25,'вспомогательные данные'!$C$24))</f>
        <v>положительный</v>
      </c>
      <c r="G584" s="65">
        <f>(18-ЦТО!AM488-ЦТО!AL488)/(18-ЦТО!AL488-ЦТО!AP488)</f>
        <v>1</v>
      </c>
      <c r="H584" s="66" t="str">
        <f>IF(G584&lt;0.51,'вспомогательные данные'!$C$19,IF(G584&lt;0.92,'вспомогательные данные'!$C$20, IF(G584&lt;2,'вспомогательные данные'!$C$21,'вспомогательные данные'!$C$22)))</f>
        <v>оптимальная работоспособность</v>
      </c>
      <c r="I584" s="61" t="b">
        <f>IF(OR(ЦТО!AT488=1,ЦТО!AU488=1,ЦТО!AV488=1,ЦТО!AX488=1),"Положительная",IF(OR(ЦТО!AY488=1,ЦТО!AZ488=1,ЦТО!BA488=1),"Отрицательная",IF(OR(ЦТО!AW488=1),"Инфантильная")))</f>
        <v>0</v>
      </c>
    </row>
    <row r="585" spans="1:9">
      <c r="A585" s="62">
        <f>ЦТО!A489</f>
        <v>0</v>
      </c>
      <c r="B585" s="62">
        <f>ЦТО!B489</f>
        <v>0</v>
      </c>
      <c r="C585" s="67">
        <f>ЦТО!C489</f>
        <v>0</v>
      </c>
      <c r="D585" s="63">
        <f>ЦТО!D489</f>
        <v>0</v>
      </c>
      <c r="E585" s="68">
        <f>SUM(ЦТО!BB489:BI489)</f>
        <v>0</v>
      </c>
      <c r="F585" s="64" t="str">
        <f>IF(E585&lt;10,'вспомогательные данные'!$C$26,IF(E585&lt;19,'вспомогательные данные'!$C$25,'вспомогательные данные'!$C$24))</f>
        <v>положительный</v>
      </c>
      <c r="G585" s="65">
        <f>(18-ЦТО!AM489-ЦТО!AL489)/(18-ЦТО!AL489-ЦТО!AP489)</f>
        <v>1</v>
      </c>
      <c r="H585" s="66" t="str">
        <f>IF(G585&lt;0.51,'вспомогательные данные'!$C$19,IF(G585&lt;0.92,'вспомогательные данные'!$C$20, IF(G585&lt;2,'вспомогательные данные'!$C$21,'вспомогательные данные'!$C$22)))</f>
        <v>оптимальная работоспособность</v>
      </c>
      <c r="I585" s="61" t="b">
        <f>IF(OR(ЦТО!AT489=1,ЦТО!AU489=1,ЦТО!AV489=1,ЦТО!AX489=1),"Положительная",IF(OR(ЦТО!AY489=1,ЦТО!AZ489=1,ЦТО!BA489=1),"Отрицательная",IF(OR(ЦТО!AW489=1),"Инфантильная")))</f>
        <v>0</v>
      </c>
    </row>
    <row r="586" spans="1:9">
      <c r="A586" s="62">
        <f>ЦТО!A490</f>
        <v>0</v>
      </c>
      <c r="B586" s="62">
        <f>ЦТО!B490</f>
        <v>0</v>
      </c>
      <c r="C586" s="67">
        <f>ЦТО!C490</f>
        <v>0</v>
      </c>
      <c r="D586" s="63">
        <f>ЦТО!D490</f>
        <v>0</v>
      </c>
      <c r="E586" s="68">
        <f>SUM(ЦТО!BB490:BI490)</f>
        <v>0</v>
      </c>
      <c r="F586" s="64" t="str">
        <f>IF(E586&lt;10,'вспомогательные данные'!$C$26,IF(E586&lt;19,'вспомогательные данные'!$C$25,'вспомогательные данные'!$C$24))</f>
        <v>положительный</v>
      </c>
      <c r="G586" s="65">
        <f>(18-ЦТО!AM490-ЦТО!AL490)/(18-ЦТО!AL490-ЦТО!AP490)</f>
        <v>1</v>
      </c>
      <c r="H586" s="66" t="str">
        <f>IF(G586&lt;0.51,'вспомогательные данные'!$C$19,IF(G586&lt;0.92,'вспомогательные данные'!$C$20, IF(G586&lt;2,'вспомогательные данные'!$C$21,'вспомогательные данные'!$C$22)))</f>
        <v>оптимальная работоспособность</v>
      </c>
      <c r="I586" s="61" t="b">
        <f>IF(OR(ЦТО!AT490=1,ЦТО!AU490=1,ЦТО!AV490=1,ЦТО!AX490=1),"Положительная",IF(OR(ЦТО!AY490=1,ЦТО!AZ490=1,ЦТО!BA490=1),"Отрицательная",IF(OR(ЦТО!AW490=1),"Инфантильная")))</f>
        <v>0</v>
      </c>
    </row>
    <row r="587" spans="1:9">
      <c r="A587" s="62">
        <f>ЦТО!A491</f>
        <v>0</v>
      </c>
      <c r="B587" s="62">
        <f>ЦТО!B491</f>
        <v>0</v>
      </c>
      <c r="C587" s="67">
        <f>ЦТО!C491</f>
        <v>0</v>
      </c>
      <c r="D587" s="63">
        <f>ЦТО!D491</f>
        <v>0</v>
      </c>
      <c r="E587" s="68">
        <f>SUM(ЦТО!BB491:BI491)</f>
        <v>0</v>
      </c>
      <c r="F587" s="64" t="str">
        <f>IF(E587&lt;10,'вспомогательные данные'!$C$26,IF(E587&lt;19,'вспомогательные данные'!$C$25,'вспомогательные данные'!$C$24))</f>
        <v>положительный</v>
      </c>
      <c r="G587" s="65">
        <f>(18-ЦТО!AM491-ЦТО!AL491)/(18-ЦТО!AL491-ЦТО!AP491)</f>
        <v>1</v>
      </c>
      <c r="H587" s="66" t="str">
        <f>IF(G587&lt;0.51,'вспомогательные данные'!$C$19,IF(G587&lt;0.92,'вспомогательные данные'!$C$20, IF(G587&lt;2,'вспомогательные данные'!$C$21,'вспомогательные данные'!$C$22)))</f>
        <v>оптимальная работоспособность</v>
      </c>
      <c r="I587" s="61" t="b">
        <f>IF(OR(ЦТО!AT491=1,ЦТО!AU491=1,ЦТО!AV491=1,ЦТО!AX491=1),"Положительная",IF(OR(ЦТО!AY491=1,ЦТО!AZ491=1,ЦТО!BA491=1),"Отрицательная",IF(OR(ЦТО!AW491=1),"Инфантильная")))</f>
        <v>0</v>
      </c>
    </row>
    <row r="588" spans="1:9">
      <c r="A588" s="62">
        <f>ЦТО!A492</f>
        <v>0</v>
      </c>
      <c r="B588" s="62">
        <f>ЦТО!B492</f>
        <v>0</v>
      </c>
      <c r="C588" s="67">
        <f>ЦТО!C492</f>
        <v>0</v>
      </c>
      <c r="D588" s="63">
        <f>ЦТО!D492</f>
        <v>0</v>
      </c>
      <c r="E588" s="68">
        <f>SUM(ЦТО!BB492:BI492)</f>
        <v>0</v>
      </c>
      <c r="F588" s="64" t="str">
        <f>IF(E588&lt;10,'вспомогательные данные'!$C$26,IF(E588&lt;19,'вспомогательные данные'!$C$25,'вспомогательные данные'!$C$24))</f>
        <v>положительный</v>
      </c>
      <c r="G588" s="65">
        <f>(18-ЦТО!AM492-ЦТО!AL492)/(18-ЦТО!AL492-ЦТО!AP492)</f>
        <v>1</v>
      </c>
      <c r="H588" s="66" t="str">
        <f>IF(G588&lt;0.51,'вспомогательные данные'!$C$19,IF(G588&lt;0.92,'вспомогательные данные'!$C$20, IF(G588&lt;2,'вспомогательные данные'!$C$21,'вспомогательные данные'!$C$22)))</f>
        <v>оптимальная работоспособность</v>
      </c>
      <c r="I588" s="61" t="b">
        <f>IF(OR(ЦТО!AT492=1,ЦТО!AU492=1,ЦТО!AV492=1,ЦТО!AX492=1),"Положительная",IF(OR(ЦТО!AY492=1,ЦТО!AZ492=1,ЦТО!BA492=1),"Отрицательная",IF(OR(ЦТО!AW492=1),"Инфантильная")))</f>
        <v>0</v>
      </c>
    </row>
    <row r="589" spans="1:9">
      <c r="A589" s="62">
        <f>ЦТО!A493</f>
        <v>0</v>
      </c>
      <c r="B589" s="62">
        <f>ЦТО!B493</f>
        <v>0</v>
      </c>
      <c r="C589" s="67">
        <f>ЦТО!C493</f>
        <v>0</v>
      </c>
      <c r="D589" s="63">
        <f>ЦТО!D493</f>
        <v>0</v>
      </c>
      <c r="E589" s="68">
        <f>SUM(ЦТО!BB493:BI493)</f>
        <v>0</v>
      </c>
      <c r="F589" s="64" t="str">
        <f>IF(E589&lt;10,'вспомогательные данные'!$C$26,IF(E589&lt;19,'вспомогательные данные'!$C$25,'вспомогательные данные'!$C$24))</f>
        <v>положительный</v>
      </c>
      <c r="G589" s="65">
        <f>(18-ЦТО!AM493-ЦТО!AL493)/(18-ЦТО!AL493-ЦТО!AP493)</f>
        <v>1</v>
      </c>
      <c r="H589" s="66" t="str">
        <f>IF(G589&lt;0.51,'вспомогательные данные'!$C$19,IF(G589&lt;0.92,'вспомогательные данные'!$C$20, IF(G589&lt;2,'вспомогательные данные'!$C$21,'вспомогательные данные'!$C$22)))</f>
        <v>оптимальная работоспособность</v>
      </c>
      <c r="I589" s="61" t="b">
        <f>IF(OR(ЦТО!AT493=1,ЦТО!AU493=1,ЦТО!AV493=1,ЦТО!AX493=1),"Положительная",IF(OR(ЦТО!AY493=1,ЦТО!AZ493=1,ЦТО!BA493=1),"Отрицательная",IF(OR(ЦТО!AW493=1),"Инфантильная")))</f>
        <v>0</v>
      </c>
    </row>
    <row r="590" spans="1:9">
      <c r="A590" s="62">
        <f>ЦТО!A494</f>
        <v>0</v>
      </c>
      <c r="B590" s="62">
        <f>ЦТО!B494</f>
        <v>0</v>
      </c>
      <c r="C590" s="67">
        <f>ЦТО!C494</f>
        <v>0</v>
      </c>
      <c r="D590" s="63">
        <f>ЦТО!D494</f>
        <v>0</v>
      </c>
      <c r="E590" s="68">
        <f>SUM(ЦТО!BB494:BI494)</f>
        <v>0</v>
      </c>
      <c r="F590" s="64" t="str">
        <f>IF(E590&lt;10,'вспомогательные данные'!$C$26,IF(E590&lt;19,'вспомогательные данные'!$C$25,'вспомогательные данные'!$C$24))</f>
        <v>положительный</v>
      </c>
      <c r="G590" s="65">
        <f>(18-ЦТО!AM494-ЦТО!AL494)/(18-ЦТО!AL494-ЦТО!AP494)</f>
        <v>1</v>
      </c>
      <c r="H590" s="66" t="str">
        <f>IF(G590&lt;0.51,'вспомогательные данные'!$C$19,IF(G590&lt;0.92,'вспомогательные данные'!$C$20, IF(G590&lt;2,'вспомогательные данные'!$C$21,'вспомогательные данные'!$C$22)))</f>
        <v>оптимальная работоспособность</v>
      </c>
      <c r="I590" s="61" t="b">
        <f>IF(OR(ЦТО!AT494=1,ЦТО!AU494=1,ЦТО!AV494=1,ЦТО!AX494=1),"Положительная",IF(OR(ЦТО!AY494=1,ЦТО!AZ494=1,ЦТО!BA494=1),"Отрицательная",IF(OR(ЦТО!AW494=1),"Инфантильная")))</f>
        <v>0</v>
      </c>
    </row>
    <row r="591" spans="1:9">
      <c r="A591" s="62">
        <f>ЦТО!A495</f>
        <v>0</v>
      </c>
      <c r="B591" s="62">
        <f>ЦТО!B495</f>
        <v>0</v>
      </c>
      <c r="C591" s="67">
        <f>ЦТО!C495</f>
        <v>0</v>
      </c>
      <c r="D591" s="63">
        <f>ЦТО!D495</f>
        <v>0</v>
      </c>
      <c r="E591" s="68">
        <f>SUM(ЦТО!BB495:BI495)</f>
        <v>0</v>
      </c>
      <c r="F591" s="64" t="str">
        <f>IF(E591&lt;10,'вспомогательные данные'!$C$26,IF(E591&lt;19,'вспомогательные данные'!$C$25,'вспомогательные данные'!$C$24))</f>
        <v>положительный</v>
      </c>
      <c r="G591" s="65">
        <f>(18-ЦТО!AM495-ЦТО!AL495)/(18-ЦТО!AL495-ЦТО!AP495)</f>
        <v>1</v>
      </c>
      <c r="H591" s="66" t="str">
        <f>IF(G591&lt;0.51,'вспомогательные данные'!$C$19,IF(G591&lt;0.92,'вспомогательные данные'!$C$20, IF(G591&lt;2,'вспомогательные данные'!$C$21,'вспомогательные данные'!$C$22)))</f>
        <v>оптимальная работоспособность</v>
      </c>
      <c r="I591" s="61" t="b">
        <f>IF(OR(ЦТО!AT495=1,ЦТО!AU495=1,ЦТО!AV495=1,ЦТО!AX495=1),"Положительная",IF(OR(ЦТО!AY495=1,ЦТО!AZ495=1,ЦТО!BA495=1),"Отрицательная",IF(OR(ЦТО!AW495=1),"Инфантильная")))</f>
        <v>0</v>
      </c>
    </row>
    <row r="592" spans="1:9">
      <c r="A592" s="62">
        <f>ЦТО!A496</f>
        <v>0</v>
      </c>
      <c r="B592" s="62">
        <f>ЦТО!B496</f>
        <v>0</v>
      </c>
      <c r="C592" s="67">
        <f>ЦТО!C496</f>
        <v>0</v>
      </c>
      <c r="D592" s="63">
        <f>ЦТО!D496</f>
        <v>0</v>
      </c>
      <c r="E592" s="68">
        <f>SUM(ЦТО!BB496:BI496)</f>
        <v>0</v>
      </c>
      <c r="F592" s="64" t="str">
        <f>IF(E592&lt;10,'вспомогательные данные'!$C$26,IF(E592&lt;19,'вспомогательные данные'!$C$25,'вспомогательные данные'!$C$24))</f>
        <v>положительный</v>
      </c>
      <c r="G592" s="65">
        <f>(18-ЦТО!AM496-ЦТО!AL496)/(18-ЦТО!AL496-ЦТО!AP496)</f>
        <v>1</v>
      </c>
      <c r="H592" s="66" t="str">
        <f>IF(G592&lt;0.51,'вспомогательные данные'!$C$19,IF(G592&lt;0.92,'вспомогательные данные'!$C$20, IF(G592&lt;2,'вспомогательные данные'!$C$21,'вспомогательные данные'!$C$22)))</f>
        <v>оптимальная работоспособность</v>
      </c>
      <c r="I592" s="61" t="b">
        <f>IF(OR(ЦТО!AT496=1,ЦТО!AU496=1,ЦТО!AV496=1,ЦТО!AX496=1),"Положительная",IF(OR(ЦТО!AY496=1,ЦТО!AZ496=1,ЦТО!BA496=1),"Отрицательная",IF(OR(ЦТО!AW496=1),"Инфантильная")))</f>
        <v>0</v>
      </c>
    </row>
    <row r="593" spans="1:9">
      <c r="A593" s="62">
        <f>ЦТО!A497</f>
        <v>0</v>
      </c>
      <c r="B593" s="62">
        <f>ЦТО!B497</f>
        <v>0</v>
      </c>
      <c r="C593" s="67">
        <f>ЦТО!C497</f>
        <v>0</v>
      </c>
      <c r="D593" s="63">
        <f>ЦТО!D497</f>
        <v>0</v>
      </c>
      <c r="E593" s="68">
        <f>SUM(ЦТО!BB497:BI497)</f>
        <v>0</v>
      </c>
      <c r="F593" s="64" t="str">
        <f>IF(E593&lt;10,'вспомогательные данные'!$C$26,IF(E593&lt;19,'вспомогательные данные'!$C$25,'вспомогательные данные'!$C$24))</f>
        <v>положительный</v>
      </c>
      <c r="G593" s="65">
        <f>(18-ЦТО!AM497-ЦТО!AL497)/(18-ЦТО!AL497-ЦТО!AP497)</f>
        <v>1</v>
      </c>
      <c r="H593" s="66" t="str">
        <f>IF(G593&lt;0.51,'вспомогательные данные'!$C$19,IF(G593&lt;0.92,'вспомогательные данные'!$C$20, IF(G593&lt;2,'вспомогательные данные'!$C$21,'вспомогательные данные'!$C$22)))</f>
        <v>оптимальная работоспособность</v>
      </c>
      <c r="I593" s="61" t="b">
        <f>IF(OR(ЦТО!AT497=1,ЦТО!AU497=1,ЦТО!AV497=1,ЦТО!AX497=1),"Положительная",IF(OR(ЦТО!AY497=1,ЦТО!AZ497=1,ЦТО!BA497=1),"Отрицательная",IF(OR(ЦТО!AW497=1),"Инфантильная")))</f>
        <v>0</v>
      </c>
    </row>
    <row r="594" spans="1:9">
      <c r="A594" s="62">
        <f>ЦТО!A498</f>
        <v>0</v>
      </c>
      <c r="B594" s="62">
        <f>ЦТО!B498</f>
        <v>0</v>
      </c>
      <c r="C594" s="67">
        <f>ЦТО!C498</f>
        <v>0</v>
      </c>
      <c r="D594" s="63">
        <f>ЦТО!D498</f>
        <v>0</v>
      </c>
      <c r="E594" s="68">
        <f>SUM(ЦТО!BB498:BI498)</f>
        <v>0</v>
      </c>
      <c r="F594" s="64" t="str">
        <f>IF(E594&lt;10,'вспомогательные данные'!$C$26,IF(E594&lt;19,'вспомогательные данные'!$C$25,'вспомогательные данные'!$C$24))</f>
        <v>положительный</v>
      </c>
      <c r="G594" s="65">
        <f>(18-ЦТО!AM498-ЦТО!AL498)/(18-ЦТО!AL498-ЦТО!AP498)</f>
        <v>1</v>
      </c>
      <c r="H594" s="66" t="str">
        <f>IF(G594&lt;0.51,'вспомогательные данные'!$C$19,IF(G594&lt;0.92,'вспомогательные данные'!$C$20, IF(G594&lt;2,'вспомогательные данные'!$C$21,'вспомогательные данные'!$C$22)))</f>
        <v>оптимальная работоспособность</v>
      </c>
      <c r="I594" s="61" t="b">
        <f>IF(OR(ЦТО!AT498=1,ЦТО!AU498=1,ЦТО!AV498=1,ЦТО!AX498=1),"Положительная",IF(OR(ЦТО!AY498=1,ЦТО!AZ498=1,ЦТО!BA498=1),"Отрицательная",IF(OR(ЦТО!AW498=1),"Инфантильная")))</f>
        <v>0</v>
      </c>
    </row>
    <row r="595" spans="1:9">
      <c r="A595" s="62">
        <f>ЦТО!A499</f>
        <v>0</v>
      </c>
      <c r="B595" s="62">
        <f>ЦТО!B499</f>
        <v>0</v>
      </c>
      <c r="C595" s="67">
        <f>ЦТО!C499</f>
        <v>0</v>
      </c>
      <c r="D595" s="63">
        <f>ЦТО!D499</f>
        <v>0</v>
      </c>
      <c r="E595" s="68">
        <f>SUM(ЦТО!BB499:BI499)</f>
        <v>0</v>
      </c>
      <c r="F595" s="64" t="str">
        <f>IF(E595&lt;10,'вспомогательные данные'!$C$26,IF(E595&lt;19,'вспомогательные данные'!$C$25,'вспомогательные данные'!$C$24))</f>
        <v>положительный</v>
      </c>
      <c r="G595" s="65">
        <f>(18-ЦТО!AM499-ЦТО!AL499)/(18-ЦТО!AL499-ЦТО!AP499)</f>
        <v>1</v>
      </c>
      <c r="H595" s="66" t="str">
        <f>IF(G595&lt;0.51,'вспомогательные данные'!$C$19,IF(G595&lt;0.92,'вспомогательные данные'!$C$20, IF(G595&lt;2,'вспомогательные данные'!$C$21,'вспомогательные данные'!$C$22)))</f>
        <v>оптимальная работоспособность</v>
      </c>
      <c r="I595" s="61" t="b">
        <f>IF(OR(ЦТО!AT499=1,ЦТО!AU499=1,ЦТО!AV499=1,ЦТО!AX499=1),"Положительная",IF(OR(ЦТО!AY499=1,ЦТО!AZ499=1,ЦТО!BA499=1),"Отрицательная",IF(OR(ЦТО!AW499=1),"Инфантильная")))</f>
        <v>0</v>
      </c>
    </row>
    <row r="596" spans="1:9">
      <c r="A596" s="62">
        <f>ЦТО!A500</f>
        <v>0</v>
      </c>
      <c r="B596" s="62">
        <f>ЦТО!B500</f>
        <v>0</v>
      </c>
      <c r="C596" s="67">
        <f>ЦТО!C500</f>
        <v>0</v>
      </c>
      <c r="D596" s="63">
        <f>ЦТО!D500</f>
        <v>0</v>
      </c>
      <c r="E596" s="68">
        <f>SUM(ЦТО!BB500:BI500)</f>
        <v>0</v>
      </c>
      <c r="F596" s="64" t="str">
        <f>IF(E596&lt;10,'вспомогательные данные'!$C$26,IF(E596&lt;19,'вспомогательные данные'!$C$25,'вспомогательные данные'!$C$24))</f>
        <v>положительный</v>
      </c>
      <c r="G596" s="65">
        <f>(18-ЦТО!AM500-ЦТО!AL500)/(18-ЦТО!AL500-ЦТО!AP500)</f>
        <v>1</v>
      </c>
      <c r="H596" s="66" t="str">
        <f>IF(G596&lt;0.51,'вспомогательные данные'!$C$19,IF(G596&lt;0.92,'вспомогательные данные'!$C$20, IF(G596&lt;2,'вспомогательные данные'!$C$21,'вспомогательные данные'!$C$22)))</f>
        <v>оптимальная работоспособность</v>
      </c>
      <c r="I596" s="61" t="b">
        <f>IF(OR(ЦТО!AT500=1,ЦТО!AU500=1,ЦТО!AV500=1,ЦТО!AX500=1),"Положительная",IF(OR(ЦТО!AY500=1,ЦТО!AZ500=1,ЦТО!BA500=1),"Отрицательная",IF(OR(ЦТО!AW500=1),"Инфантильная")))</f>
        <v>0</v>
      </c>
    </row>
    <row r="597" spans="1:9">
      <c r="A597" s="62">
        <f>ЦТО!A501</f>
        <v>0</v>
      </c>
      <c r="B597" s="62">
        <f>ЦТО!B501</f>
        <v>0</v>
      </c>
      <c r="C597" s="67">
        <f>ЦТО!C501</f>
        <v>0</v>
      </c>
      <c r="D597" s="63">
        <f>ЦТО!D501</f>
        <v>0</v>
      </c>
      <c r="E597" s="68">
        <f>SUM(ЦТО!BB501:BI501)</f>
        <v>0</v>
      </c>
      <c r="F597" s="64" t="str">
        <f>IF(E597&lt;10,'вспомогательные данные'!$C$26,IF(E597&lt;19,'вспомогательные данные'!$C$25,'вспомогательные данные'!$C$24))</f>
        <v>положительный</v>
      </c>
      <c r="G597" s="65">
        <f>(18-ЦТО!AM501-ЦТО!AL501)/(18-ЦТО!AL501-ЦТО!AP501)</f>
        <v>1</v>
      </c>
      <c r="H597" s="66" t="str">
        <f>IF(G597&lt;0.51,'вспомогательные данные'!$C$19,IF(G597&lt;0.92,'вспомогательные данные'!$C$20, IF(G597&lt;2,'вспомогательные данные'!$C$21,'вспомогательные данные'!$C$22)))</f>
        <v>оптимальная работоспособность</v>
      </c>
      <c r="I597" s="61" t="b">
        <f>IF(OR(ЦТО!AT501=1,ЦТО!AU501=1,ЦТО!AV501=1,ЦТО!AX501=1),"Положительная",IF(OR(ЦТО!AY501=1,ЦТО!AZ501=1,ЦТО!BA501=1),"Отрицательная",IF(OR(ЦТО!AW501=1),"Инфантильная")))</f>
        <v>0</v>
      </c>
    </row>
    <row r="598" spans="1:9">
      <c r="A598" s="62">
        <f>ЦТО!A502</f>
        <v>0</v>
      </c>
      <c r="B598" s="62">
        <f>ЦТО!B502</f>
        <v>0</v>
      </c>
      <c r="C598" s="67">
        <f>ЦТО!C502</f>
        <v>0</v>
      </c>
      <c r="D598" s="63">
        <f>ЦТО!D502</f>
        <v>0</v>
      </c>
      <c r="E598" s="68">
        <f>SUM(ЦТО!BB502:BI502)</f>
        <v>0</v>
      </c>
      <c r="F598" s="64" t="str">
        <f>IF(E598&lt;10,'вспомогательные данные'!$C$26,IF(E598&lt;19,'вспомогательные данные'!$C$25,'вспомогательные данные'!$C$24))</f>
        <v>положительный</v>
      </c>
      <c r="G598" s="65">
        <f>(18-ЦТО!AM502-ЦТО!AL502)/(18-ЦТО!AL502-ЦТО!AP502)</f>
        <v>1</v>
      </c>
      <c r="H598" s="66" t="str">
        <f>IF(G598&lt;0.51,'вспомогательные данные'!$C$19,IF(G598&lt;0.92,'вспомогательные данные'!$C$20, IF(G598&lt;2,'вспомогательные данные'!$C$21,'вспомогательные данные'!$C$22)))</f>
        <v>оптимальная работоспособность</v>
      </c>
      <c r="I598" s="61" t="b">
        <f>IF(OR(ЦТО!AT502=1,ЦТО!AU502=1,ЦТО!AV502=1,ЦТО!AX502=1),"Положительная",IF(OR(ЦТО!AY502=1,ЦТО!AZ502=1,ЦТО!BA502=1),"Отрицательная",IF(OR(ЦТО!AW502=1),"Инфантильная")))</f>
        <v>0</v>
      </c>
    </row>
    <row r="599" spans="1:9">
      <c r="A599" s="62">
        <f>ЦТО!A503</f>
        <v>0</v>
      </c>
      <c r="B599" s="62">
        <f>ЦТО!B503</f>
        <v>0</v>
      </c>
      <c r="C599" s="67">
        <f>ЦТО!C503</f>
        <v>0</v>
      </c>
      <c r="D599" s="63">
        <f>ЦТО!D503</f>
        <v>0</v>
      </c>
      <c r="E599" s="68">
        <f>SUM(ЦТО!BB503:BI503)</f>
        <v>0</v>
      </c>
      <c r="F599" s="64" t="str">
        <f>IF(E599&lt;10,'вспомогательные данные'!$C$26,IF(E599&lt;19,'вспомогательные данные'!$C$25,'вспомогательные данные'!$C$24))</f>
        <v>положительный</v>
      </c>
      <c r="G599" s="65">
        <f>(18-ЦТО!AM503-ЦТО!AL503)/(18-ЦТО!AL503-ЦТО!AP503)</f>
        <v>1</v>
      </c>
      <c r="H599" s="66" t="str">
        <f>IF(G599&lt;0.51,'вспомогательные данные'!$C$19,IF(G599&lt;0.92,'вспомогательные данные'!$C$20, IF(G599&lt;2,'вспомогательные данные'!$C$21,'вспомогательные данные'!$C$22)))</f>
        <v>оптимальная работоспособность</v>
      </c>
      <c r="I599" s="61" t="b">
        <f>IF(OR(ЦТО!AT503=1,ЦТО!AU503=1,ЦТО!AV503=1,ЦТО!AX503=1),"Положительная",IF(OR(ЦТО!AY503=1,ЦТО!AZ503=1,ЦТО!BA503=1),"Отрицательная",IF(OR(ЦТО!AW503=1),"Инфантильная")))</f>
        <v>0</v>
      </c>
    </row>
    <row r="600" spans="1:9">
      <c r="A600" s="62">
        <f>ЦТО!A504</f>
        <v>0</v>
      </c>
      <c r="B600" s="62">
        <f>ЦТО!B504</f>
        <v>0</v>
      </c>
      <c r="C600" s="67">
        <f>ЦТО!C504</f>
        <v>0</v>
      </c>
      <c r="D600" s="63">
        <f>ЦТО!D504</f>
        <v>0</v>
      </c>
      <c r="E600" s="68">
        <f>SUM(ЦТО!BB504:BI504)</f>
        <v>0</v>
      </c>
      <c r="F600" s="64" t="str">
        <f>IF(E600&lt;10,'вспомогательные данные'!$C$26,IF(E600&lt;19,'вспомогательные данные'!$C$25,'вспомогательные данные'!$C$24))</f>
        <v>положительный</v>
      </c>
      <c r="G600" s="65">
        <f>(18-ЦТО!AM504-ЦТО!AL504)/(18-ЦТО!AL504-ЦТО!AP504)</f>
        <v>1</v>
      </c>
      <c r="H600" s="66" t="str">
        <f>IF(G600&lt;0.51,'вспомогательные данные'!$C$19,IF(G600&lt;0.92,'вспомогательные данные'!$C$20, IF(G600&lt;2,'вспомогательные данные'!$C$21,'вспомогательные данные'!$C$22)))</f>
        <v>оптимальная работоспособность</v>
      </c>
      <c r="I600" s="61" t="b">
        <f>IF(OR(ЦТО!AT504=1,ЦТО!AU504=1,ЦТО!AV504=1,ЦТО!AX504=1),"Положительная",IF(OR(ЦТО!AY504=1,ЦТО!AZ504=1,ЦТО!BA504=1),"Отрицательная",IF(OR(ЦТО!AW504=1),"Инфантильная")))</f>
        <v>0</v>
      </c>
    </row>
    <row r="601" spans="1:9">
      <c r="A601" s="62">
        <f>ЦТО!A505</f>
        <v>0</v>
      </c>
      <c r="B601" s="62">
        <f>ЦТО!B505</f>
        <v>0</v>
      </c>
      <c r="C601" s="67">
        <f>ЦТО!C505</f>
        <v>0</v>
      </c>
      <c r="D601" s="63">
        <f>ЦТО!D505</f>
        <v>0</v>
      </c>
      <c r="E601" s="68">
        <f>SUM(ЦТО!BB505:BI505)</f>
        <v>0</v>
      </c>
      <c r="F601" s="64" t="str">
        <f>IF(E601&lt;10,'вспомогательные данные'!$C$26,IF(E601&lt;19,'вспомогательные данные'!$C$25,'вспомогательные данные'!$C$24))</f>
        <v>положительный</v>
      </c>
      <c r="G601" s="65">
        <f>(18-ЦТО!AM505-ЦТО!AL505)/(18-ЦТО!AL505-ЦТО!AP505)</f>
        <v>1</v>
      </c>
      <c r="H601" s="66" t="str">
        <f>IF(G601&lt;0.51,'вспомогательные данные'!$C$19,IF(G601&lt;0.92,'вспомогательные данные'!$C$20, IF(G601&lt;2,'вспомогательные данные'!$C$21,'вспомогательные данные'!$C$22)))</f>
        <v>оптимальная работоспособность</v>
      </c>
      <c r="I601" s="61" t="b">
        <f>IF(OR(ЦТО!AT505=1,ЦТО!AU505=1,ЦТО!AV505=1,ЦТО!AX505=1),"Положительная",IF(OR(ЦТО!AY505=1,ЦТО!AZ505=1,ЦТО!BA505=1),"Отрицательная",IF(OR(ЦТО!AW505=1),"Инфантильная")))</f>
        <v>0</v>
      </c>
    </row>
    <row r="602" spans="1:9">
      <c r="A602" s="62">
        <f>ЦТО!A506</f>
        <v>0</v>
      </c>
      <c r="B602" s="62">
        <f>ЦТО!B506</f>
        <v>0</v>
      </c>
      <c r="C602" s="67">
        <f>ЦТО!C506</f>
        <v>0</v>
      </c>
      <c r="D602" s="63">
        <f>ЦТО!D506</f>
        <v>0</v>
      </c>
      <c r="E602" s="68">
        <f>SUM(ЦТО!BB506:BI506)</f>
        <v>0</v>
      </c>
      <c r="F602" s="64" t="str">
        <f>IF(E602&lt;10,'вспомогательные данные'!$C$26,IF(E602&lt;19,'вспомогательные данные'!$C$25,'вспомогательные данные'!$C$24))</f>
        <v>положительный</v>
      </c>
      <c r="G602" s="65">
        <f>(18-ЦТО!AM506-ЦТО!AL506)/(18-ЦТО!AL506-ЦТО!AP506)</f>
        <v>1</v>
      </c>
      <c r="H602" s="66" t="str">
        <f>IF(G602&lt;0.51,'вспомогательные данные'!$C$19,IF(G602&lt;0.92,'вспомогательные данные'!$C$20, IF(G602&lt;2,'вспомогательные данные'!$C$21,'вспомогательные данные'!$C$22)))</f>
        <v>оптимальная работоспособность</v>
      </c>
      <c r="I602" s="61" t="b">
        <f>IF(OR(ЦТО!AT506=1,ЦТО!AU506=1,ЦТО!AV506=1,ЦТО!AX506=1),"Положительная",IF(OR(ЦТО!AY506=1,ЦТО!AZ506=1,ЦТО!BA506=1),"Отрицательная",IF(OR(ЦТО!AW506=1),"Инфантильная")))</f>
        <v>0</v>
      </c>
    </row>
    <row r="603" spans="1:9">
      <c r="A603" s="62">
        <f>ЦТО!A507</f>
        <v>0</v>
      </c>
      <c r="B603" s="62">
        <f>ЦТО!B507</f>
        <v>0</v>
      </c>
      <c r="C603" s="67">
        <f>ЦТО!C507</f>
        <v>0</v>
      </c>
      <c r="D603" s="63">
        <f>ЦТО!D507</f>
        <v>0</v>
      </c>
      <c r="E603" s="68">
        <f>SUM(ЦТО!BB507:BI507)</f>
        <v>0</v>
      </c>
      <c r="F603" s="64" t="str">
        <f>IF(E603&lt;10,'вспомогательные данные'!$C$26,IF(E603&lt;19,'вспомогательные данные'!$C$25,'вспомогательные данные'!$C$24))</f>
        <v>положительный</v>
      </c>
      <c r="G603" s="65">
        <f>(18-ЦТО!AM507-ЦТО!AL507)/(18-ЦТО!AL507-ЦТО!AP507)</f>
        <v>1</v>
      </c>
      <c r="H603" s="66" t="str">
        <f>IF(G603&lt;0.51,'вспомогательные данные'!$C$19,IF(G603&lt;0.92,'вспомогательные данные'!$C$20, IF(G603&lt;2,'вспомогательные данные'!$C$21,'вспомогательные данные'!$C$22)))</f>
        <v>оптимальная работоспособность</v>
      </c>
      <c r="I603" s="61" t="b">
        <f>IF(OR(ЦТО!AT507=1,ЦТО!AU507=1,ЦТО!AV507=1,ЦТО!AX507=1),"Положительная",IF(OR(ЦТО!AY507=1,ЦТО!AZ507=1,ЦТО!BA507=1),"Отрицательная",IF(OR(ЦТО!AW507=1),"Инфантильная")))</f>
        <v>0</v>
      </c>
    </row>
    <row r="604" spans="1:9">
      <c r="A604" s="62">
        <f>ЦТО!A508</f>
        <v>0</v>
      </c>
      <c r="B604" s="62">
        <f>ЦТО!B508</f>
        <v>0</v>
      </c>
      <c r="C604" s="67">
        <f>ЦТО!C508</f>
        <v>0</v>
      </c>
      <c r="D604" s="63">
        <f>ЦТО!D508</f>
        <v>0</v>
      </c>
      <c r="E604" s="68">
        <f>SUM(ЦТО!BB508:BI508)</f>
        <v>0</v>
      </c>
      <c r="F604" s="64" t="str">
        <f>IF(E604&lt;10,'вспомогательные данные'!$C$26,IF(E604&lt;19,'вспомогательные данные'!$C$25,'вспомогательные данные'!$C$24))</f>
        <v>положительный</v>
      </c>
      <c r="G604" s="65">
        <f>(18-ЦТО!AM508-ЦТО!AL508)/(18-ЦТО!AL508-ЦТО!AP508)</f>
        <v>1</v>
      </c>
      <c r="H604" s="66" t="str">
        <f>IF(G604&lt;0.51,'вспомогательные данные'!$C$19,IF(G604&lt;0.92,'вспомогательные данные'!$C$20, IF(G604&lt;2,'вспомогательные данные'!$C$21,'вспомогательные данные'!$C$22)))</f>
        <v>оптимальная работоспособность</v>
      </c>
      <c r="I604" s="61" t="b">
        <f>IF(OR(ЦТО!AT508=1,ЦТО!AU508=1,ЦТО!AV508=1,ЦТО!AX508=1),"Положительная",IF(OR(ЦТО!AY508=1,ЦТО!AZ508=1,ЦТО!BA508=1),"Отрицательная",IF(OR(ЦТО!AW508=1),"Инфантильная")))</f>
        <v>0</v>
      </c>
    </row>
    <row r="605" spans="1:9">
      <c r="A605" s="62">
        <f>ЦТО!A509</f>
        <v>0</v>
      </c>
      <c r="B605" s="62">
        <f>ЦТО!B509</f>
        <v>0</v>
      </c>
      <c r="C605" s="67">
        <f>ЦТО!C509</f>
        <v>0</v>
      </c>
      <c r="D605" s="63">
        <f>ЦТО!D509</f>
        <v>0</v>
      </c>
      <c r="E605" s="68">
        <f>SUM(ЦТО!BB509:BI509)</f>
        <v>0</v>
      </c>
      <c r="F605" s="64" t="str">
        <f>IF(E605&lt;10,'вспомогательные данные'!$C$26,IF(E605&lt;19,'вспомогательные данные'!$C$25,'вспомогательные данные'!$C$24))</f>
        <v>положительный</v>
      </c>
      <c r="G605" s="65">
        <f>(18-ЦТО!AM509-ЦТО!AL509)/(18-ЦТО!AL509-ЦТО!AP509)</f>
        <v>1</v>
      </c>
      <c r="H605" s="66" t="str">
        <f>IF(G605&lt;0.51,'вспомогательные данные'!$C$19,IF(G605&lt;0.92,'вспомогательные данные'!$C$20, IF(G605&lt;2,'вспомогательные данные'!$C$21,'вспомогательные данные'!$C$22)))</f>
        <v>оптимальная работоспособность</v>
      </c>
      <c r="I605" s="61" t="b">
        <f>IF(OR(ЦТО!AT509=1,ЦТО!AU509=1,ЦТО!AV509=1,ЦТО!AX509=1),"Положительная",IF(OR(ЦТО!AY509=1,ЦТО!AZ509=1,ЦТО!BA509=1),"Отрицательная",IF(OR(ЦТО!AW509=1),"Инфантильная")))</f>
        <v>0</v>
      </c>
    </row>
    <row r="606" spans="1:9">
      <c r="A606" s="62">
        <f>ЦТО!A510</f>
        <v>0</v>
      </c>
      <c r="B606" s="62">
        <f>ЦТО!B510</f>
        <v>0</v>
      </c>
      <c r="C606" s="67">
        <f>ЦТО!C510</f>
        <v>0</v>
      </c>
      <c r="D606" s="63">
        <f>ЦТО!D510</f>
        <v>0</v>
      </c>
      <c r="E606" s="68">
        <f>SUM(ЦТО!BB510:BI510)</f>
        <v>0</v>
      </c>
      <c r="F606" s="64" t="str">
        <f>IF(E606&lt;10,'вспомогательные данные'!$C$26,IF(E606&lt;19,'вспомогательные данные'!$C$25,'вспомогательные данные'!$C$24))</f>
        <v>положительный</v>
      </c>
      <c r="G606" s="65">
        <f>(18-ЦТО!AM510-ЦТО!AL510)/(18-ЦТО!AL510-ЦТО!AP510)</f>
        <v>1</v>
      </c>
      <c r="H606" s="66" t="str">
        <f>IF(G606&lt;0.51,'вспомогательные данные'!$C$19,IF(G606&lt;0.92,'вспомогательные данные'!$C$20, IF(G606&lt;2,'вспомогательные данные'!$C$21,'вспомогательные данные'!$C$22)))</f>
        <v>оптимальная работоспособность</v>
      </c>
      <c r="I606" s="61" t="b">
        <f>IF(OR(ЦТО!AT510=1,ЦТО!AU510=1,ЦТО!AV510=1,ЦТО!AX510=1),"Положительная",IF(OR(ЦТО!AY510=1,ЦТО!AZ510=1,ЦТО!BA510=1),"Отрицательная",IF(OR(ЦТО!AW510=1),"Инфантильная")))</f>
        <v>0</v>
      </c>
    </row>
    <row r="607" spans="1:9">
      <c r="A607" s="62">
        <f>ЦТО!A511</f>
        <v>0</v>
      </c>
      <c r="B607" s="62">
        <f>ЦТО!B511</f>
        <v>0</v>
      </c>
      <c r="C607" s="67">
        <f>ЦТО!C511</f>
        <v>0</v>
      </c>
      <c r="D607" s="63">
        <f>ЦТО!D511</f>
        <v>0</v>
      </c>
      <c r="E607" s="68">
        <f>SUM(ЦТО!BB511:BI511)</f>
        <v>0</v>
      </c>
      <c r="F607" s="64" t="str">
        <f>IF(E607&lt;10,'вспомогательные данные'!$C$26,IF(E607&lt;19,'вспомогательные данные'!$C$25,'вспомогательные данные'!$C$24))</f>
        <v>положительный</v>
      </c>
      <c r="G607" s="65">
        <f>(18-ЦТО!AM511-ЦТО!AL511)/(18-ЦТО!AL511-ЦТО!AP511)</f>
        <v>1</v>
      </c>
      <c r="H607" s="66" t="str">
        <f>IF(G607&lt;0.51,'вспомогательные данные'!$C$19,IF(G607&lt;0.92,'вспомогательные данные'!$C$20, IF(G607&lt;2,'вспомогательные данные'!$C$21,'вспомогательные данные'!$C$22)))</f>
        <v>оптимальная работоспособность</v>
      </c>
      <c r="I607" s="61" t="b">
        <f>IF(OR(ЦТО!AT511=1,ЦТО!AU511=1,ЦТО!AV511=1,ЦТО!AX511=1),"Положительная",IF(OR(ЦТО!AY511=1,ЦТО!AZ511=1,ЦТО!BA511=1),"Отрицательная",IF(OR(ЦТО!AW511=1),"Инфантильная")))</f>
        <v>0</v>
      </c>
    </row>
    <row r="608" spans="1:9">
      <c r="A608" s="62">
        <f>ЦТО!A512</f>
        <v>0</v>
      </c>
      <c r="B608" s="62">
        <f>ЦТО!B512</f>
        <v>0</v>
      </c>
      <c r="C608" s="67">
        <f>ЦТО!C512</f>
        <v>0</v>
      </c>
      <c r="D608" s="63">
        <f>ЦТО!D512</f>
        <v>0</v>
      </c>
      <c r="E608" s="68">
        <f>SUM(ЦТО!BB512:BI512)</f>
        <v>0</v>
      </c>
      <c r="F608" s="64" t="str">
        <f>IF(E608&lt;10,'вспомогательные данные'!$C$26,IF(E608&lt;19,'вспомогательные данные'!$C$25,'вспомогательные данные'!$C$24))</f>
        <v>положительный</v>
      </c>
      <c r="G608" s="65">
        <f>(18-ЦТО!AM512-ЦТО!AL512)/(18-ЦТО!AL512-ЦТО!AP512)</f>
        <v>1</v>
      </c>
      <c r="H608" s="66" t="str">
        <f>IF(G608&lt;0.51,'вспомогательные данные'!$C$19,IF(G608&lt;0.92,'вспомогательные данные'!$C$20, IF(G608&lt;2,'вспомогательные данные'!$C$21,'вспомогательные данные'!$C$22)))</f>
        <v>оптимальная работоспособность</v>
      </c>
      <c r="I608" s="61" t="b">
        <f>IF(OR(ЦТО!AT512=1,ЦТО!AU512=1,ЦТО!AV512=1,ЦТО!AX512=1),"Положительная",IF(OR(ЦТО!AY512=1,ЦТО!AZ512=1,ЦТО!BA512=1),"Отрицательная",IF(OR(ЦТО!AW512=1),"Инфантильная")))</f>
        <v>0</v>
      </c>
    </row>
    <row r="609" spans="1:9">
      <c r="A609" s="62">
        <f>ЦТО!A513</f>
        <v>0</v>
      </c>
      <c r="B609" s="62">
        <f>ЦТО!B513</f>
        <v>0</v>
      </c>
      <c r="C609" s="67">
        <f>ЦТО!C513</f>
        <v>0</v>
      </c>
      <c r="D609" s="63">
        <f>ЦТО!D513</f>
        <v>0</v>
      </c>
      <c r="E609" s="68">
        <f>SUM(ЦТО!BB513:BI513)</f>
        <v>0</v>
      </c>
      <c r="F609" s="64" t="str">
        <f>IF(E609&lt;10,'вспомогательные данные'!$C$26,IF(E609&lt;19,'вспомогательные данные'!$C$25,'вспомогательные данные'!$C$24))</f>
        <v>положительный</v>
      </c>
      <c r="G609" s="65">
        <f>(18-ЦТО!AM513-ЦТО!AL513)/(18-ЦТО!AL513-ЦТО!AP513)</f>
        <v>1</v>
      </c>
      <c r="H609" s="66" t="str">
        <f>IF(G609&lt;0.51,'вспомогательные данные'!$C$19,IF(G609&lt;0.92,'вспомогательные данные'!$C$20, IF(G609&lt;2,'вспомогательные данные'!$C$21,'вспомогательные данные'!$C$22)))</f>
        <v>оптимальная работоспособность</v>
      </c>
      <c r="I609" s="61" t="b">
        <f>IF(OR(ЦТО!AT513=1,ЦТО!AU513=1,ЦТО!AV513=1,ЦТО!AX513=1),"Положительная",IF(OR(ЦТО!AY513=1,ЦТО!AZ513=1,ЦТО!BA513=1),"Отрицательная",IF(OR(ЦТО!AW513=1),"Инфантильная")))</f>
        <v>0</v>
      </c>
    </row>
    <row r="610" spans="1:9">
      <c r="A610" s="62">
        <f>ЦТО!A514</f>
        <v>0</v>
      </c>
      <c r="B610" s="62">
        <f>ЦТО!B514</f>
        <v>0</v>
      </c>
      <c r="C610" s="67">
        <f>ЦТО!C514</f>
        <v>0</v>
      </c>
      <c r="D610" s="63">
        <f>ЦТО!D514</f>
        <v>0</v>
      </c>
      <c r="E610" s="68">
        <f>SUM(ЦТО!BB514:BI514)</f>
        <v>0</v>
      </c>
      <c r="F610" s="64" t="str">
        <f>IF(E610&lt;10,'вспомогательные данные'!$C$26,IF(E610&lt;19,'вспомогательные данные'!$C$25,'вспомогательные данные'!$C$24))</f>
        <v>положительный</v>
      </c>
      <c r="G610" s="65">
        <f>(18-ЦТО!AM514-ЦТО!AL514)/(18-ЦТО!AL514-ЦТО!AP514)</f>
        <v>1</v>
      </c>
      <c r="H610" s="66" t="str">
        <f>IF(G610&lt;0.51,'вспомогательные данные'!$C$19,IF(G610&lt;0.92,'вспомогательные данные'!$C$20, IF(G610&lt;2,'вспомогательные данные'!$C$21,'вспомогательные данные'!$C$22)))</f>
        <v>оптимальная работоспособность</v>
      </c>
      <c r="I610" s="61" t="b">
        <f>IF(OR(ЦТО!AT514=1,ЦТО!AU514=1,ЦТО!AV514=1,ЦТО!AX514=1),"Положительная",IF(OR(ЦТО!AY514=1,ЦТО!AZ514=1,ЦТО!BA514=1),"Отрицательная",IF(OR(ЦТО!AW514=1),"Инфантильная")))</f>
        <v>0</v>
      </c>
    </row>
    <row r="611" spans="1:9">
      <c r="A611" s="62">
        <f>ЦТО!A515</f>
        <v>0</v>
      </c>
      <c r="B611" s="62">
        <f>ЦТО!B515</f>
        <v>0</v>
      </c>
      <c r="C611" s="67">
        <f>ЦТО!C515</f>
        <v>0</v>
      </c>
      <c r="D611" s="63">
        <f>ЦТО!D515</f>
        <v>0</v>
      </c>
      <c r="E611" s="68">
        <f>SUM(ЦТО!BB515:BI515)</f>
        <v>0</v>
      </c>
      <c r="F611" s="64" t="str">
        <f>IF(E611&lt;10,'вспомогательные данные'!$C$26,IF(E611&lt;19,'вспомогательные данные'!$C$25,'вспомогательные данные'!$C$24))</f>
        <v>положительный</v>
      </c>
      <c r="G611" s="65">
        <f>(18-ЦТО!AM515-ЦТО!AL515)/(18-ЦТО!AL515-ЦТО!AP515)</f>
        <v>1</v>
      </c>
      <c r="H611" s="66" t="str">
        <f>IF(G611&lt;0.51,'вспомогательные данные'!$C$19,IF(G611&lt;0.92,'вспомогательные данные'!$C$20, IF(G611&lt;2,'вспомогательные данные'!$C$21,'вспомогательные данные'!$C$22)))</f>
        <v>оптимальная работоспособность</v>
      </c>
      <c r="I611" s="61" t="b">
        <f>IF(OR(ЦТО!AT515=1,ЦТО!AU515=1,ЦТО!AV515=1,ЦТО!AX515=1),"Положительная",IF(OR(ЦТО!AY515=1,ЦТО!AZ515=1,ЦТО!BA515=1),"Отрицательная",IF(OR(ЦТО!AW515=1),"Инфантильная")))</f>
        <v>0</v>
      </c>
    </row>
    <row r="612" spans="1:9">
      <c r="A612" s="62">
        <f>ЦТО!A516</f>
        <v>0</v>
      </c>
      <c r="B612" s="62">
        <f>ЦТО!B516</f>
        <v>0</v>
      </c>
      <c r="C612" s="67">
        <f>ЦТО!C516</f>
        <v>0</v>
      </c>
      <c r="D612" s="63">
        <f>ЦТО!D516</f>
        <v>0</v>
      </c>
      <c r="E612" s="68">
        <f>SUM(ЦТО!BB516:BI516)</f>
        <v>0</v>
      </c>
      <c r="F612" s="64" t="str">
        <f>IF(E612&lt;10,'вспомогательные данные'!$C$26,IF(E612&lt;19,'вспомогательные данные'!$C$25,'вспомогательные данные'!$C$24))</f>
        <v>положительный</v>
      </c>
      <c r="G612" s="65">
        <f>(18-ЦТО!AM516-ЦТО!AL516)/(18-ЦТО!AL516-ЦТО!AP516)</f>
        <v>1</v>
      </c>
      <c r="H612" s="66" t="str">
        <f>IF(G612&lt;0.51,'вспомогательные данные'!$C$19,IF(G612&lt;0.92,'вспомогательные данные'!$C$20, IF(G612&lt;2,'вспомогательные данные'!$C$21,'вспомогательные данные'!$C$22)))</f>
        <v>оптимальная работоспособность</v>
      </c>
      <c r="I612" s="61" t="b">
        <f>IF(OR(ЦТО!AT516=1,ЦТО!AU516=1,ЦТО!AV516=1,ЦТО!AX516=1),"Положительная",IF(OR(ЦТО!AY516=1,ЦТО!AZ516=1,ЦТО!BA516=1),"Отрицательная",IF(OR(ЦТО!AW516=1),"Инфантильная")))</f>
        <v>0</v>
      </c>
    </row>
    <row r="613" spans="1:9">
      <c r="A613" s="62">
        <f>ЦТО!A517</f>
        <v>0</v>
      </c>
      <c r="B613" s="62">
        <f>ЦТО!B517</f>
        <v>0</v>
      </c>
      <c r="C613" s="67">
        <f>ЦТО!C517</f>
        <v>0</v>
      </c>
      <c r="D613" s="63">
        <f>ЦТО!D517</f>
        <v>0</v>
      </c>
      <c r="E613" s="68">
        <f>SUM(ЦТО!BB517:BI517)</f>
        <v>0</v>
      </c>
      <c r="F613" s="64" t="str">
        <f>IF(E613&lt;10,'вспомогательные данные'!$C$26,IF(E613&lt;19,'вспомогательные данные'!$C$25,'вспомогательные данные'!$C$24))</f>
        <v>положительный</v>
      </c>
      <c r="G613" s="65">
        <f>(18-ЦТО!AM517-ЦТО!AL517)/(18-ЦТО!AL517-ЦТО!AP517)</f>
        <v>1</v>
      </c>
      <c r="H613" s="66" t="str">
        <f>IF(G613&lt;0.51,'вспомогательные данные'!$C$19,IF(G613&lt;0.92,'вспомогательные данные'!$C$20, IF(G613&lt;2,'вспомогательные данные'!$C$21,'вспомогательные данные'!$C$22)))</f>
        <v>оптимальная работоспособность</v>
      </c>
      <c r="I613" s="61" t="b">
        <f>IF(OR(ЦТО!AT517=1,ЦТО!AU517=1,ЦТО!AV517=1,ЦТО!AX517=1),"Положительная",IF(OR(ЦТО!AY517=1,ЦТО!AZ517=1,ЦТО!BA517=1),"Отрицательная",IF(OR(ЦТО!AW517=1),"Инфантильная")))</f>
        <v>0</v>
      </c>
    </row>
    <row r="614" spans="1:9">
      <c r="A614" s="62">
        <f>ЦТО!A518</f>
        <v>0</v>
      </c>
      <c r="B614" s="62">
        <f>ЦТО!B518</f>
        <v>0</v>
      </c>
      <c r="C614" s="67">
        <f>ЦТО!C518</f>
        <v>0</v>
      </c>
      <c r="D614" s="63">
        <f>ЦТО!D518</f>
        <v>0</v>
      </c>
      <c r="E614" s="68">
        <f>SUM(ЦТО!BB518:BI518)</f>
        <v>0</v>
      </c>
      <c r="F614" s="64" t="str">
        <f>IF(E614&lt;10,'вспомогательные данные'!$C$26,IF(E614&lt;19,'вспомогательные данные'!$C$25,'вспомогательные данные'!$C$24))</f>
        <v>положительный</v>
      </c>
      <c r="G614" s="65">
        <f>(18-ЦТО!AM518-ЦТО!AL518)/(18-ЦТО!AL518-ЦТО!AP518)</f>
        <v>1</v>
      </c>
      <c r="H614" s="66" t="str">
        <f>IF(G614&lt;0.51,'вспомогательные данные'!$C$19,IF(G614&lt;0.92,'вспомогательные данные'!$C$20, IF(G614&lt;2,'вспомогательные данные'!$C$21,'вспомогательные данные'!$C$22)))</f>
        <v>оптимальная работоспособность</v>
      </c>
      <c r="I614" s="61" t="b">
        <f>IF(OR(ЦТО!AT518=1,ЦТО!AU518=1,ЦТО!AV518=1,ЦТО!AX518=1),"Положительная",IF(OR(ЦТО!AY518=1,ЦТО!AZ518=1,ЦТО!BA518=1),"Отрицательная",IF(OR(ЦТО!AW518=1),"Инфантильная")))</f>
        <v>0</v>
      </c>
    </row>
    <row r="615" spans="1:9">
      <c r="A615" s="62">
        <f>ЦТО!A519</f>
        <v>0</v>
      </c>
      <c r="B615" s="62">
        <f>ЦТО!B519</f>
        <v>0</v>
      </c>
      <c r="C615" s="67">
        <f>ЦТО!C519</f>
        <v>0</v>
      </c>
      <c r="D615" s="63">
        <f>ЦТО!D519</f>
        <v>0</v>
      </c>
      <c r="E615" s="68">
        <f>SUM(ЦТО!BB519:BI519)</f>
        <v>0</v>
      </c>
      <c r="F615" s="64" t="str">
        <f>IF(E615&lt;10,'вспомогательные данные'!$C$26,IF(E615&lt;19,'вспомогательные данные'!$C$25,'вспомогательные данные'!$C$24))</f>
        <v>положительный</v>
      </c>
      <c r="G615" s="65">
        <f>(18-ЦТО!AM519-ЦТО!AL519)/(18-ЦТО!AL519-ЦТО!AP519)</f>
        <v>1</v>
      </c>
      <c r="H615" s="66" t="str">
        <f>IF(G615&lt;0.51,'вспомогательные данные'!$C$19,IF(G615&lt;0.92,'вспомогательные данные'!$C$20, IF(G615&lt;2,'вспомогательные данные'!$C$21,'вспомогательные данные'!$C$22)))</f>
        <v>оптимальная работоспособность</v>
      </c>
      <c r="I615" s="61" t="b">
        <f>IF(OR(ЦТО!AT519=1,ЦТО!AU519=1,ЦТО!AV519=1,ЦТО!AX519=1),"Положительная",IF(OR(ЦТО!AY519=1,ЦТО!AZ519=1,ЦТО!BA519=1),"Отрицательная",IF(OR(ЦТО!AW519=1),"Инфантильная")))</f>
        <v>0</v>
      </c>
    </row>
    <row r="616" spans="1:9">
      <c r="A616" s="62">
        <f>ЦТО!A520</f>
        <v>0</v>
      </c>
      <c r="B616" s="62">
        <f>ЦТО!B520</f>
        <v>0</v>
      </c>
      <c r="C616" s="67">
        <f>ЦТО!C520</f>
        <v>0</v>
      </c>
      <c r="D616" s="63">
        <f>ЦТО!D520</f>
        <v>0</v>
      </c>
      <c r="E616" s="68">
        <f>SUM(ЦТО!BB520:BI520)</f>
        <v>0</v>
      </c>
      <c r="F616" s="64" t="str">
        <f>IF(E616&lt;10,'вспомогательные данные'!$C$26,IF(E616&lt;19,'вспомогательные данные'!$C$25,'вспомогательные данные'!$C$24))</f>
        <v>положительный</v>
      </c>
      <c r="G616" s="65">
        <f>(18-ЦТО!AM520-ЦТО!AL520)/(18-ЦТО!AL520-ЦТО!AP520)</f>
        <v>1</v>
      </c>
      <c r="H616" s="66" t="str">
        <f>IF(G616&lt;0.51,'вспомогательные данные'!$C$19,IF(G616&lt;0.92,'вспомогательные данные'!$C$20, IF(G616&lt;2,'вспомогательные данные'!$C$21,'вспомогательные данные'!$C$22)))</f>
        <v>оптимальная работоспособность</v>
      </c>
      <c r="I616" s="61" t="b">
        <f>IF(OR(ЦТО!AT520=1,ЦТО!AU520=1,ЦТО!AV520=1,ЦТО!AX520=1),"Положительная",IF(OR(ЦТО!AY520=1,ЦТО!AZ520=1,ЦТО!BA520=1),"Отрицательная",IF(OR(ЦТО!AW520=1),"Инфантильная")))</f>
        <v>0</v>
      </c>
    </row>
    <row r="617" spans="1:9">
      <c r="A617" s="62">
        <f>ЦТО!A521</f>
        <v>0</v>
      </c>
      <c r="B617" s="62">
        <f>ЦТО!B521</f>
        <v>0</v>
      </c>
      <c r="C617" s="67">
        <f>ЦТО!C521</f>
        <v>0</v>
      </c>
      <c r="D617" s="63">
        <f>ЦТО!D521</f>
        <v>0</v>
      </c>
      <c r="E617" s="68">
        <f>SUM(ЦТО!BB521:BI521)</f>
        <v>0</v>
      </c>
      <c r="F617" s="64" t="str">
        <f>IF(E617&lt;10,'вспомогательные данные'!$C$26,IF(E617&lt;19,'вспомогательные данные'!$C$25,'вспомогательные данные'!$C$24))</f>
        <v>положительный</v>
      </c>
      <c r="G617" s="65">
        <f>(18-ЦТО!AM521-ЦТО!AL521)/(18-ЦТО!AL521-ЦТО!AP521)</f>
        <v>1</v>
      </c>
      <c r="H617" s="66" t="str">
        <f>IF(G617&lt;0.51,'вспомогательные данные'!$C$19,IF(G617&lt;0.92,'вспомогательные данные'!$C$20, IF(G617&lt;2,'вспомогательные данные'!$C$21,'вспомогательные данные'!$C$22)))</f>
        <v>оптимальная работоспособность</v>
      </c>
      <c r="I617" s="61" t="b">
        <f>IF(OR(ЦТО!AT521=1,ЦТО!AU521=1,ЦТО!AV521=1,ЦТО!AX521=1),"Положительная",IF(OR(ЦТО!AY521=1,ЦТО!AZ521=1,ЦТО!BA521=1),"Отрицательная",IF(OR(ЦТО!AW521=1),"Инфантильная")))</f>
        <v>0</v>
      </c>
    </row>
    <row r="618" spans="1:9">
      <c r="A618" s="62">
        <f>ЦТО!A522</f>
        <v>0</v>
      </c>
      <c r="B618" s="62">
        <f>ЦТО!B522</f>
        <v>0</v>
      </c>
      <c r="C618" s="67">
        <f>ЦТО!C522</f>
        <v>0</v>
      </c>
      <c r="D618" s="63">
        <f>ЦТО!D522</f>
        <v>0</v>
      </c>
      <c r="E618" s="68">
        <f>SUM(ЦТО!BB522:BI522)</f>
        <v>0</v>
      </c>
      <c r="F618" s="64" t="str">
        <f>IF(E618&lt;10,'вспомогательные данные'!$C$26,IF(E618&lt;19,'вспомогательные данные'!$C$25,'вспомогательные данные'!$C$24))</f>
        <v>положительный</v>
      </c>
      <c r="G618" s="65">
        <f>(18-ЦТО!AM522-ЦТО!AL522)/(18-ЦТО!AL522-ЦТО!AP522)</f>
        <v>1</v>
      </c>
      <c r="H618" s="66" t="str">
        <f>IF(G618&lt;0.51,'вспомогательные данные'!$C$19,IF(G618&lt;0.92,'вспомогательные данные'!$C$20, IF(G618&lt;2,'вспомогательные данные'!$C$21,'вспомогательные данные'!$C$22)))</f>
        <v>оптимальная работоспособность</v>
      </c>
      <c r="I618" s="61" t="b">
        <f>IF(OR(ЦТО!AT522=1,ЦТО!AU522=1,ЦТО!AV522=1,ЦТО!AX522=1),"Положительная",IF(OR(ЦТО!AY522=1,ЦТО!AZ522=1,ЦТО!BA522=1),"Отрицательная",IF(OR(ЦТО!AW522=1),"Инфантильная")))</f>
        <v>0</v>
      </c>
    </row>
    <row r="619" spans="1:9">
      <c r="A619" s="62">
        <f>ЦТО!A523</f>
        <v>0</v>
      </c>
      <c r="B619" s="62">
        <f>ЦТО!B523</f>
        <v>0</v>
      </c>
      <c r="C619" s="67">
        <f>ЦТО!C523</f>
        <v>0</v>
      </c>
      <c r="D619" s="63">
        <f>ЦТО!D523</f>
        <v>0</v>
      </c>
      <c r="E619" s="68">
        <f>SUM(ЦТО!BB523:BI523)</f>
        <v>0</v>
      </c>
      <c r="F619" s="64" t="str">
        <f>IF(E619&lt;10,'вспомогательные данные'!$C$26,IF(E619&lt;19,'вспомогательные данные'!$C$25,'вспомогательные данные'!$C$24))</f>
        <v>положительный</v>
      </c>
      <c r="G619" s="65">
        <f>(18-ЦТО!AM523-ЦТО!AL523)/(18-ЦТО!AL523-ЦТО!AP523)</f>
        <v>1</v>
      </c>
      <c r="H619" s="66" t="str">
        <f>IF(G619&lt;0.51,'вспомогательные данные'!$C$19,IF(G619&lt;0.92,'вспомогательные данные'!$C$20, IF(G619&lt;2,'вспомогательные данные'!$C$21,'вспомогательные данные'!$C$22)))</f>
        <v>оптимальная работоспособность</v>
      </c>
      <c r="I619" s="61" t="b">
        <f>IF(OR(ЦТО!AT523=1,ЦТО!AU523=1,ЦТО!AV523=1,ЦТО!AX523=1),"Положительная",IF(OR(ЦТО!AY523=1,ЦТО!AZ523=1,ЦТО!BA523=1),"Отрицательная",IF(OR(ЦТО!AW523=1),"Инфантильная")))</f>
        <v>0</v>
      </c>
    </row>
    <row r="620" spans="1:9">
      <c r="A620" s="62">
        <f>ЦТО!A524</f>
        <v>0</v>
      </c>
      <c r="B620" s="62">
        <f>ЦТО!B524</f>
        <v>0</v>
      </c>
      <c r="C620" s="67">
        <f>ЦТО!C524</f>
        <v>0</v>
      </c>
      <c r="D620" s="63">
        <f>ЦТО!D524</f>
        <v>0</v>
      </c>
      <c r="E620" s="68">
        <f>SUM(ЦТО!BB524:BI524)</f>
        <v>0</v>
      </c>
      <c r="F620" s="64" t="str">
        <f>IF(E620&lt;10,'вспомогательные данные'!$C$26,IF(E620&lt;19,'вспомогательные данные'!$C$25,'вспомогательные данные'!$C$24))</f>
        <v>положительный</v>
      </c>
      <c r="G620" s="65">
        <f>(18-ЦТО!AM524-ЦТО!AL524)/(18-ЦТО!AL524-ЦТО!AP524)</f>
        <v>1</v>
      </c>
      <c r="H620" s="66" t="str">
        <f>IF(G620&lt;0.51,'вспомогательные данные'!$C$19,IF(G620&lt;0.92,'вспомогательные данные'!$C$20, IF(G620&lt;2,'вспомогательные данные'!$C$21,'вспомогательные данные'!$C$22)))</f>
        <v>оптимальная работоспособность</v>
      </c>
      <c r="I620" s="61" t="b">
        <f>IF(OR(ЦТО!AT524=1,ЦТО!AU524=1,ЦТО!AV524=1,ЦТО!AX524=1),"Положительная",IF(OR(ЦТО!AY524=1,ЦТО!AZ524=1,ЦТО!BA524=1),"Отрицательная",IF(OR(ЦТО!AW524=1),"Инфантильная")))</f>
        <v>0</v>
      </c>
    </row>
    <row r="621" spans="1:9">
      <c r="A621" s="62">
        <f>ЦТО!A525</f>
        <v>0</v>
      </c>
      <c r="B621" s="62">
        <f>ЦТО!B525</f>
        <v>0</v>
      </c>
      <c r="C621" s="67">
        <f>ЦТО!C525</f>
        <v>0</v>
      </c>
      <c r="D621" s="63">
        <f>ЦТО!D525</f>
        <v>0</v>
      </c>
      <c r="E621" s="68">
        <f>SUM(ЦТО!BB525:BI525)</f>
        <v>0</v>
      </c>
      <c r="F621" s="64" t="str">
        <f>IF(E621&lt;10,'вспомогательные данные'!$C$26,IF(E621&lt;19,'вспомогательные данные'!$C$25,'вспомогательные данные'!$C$24))</f>
        <v>положительный</v>
      </c>
      <c r="G621" s="65">
        <f>(18-ЦТО!AM525-ЦТО!AL525)/(18-ЦТО!AL525-ЦТО!AP525)</f>
        <v>1</v>
      </c>
      <c r="H621" s="66" t="str">
        <f>IF(G621&lt;0.51,'вспомогательные данные'!$C$19,IF(G621&lt;0.92,'вспомогательные данные'!$C$20, IF(G621&lt;2,'вспомогательные данные'!$C$21,'вспомогательные данные'!$C$22)))</f>
        <v>оптимальная работоспособность</v>
      </c>
      <c r="I621" s="61" t="b">
        <f>IF(OR(ЦТО!AT525=1,ЦТО!AU525=1,ЦТО!AV525=1,ЦТО!AX525=1),"Положительная",IF(OR(ЦТО!AY525=1,ЦТО!AZ525=1,ЦТО!BA525=1),"Отрицательная",IF(OR(ЦТО!AW525=1),"Инфантильная")))</f>
        <v>0</v>
      </c>
    </row>
    <row r="622" spans="1:9">
      <c r="A622" s="62">
        <f>ЦТО!A526</f>
        <v>0</v>
      </c>
      <c r="B622" s="62">
        <f>ЦТО!B526</f>
        <v>0</v>
      </c>
      <c r="C622" s="67">
        <f>ЦТО!C526</f>
        <v>0</v>
      </c>
      <c r="D622" s="63">
        <f>ЦТО!D526</f>
        <v>0</v>
      </c>
      <c r="E622" s="68">
        <f>SUM(ЦТО!BB526:BI526)</f>
        <v>0</v>
      </c>
      <c r="F622" s="64" t="str">
        <f>IF(E622&lt;10,'вспомогательные данные'!$C$26,IF(E622&lt;19,'вспомогательные данные'!$C$25,'вспомогательные данные'!$C$24))</f>
        <v>положительный</v>
      </c>
      <c r="G622" s="65">
        <f>(18-ЦТО!AM526-ЦТО!AL526)/(18-ЦТО!AL526-ЦТО!AP526)</f>
        <v>1</v>
      </c>
      <c r="H622" s="66" t="str">
        <f>IF(G622&lt;0.51,'вспомогательные данные'!$C$19,IF(G622&lt;0.92,'вспомогательные данные'!$C$20, IF(G622&lt;2,'вспомогательные данные'!$C$21,'вспомогательные данные'!$C$22)))</f>
        <v>оптимальная работоспособность</v>
      </c>
      <c r="I622" s="61" t="b">
        <f>IF(OR(ЦТО!AT526=1,ЦТО!AU526=1,ЦТО!AV526=1,ЦТО!AX526=1),"Положительная",IF(OR(ЦТО!AY526=1,ЦТО!AZ526=1,ЦТО!BA526=1),"Отрицательная",IF(OR(ЦТО!AW526=1),"Инфантильная")))</f>
        <v>0</v>
      </c>
    </row>
    <row r="623" spans="1:9">
      <c r="A623" s="62">
        <f>ЦТО!A527</f>
        <v>0</v>
      </c>
      <c r="B623" s="62">
        <f>ЦТО!B527</f>
        <v>0</v>
      </c>
      <c r="C623" s="67">
        <f>ЦТО!C527</f>
        <v>0</v>
      </c>
      <c r="D623" s="63">
        <f>ЦТО!D527</f>
        <v>0</v>
      </c>
      <c r="E623" s="68">
        <f>SUM(ЦТО!BB527:BI527)</f>
        <v>0</v>
      </c>
      <c r="F623" s="64" t="str">
        <f>IF(E623&lt;10,'вспомогательные данные'!$C$26,IF(E623&lt;19,'вспомогательные данные'!$C$25,'вспомогательные данные'!$C$24))</f>
        <v>положительный</v>
      </c>
      <c r="G623" s="65">
        <f>(18-ЦТО!AM527-ЦТО!AL527)/(18-ЦТО!AL527-ЦТО!AP527)</f>
        <v>1</v>
      </c>
      <c r="H623" s="66" t="str">
        <f>IF(G623&lt;0.51,'вспомогательные данные'!$C$19,IF(G623&lt;0.92,'вспомогательные данные'!$C$20, IF(G623&lt;2,'вспомогательные данные'!$C$21,'вспомогательные данные'!$C$22)))</f>
        <v>оптимальная работоспособность</v>
      </c>
      <c r="I623" s="61" t="b">
        <f>IF(OR(ЦТО!AT527=1,ЦТО!AU527=1,ЦТО!AV527=1,ЦТО!AX527=1),"Положительная",IF(OR(ЦТО!AY527=1,ЦТО!AZ527=1,ЦТО!BA527=1),"Отрицательная",IF(OR(ЦТО!AW527=1),"Инфантильная")))</f>
        <v>0</v>
      </c>
    </row>
    <row r="624" spans="1:9">
      <c r="A624" s="62">
        <f>ЦТО!A528</f>
        <v>0</v>
      </c>
      <c r="B624" s="62">
        <f>ЦТО!B528</f>
        <v>0</v>
      </c>
      <c r="C624" s="67">
        <f>ЦТО!C528</f>
        <v>0</v>
      </c>
      <c r="D624" s="63">
        <f>ЦТО!D528</f>
        <v>0</v>
      </c>
      <c r="E624" s="68">
        <f>SUM(ЦТО!BB528:BI528)</f>
        <v>0</v>
      </c>
      <c r="F624" s="64" t="str">
        <f>IF(E624&lt;10,'вспомогательные данные'!$C$26,IF(E624&lt;19,'вспомогательные данные'!$C$25,'вспомогательные данные'!$C$24))</f>
        <v>положительный</v>
      </c>
      <c r="G624" s="65">
        <f>(18-ЦТО!AM528-ЦТО!AL528)/(18-ЦТО!AL528-ЦТО!AP528)</f>
        <v>1</v>
      </c>
      <c r="H624" s="66" t="str">
        <f>IF(G624&lt;0.51,'вспомогательные данные'!$C$19,IF(G624&lt;0.92,'вспомогательные данные'!$C$20, IF(G624&lt;2,'вспомогательные данные'!$C$21,'вспомогательные данные'!$C$22)))</f>
        <v>оптимальная работоспособность</v>
      </c>
      <c r="I624" s="61" t="b">
        <f>IF(OR(ЦТО!AT528=1,ЦТО!AU528=1,ЦТО!AV528=1,ЦТО!AX528=1),"Положительная",IF(OR(ЦТО!AY528=1,ЦТО!AZ528=1,ЦТО!BA528=1),"Отрицательная",IF(OR(ЦТО!AW528=1),"Инфантильная")))</f>
        <v>0</v>
      </c>
    </row>
    <row r="625" spans="1:9">
      <c r="A625" s="62">
        <f>ЦТО!A529</f>
        <v>0</v>
      </c>
      <c r="B625" s="62">
        <f>ЦТО!B529</f>
        <v>0</v>
      </c>
      <c r="C625" s="67">
        <f>ЦТО!C529</f>
        <v>0</v>
      </c>
      <c r="D625" s="63">
        <f>ЦТО!D529</f>
        <v>0</v>
      </c>
      <c r="E625" s="68">
        <f>SUM(ЦТО!BB529:BI529)</f>
        <v>0</v>
      </c>
      <c r="F625" s="64" t="str">
        <f>IF(E625&lt;10,'вспомогательные данные'!$C$26,IF(E625&lt;19,'вспомогательные данные'!$C$25,'вспомогательные данные'!$C$24))</f>
        <v>положительный</v>
      </c>
      <c r="G625" s="65">
        <f>(18-ЦТО!AM529-ЦТО!AL529)/(18-ЦТО!AL529-ЦТО!AP529)</f>
        <v>1</v>
      </c>
      <c r="H625" s="66" t="str">
        <f>IF(G625&lt;0.51,'вспомогательные данные'!$C$19,IF(G625&lt;0.92,'вспомогательные данные'!$C$20, IF(G625&lt;2,'вспомогательные данные'!$C$21,'вспомогательные данные'!$C$22)))</f>
        <v>оптимальная работоспособность</v>
      </c>
      <c r="I625" s="61" t="b">
        <f>IF(OR(ЦТО!AT529=1,ЦТО!AU529=1,ЦТО!AV529=1,ЦТО!AX529=1),"Положительная",IF(OR(ЦТО!AY529=1,ЦТО!AZ529=1,ЦТО!BA529=1),"Отрицательная",IF(OR(ЦТО!AW529=1),"Инфантильная")))</f>
        <v>0</v>
      </c>
    </row>
    <row r="626" spans="1:9">
      <c r="A626" s="62">
        <f>ЦТО!A530</f>
        <v>0</v>
      </c>
      <c r="B626" s="62">
        <f>ЦТО!B530</f>
        <v>0</v>
      </c>
      <c r="C626" s="67">
        <f>ЦТО!C530</f>
        <v>0</v>
      </c>
      <c r="D626" s="63">
        <f>ЦТО!D530</f>
        <v>0</v>
      </c>
      <c r="E626" s="68">
        <f>SUM(ЦТО!BB530:BI530)</f>
        <v>0</v>
      </c>
      <c r="F626" s="64" t="str">
        <f>IF(E626&lt;10,'вспомогательные данные'!$C$26,IF(E626&lt;19,'вспомогательные данные'!$C$25,'вспомогательные данные'!$C$24))</f>
        <v>положительный</v>
      </c>
      <c r="G626" s="65">
        <f>(18-ЦТО!AM530-ЦТО!AL530)/(18-ЦТО!AL530-ЦТО!AP530)</f>
        <v>1</v>
      </c>
      <c r="H626" s="66" t="str">
        <f>IF(G626&lt;0.51,'вспомогательные данные'!$C$19,IF(G626&lt;0.92,'вспомогательные данные'!$C$20, IF(G626&lt;2,'вспомогательные данные'!$C$21,'вспомогательные данные'!$C$22)))</f>
        <v>оптимальная работоспособность</v>
      </c>
      <c r="I626" s="61" t="b">
        <f>IF(OR(ЦТО!AT530=1,ЦТО!AU530=1,ЦТО!AV530=1,ЦТО!AX530=1),"Положительная",IF(OR(ЦТО!AY530=1,ЦТО!AZ530=1,ЦТО!BA530=1),"Отрицательная",IF(OR(ЦТО!AW530=1),"Инфантильная")))</f>
        <v>0</v>
      </c>
    </row>
    <row r="627" spans="1:9">
      <c r="A627" s="62">
        <f>ЦТО!A531</f>
        <v>0</v>
      </c>
      <c r="B627" s="62">
        <f>ЦТО!B531</f>
        <v>0</v>
      </c>
      <c r="C627" s="67">
        <f>ЦТО!C531</f>
        <v>0</v>
      </c>
      <c r="D627" s="63">
        <f>ЦТО!D531</f>
        <v>0</v>
      </c>
      <c r="E627" s="68">
        <f>SUM(ЦТО!BB531:BI531)</f>
        <v>0</v>
      </c>
      <c r="F627" s="64" t="str">
        <f>IF(E627&lt;10,'вспомогательные данные'!$C$26,IF(E627&lt;19,'вспомогательные данные'!$C$25,'вспомогательные данные'!$C$24))</f>
        <v>положительный</v>
      </c>
      <c r="G627" s="65">
        <f>(18-ЦТО!AM531-ЦТО!AL531)/(18-ЦТО!AL531-ЦТО!AP531)</f>
        <v>1</v>
      </c>
      <c r="H627" s="66" t="str">
        <f>IF(G627&lt;0.51,'вспомогательные данные'!$C$19,IF(G627&lt;0.92,'вспомогательные данные'!$C$20, IF(G627&lt;2,'вспомогательные данные'!$C$21,'вспомогательные данные'!$C$22)))</f>
        <v>оптимальная работоспособность</v>
      </c>
      <c r="I627" s="61" t="b">
        <f>IF(OR(ЦТО!AT531=1,ЦТО!AU531=1,ЦТО!AV531=1,ЦТО!AX531=1),"Положительная",IF(OR(ЦТО!AY531=1,ЦТО!AZ531=1,ЦТО!BA531=1),"Отрицательная",IF(OR(ЦТО!AW531=1),"Инфантильная")))</f>
        <v>0</v>
      </c>
    </row>
    <row r="628" spans="1:9">
      <c r="A628" s="62">
        <f>ЦТО!A532</f>
        <v>0</v>
      </c>
      <c r="B628" s="62">
        <f>ЦТО!B532</f>
        <v>0</v>
      </c>
      <c r="C628" s="67">
        <f>ЦТО!C532</f>
        <v>0</v>
      </c>
      <c r="D628" s="63">
        <f>ЦТО!D532</f>
        <v>0</v>
      </c>
      <c r="E628" s="68">
        <f>SUM(ЦТО!BB532:BI532)</f>
        <v>0</v>
      </c>
      <c r="F628" s="64" t="str">
        <f>IF(E628&lt;10,'вспомогательные данные'!$C$26,IF(E628&lt;19,'вспомогательные данные'!$C$25,'вспомогательные данные'!$C$24))</f>
        <v>положительный</v>
      </c>
      <c r="G628" s="65">
        <f>(18-ЦТО!AM532-ЦТО!AL532)/(18-ЦТО!AL532-ЦТО!AP532)</f>
        <v>1</v>
      </c>
      <c r="H628" s="66" t="str">
        <f>IF(G628&lt;0.51,'вспомогательные данные'!$C$19,IF(G628&lt;0.92,'вспомогательные данные'!$C$20, IF(G628&lt;2,'вспомогательные данные'!$C$21,'вспомогательные данные'!$C$22)))</f>
        <v>оптимальная работоспособность</v>
      </c>
      <c r="I628" s="61" t="b">
        <f>IF(OR(ЦТО!AT532=1,ЦТО!AU532=1,ЦТО!AV532=1,ЦТО!AX532=1),"Положительная",IF(OR(ЦТО!AY532=1,ЦТО!AZ532=1,ЦТО!BA532=1),"Отрицательная",IF(OR(ЦТО!AW532=1),"Инфантильная")))</f>
        <v>0</v>
      </c>
    </row>
    <row r="629" spans="1:9">
      <c r="A629" s="62">
        <f>ЦТО!A533</f>
        <v>0</v>
      </c>
      <c r="B629" s="62">
        <f>ЦТО!B533</f>
        <v>0</v>
      </c>
      <c r="C629" s="67">
        <f>ЦТО!C533</f>
        <v>0</v>
      </c>
      <c r="D629" s="63">
        <f>ЦТО!D533</f>
        <v>0</v>
      </c>
      <c r="E629" s="68">
        <f>SUM(ЦТО!BB533:BI533)</f>
        <v>0</v>
      </c>
      <c r="F629" s="64" t="str">
        <f>IF(E629&lt;10,'вспомогательные данные'!$C$26,IF(E629&lt;19,'вспомогательные данные'!$C$25,'вспомогательные данные'!$C$24))</f>
        <v>положительный</v>
      </c>
      <c r="G629" s="65">
        <f>(18-ЦТО!AM533-ЦТО!AL533)/(18-ЦТО!AL533-ЦТО!AP533)</f>
        <v>1</v>
      </c>
      <c r="H629" s="66" t="str">
        <f>IF(G629&lt;0.51,'вспомогательные данные'!$C$19,IF(G629&lt;0.92,'вспомогательные данные'!$C$20, IF(G629&lt;2,'вспомогательные данные'!$C$21,'вспомогательные данные'!$C$22)))</f>
        <v>оптимальная работоспособность</v>
      </c>
      <c r="I629" s="61" t="b">
        <f>IF(OR(ЦТО!AT533=1,ЦТО!AU533=1,ЦТО!AV533=1,ЦТО!AX533=1),"Положительная",IF(OR(ЦТО!AY533=1,ЦТО!AZ533=1,ЦТО!BA533=1),"Отрицательная",IF(OR(ЦТО!AW533=1),"Инфантильная")))</f>
        <v>0</v>
      </c>
    </row>
    <row r="630" spans="1:9">
      <c r="A630" s="62">
        <f>ЦТО!A534</f>
        <v>0</v>
      </c>
      <c r="B630" s="62">
        <f>ЦТО!B534</f>
        <v>0</v>
      </c>
      <c r="C630" s="67">
        <f>ЦТО!C534</f>
        <v>0</v>
      </c>
      <c r="D630" s="63">
        <f>ЦТО!D534</f>
        <v>0</v>
      </c>
      <c r="E630" s="68">
        <f>SUM(ЦТО!BB534:BI534)</f>
        <v>0</v>
      </c>
      <c r="F630" s="64" t="str">
        <f>IF(E630&lt;10,'вспомогательные данные'!$C$26,IF(E630&lt;19,'вспомогательные данные'!$C$25,'вспомогательные данные'!$C$24))</f>
        <v>положительный</v>
      </c>
      <c r="G630" s="65">
        <f>(18-ЦТО!AM534-ЦТО!AL534)/(18-ЦТО!AL534-ЦТО!AP534)</f>
        <v>1</v>
      </c>
      <c r="H630" s="66" t="str">
        <f>IF(G630&lt;0.51,'вспомогательные данные'!$C$19,IF(G630&lt;0.92,'вспомогательные данные'!$C$20, IF(G630&lt;2,'вспомогательные данные'!$C$21,'вспомогательные данные'!$C$22)))</f>
        <v>оптимальная работоспособность</v>
      </c>
      <c r="I630" s="61" t="b">
        <f>IF(OR(ЦТО!AT534=1,ЦТО!AU534=1,ЦТО!AV534=1,ЦТО!AX534=1),"Положительная",IF(OR(ЦТО!AY534=1,ЦТО!AZ534=1,ЦТО!BA534=1),"Отрицательная",IF(OR(ЦТО!AW534=1),"Инфантильная")))</f>
        <v>0</v>
      </c>
    </row>
    <row r="631" spans="1:9">
      <c r="A631" s="62">
        <f>ЦТО!A535</f>
        <v>0</v>
      </c>
      <c r="B631" s="62">
        <f>ЦТО!B535</f>
        <v>0</v>
      </c>
      <c r="C631" s="67">
        <f>ЦТО!C535</f>
        <v>0</v>
      </c>
      <c r="D631" s="63">
        <f>ЦТО!D535</f>
        <v>0</v>
      </c>
      <c r="E631" s="68">
        <f>SUM(ЦТО!BB535:BI535)</f>
        <v>0</v>
      </c>
      <c r="F631" s="64" t="str">
        <f>IF(E631&lt;10,'вспомогательные данные'!$C$26,IF(E631&lt;19,'вспомогательные данные'!$C$25,'вспомогательные данные'!$C$24))</f>
        <v>положительный</v>
      </c>
      <c r="G631" s="65">
        <f>(18-ЦТО!AM535-ЦТО!AL535)/(18-ЦТО!AL535-ЦТО!AP535)</f>
        <v>1</v>
      </c>
      <c r="H631" s="66" t="str">
        <f>IF(G631&lt;0.51,'вспомогательные данные'!$C$19,IF(G631&lt;0.92,'вспомогательные данные'!$C$20, IF(G631&lt;2,'вспомогательные данные'!$C$21,'вспомогательные данные'!$C$22)))</f>
        <v>оптимальная работоспособность</v>
      </c>
      <c r="I631" s="61" t="b">
        <f>IF(OR(ЦТО!AT535=1,ЦТО!AU535=1,ЦТО!AV535=1,ЦТО!AX535=1),"Положительная",IF(OR(ЦТО!AY535=1,ЦТО!AZ535=1,ЦТО!BA535=1),"Отрицательная",IF(OR(ЦТО!AW535=1),"Инфантильная")))</f>
        <v>0</v>
      </c>
    </row>
    <row r="632" spans="1:9">
      <c r="A632" s="62">
        <f>ЦТО!A536</f>
        <v>0</v>
      </c>
      <c r="B632" s="62">
        <f>ЦТО!B536</f>
        <v>0</v>
      </c>
      <c r="C632" s="67">
        <f>ЦТО!C536</f>
        <v>0</v>
      </c>
      <c r="D632" s="63">
        <f>ЦТО!D536</f>
        <v>0</v>
      </c>
      <c r="E632" s="68">
        <f>SUM(ЦТО!BB536:BI536)</f>
        <v>0</v>
      </c>
      <c r="F632" s="64" t="str">
        <f>IF(E632&lt;10,'вспомогательные данные'!$C$26,IF(E632&lt;19,'вспомогательные данные'!$C$25,'вспомогательные данные'!$C$24))</f>
        <v>положительный</v>
      </c>
      <c r="G632" s="65">
        <f>(18-ЦТО!AM536-ЦТО!AL536)/(18-ЦТО!AL536-ЦТО!AP536)</f>
        <v>1</v>
      </c>
      <c r="H632" s="66" t="str">
        <f>IF(G632&lt;0.51,'вспомогательные данные'!$C$19,IF(G632&lt;0.92,'вспомогательные данные'!$C$20, IF(G632&lt;2,'вспомогательные данные'!$C$21,'вспомогательные данные'!$C$22)))</f>
        <v>оптимальная работоспособность</v>
      </c>
      <c r="I632" s="61" t="b">
        <f>IF(OR(ЦТО!AT536=1,ЦТО!AU536=1,ЦТО!AV536=1,ЦТО!AX536=1),"Положительная",IF(OR(ЦТО!AY536=1,ЦТО!AZ536=1,ЦТО!BA536=1),"Отрицательная",IF(OR(ЦТО!AW536=1),"Инфантильная")))</f>
        <v>0</v>
      </c>
    </row>
    <row r="633" spans="1:9">
      <c r="A633" s="62">
        <f>ЦТО!A537</f>
        <v>0</v>
      </c>
      <c r="B633" s="62">
        <f>ЦТО!B537</f>
        <v>0</v>
      </c>
      <c r="C633" s="67">
        <f>ЦТО!C537</f>
        <v>0</v>
      </c>
      <c r="D633" s="63">
        <f>ЦТО!D537</f>
        <v>0</v>
      </c>
      <c r="E633" s="68">
        <f>SUM(ЦТО!BB537:BI537)</f>
        <v>0</v>
      </c>
      <c r="F633" s="64" t="str">
        <f>IF(E633&lt;10,'вспомогательные данные'!$C$26,IF(E633&lt;19,'вспомогательные данные'!$C$25,'вспомогательные данные'!$C$24))</f>
        <v>положительный</v>
      </c>
      <c r="G633" s="65">
        <f>(18-ЦТО!AM537-ЦТО!AL537)/(18-ЦТО!AL537-ЦТО!AP537)</f>
        <v>1</v>
      </c>
      <c r="H633" s="66" t="str">
        <f>IF(G633&lt;0.51,'вспомогательные данные'!$C$19,IF(G633&lt;0.92,'вспомогательные данные'!$C$20, IF(G633&lt;2,'вспомогательные данные'!$C$21,'вспомогательные данные'!$C$22)))</f>
        <v>оптимальная работоспособность</v>
      </c>
      <c r="I633" s="61" t="b">
        <f>IF(OR(ЦТО!AT537=1,ЦТО!AU537=1,ЦТО!AV537=1,ЦТО!AX537=1),"Положительная",IF(OR(ЦТО!AY537=1,ЦТО!AZ537=1,ЦТО!BA537=1),"Отрицательная",IF(OR(ЦТО!AW537=1),"Инфантильная")))</f>
        <v>0</v>
      </c>
    </row>
    <row r="634" spans="1:9">
      <c r="A634" s="62">
        <f>ЦТО!A538</f>
        <v>0</v>
      </c>
      <c r="B634" s="62">
        <f>ЦТО!B538</f>
        <v>0</v>
      </c>
      <c r="C634" s="67">
        <f>ЦТО!C538</f>
        <v>0</v>
      </c>
      <c r="D634" s="63">
        <f>ЦТО!D538</f>
        <v>0</v>
      </c>
      <c r="E634" s="68">
        <f>SUM(ЦТО!BB538:BI538)</f>
        <v>0</v>
      </c>
      <c r="F634" s="64" t="str">
        <f>IF(E634&lt;10,'вспомогательные данные'!$C$26,IF(E634&lt;19,'вспомогательные данные'!$C$25,'вспомогательные данные'!$C$24))</f>
        <v>положительный</v>
      </c>
      <c r="G634" s="65">
        <f>(18-ЦТО!AM538-ЦТО!AL538)/(18-ЦТО!AL538-ЦТО!AP538)</f>
        <v>1</v>
      </c>
      <c r="H634" s="66" t="str">
        <f>IF(G634&lt;0.51,'вспомогательные данные'!$C$19,IF(G634&lt;0.92,'вспомогательные данные'!$C$20, IF(G634&lt;2,'вспомогательные данные'!$C$21,'вспомогательные данные'!$C$22)))</f>
        <v>оптимальная работоспособность</v>
      </c>
      <c r="I634" s="61" t="b">
        <f>IF(OR(ЦТО!AT538=1,ЦТО!AU538=1,ЦТО!AV538=1,ЦТО!AX538=1),"Положительная",IF(OR(ЦТО!AY538=1,ЦТО!AZ538=1,ЦТО!BA538=1),"Отрицательная",IF(OR(ЦТО!AW538=1),"Инфантильная")))</f>
        <v>0</v>
      </c>
    </row>
    <row r="635" spans="1:9">
      <c r="A635" s="62">
        <f>ЦТО!A539</f>
        <v>0</v>
      </c>
      <c r="B635" s="62">
        <f>ЦТО!B539</f>
        <v>0</v>
      </c>
      <c r="C635" s="67">
        <f>ЦТО!C539</f>
        <v>0</v>
      </c>
      <c r="D635" s="63">
        <f>ЦТО!D539</f>
        <v>0</v>
      </c>
      <c r="E635" s="68">
        <f>SUM(ЦТО!BB539:BI539)</f>
        <v>0</v>
      </c>
      <c r="F635" s="64" t="str">
        <f>IF(E635&lt;10,'вспомогательные данные'!$C$26,IF(E635&lt;19,'вспомогательные данные'!$C$25,'вспомогательные данные'!$C$24))</f>
        <v>положительный</v>
      </c>
      <c r="G635" s="65">
        <f>(18-ЦТО!AM539-ЦТО!AL539)/(18-ЦТО!AL539-ЦТО!AP539)</f>
        <v>1</v>
      </c>
      <c r="H635" s="66" t="str">
        <f>IF(G635&lt;0.51,'вспомогательные данные'!$C$19,IF(G635&lt;0.92,'вспомогательные данные'!$C$20, IF(G635&lt;2,'вспомогательные данные'!$C$21,'вспомогательные данные'!$C$22)))</f>
        <v>оптимальная работоспособность</v>
      </c>
      <c r="I635" s="61" t="b">
        <f>IF(OR(ЦТО!AT539=1,ЦТО!AU539=1,ЦТО!AV539=1,ЦТО!AX539=1),"Положительная",IF(OR(ЦТО!AY539=1,ЦТО!AZ539=1,ЦТО!BA539=1),"Отрицательная",IF(OR(ЦТО!AW539=1),"Инфантильная")))</f>
        <v>0</v>
      </c>
    </row>
    <row r="636" spans="1:9">
      <c r="A636" s="62">
        <f>ЦТО!A540</f>
        <v>0</v>
      </c>
      <c r="B636" s="62">
        <f>ЦТО!B540</f>
        <v>0</v>
      </c>
      <c r="C636" s="67">
        <f>ЦТО!C540</f>
        <v>0</v>
      </c>
      <c r="D636" s="63">
        <f>ЦТО!D540</f>
        <v>0</v>
      </c>
      <c r="E636" s="68">
        <f>SUM(ЦТО!BB540:BI540)</f>
        <v>0</v>
      </c>
      <c r="F636" s="64" t="str">
        <f>IF(E636&lt;10,'вспомогательные данные'!$C$26,IF(E636&lt;19,'вспомогательные данные'!$C$25,'вспомогательные данные'!$C$24))</f>
        <v>положительный</v>
      </c>
      <c r="G636" s="65">
        <f>(18-ЦТО!AM540-ЦТО!AL540)/(18-ЦТО!AL540-ЦТО!AP540)</f>
        <v>1</v>
      </c>
      <c r="H636" s="66" t="str">
        <f>IF(G636&lt;0.51,'вспомогательные данные'!$C$19,IF(G636&lt;0.92,'вспомогательные данные'!$C$20, IF(G636&lt;2,'вспомогательные данные'!$C$21,'вспомогательные данные'!$C$22)))</f>
        <v>оптимальная работоспособность</v>
      </c>
      <c r="I636" s="61" t="b">
        <f>IF(OR(ЦТО!AT540=1,ЦТО!AU540=1,ЦТО!AV540=1,ЦТО!AX540=1),"Положительная",IF(OR(ЦТО!AY540=1,ЦТО!AZ540=1,ЦТО!BA540=1),"Отрицательная",IF(OR(ЦТО!AW540=1),"Инфантильная")))</f>
        <v>0</v>
      </c>
    </row>
    <row r="637" spans="1:9">
      <c r="A637" s="62">
        <f>ЦТО!A541</f>
        <v>0</v>
      </c>
      <c r="B637" s="62">
        <f>ЦТО!B541</f>
        <v>0</v>
      </c>
      <c r="C637" s="67">
        <f>ЦТО!C541</f>
        <v>0</v>
      </c>
      <c r="D637" s="63">
        <f>ЦТО!D541</f>
        <v>0</v>
      </c>
      <c r="E637" s="68">
        <f>SUM(ЦТО!BB541:BI541)</f>
        <v>0</v>
      </c>
      <c r="F637" s="64" t="str">
        <f>IF(E637&lt;10,'вспомогательные данные'!$C$26,IF(E637&lt;19,'вспомогательные данные'!$C$25,'вспомогательные данные'!$C$24))</f>
        <v>положительный</v>
      </c>
      <c r="G637" s="65">
        <f>(18-ЦТО!AM541-ЦТО!AL541)/(18-ЦТО!AL541-ЦТО!AP541)</f>
        <v>1</v>
      </c>
      <c r="H637" s="66" t="str">
        <f>IF(G637&lt;0.51,'вспомогательные данные'!$C$19,IF(G637&lt;0.92,'вспомогательные данные'!$C$20, IF(G637&lt;2,'вспомогательные данные'!$C$21,'вспомогательные данные'!$C$22)))</f>
        <v>оптимальная работоспособность</v>
      </c>
      <c r="I637" s="61" t="b">
        <f>IF(OR(ЦТО!AT541=1,ЦТО!AU541=1,ЦТО!AV541=1,ЦТО!AX541=1),"Положительная",IF(OR(ЦТО!AY541=1,ЦТО!AZ541=1,ЦТО!BA541=1),"Отрицательная",IF(OR(ЦТО!AW541=1),"Инфантильная")))</f>
        <v>0</v>
      </c>
    </row>
    <row r="638" spans="1:9">
      <c r="A638" s="62">
        <f>ЦТО!A542</f>
        <v>0</v>
      </c>
      <c r="B638" s="62">
        <f>ЦТО!B542</f>
        <v>0</v>
      </c>
      <c r="C638" s="67">
        <f>ЦТО!C542</f>
        <v>0</v>
      </c>
      <c r="D638" s="63">
        <f>ЦТО!D542</f>
        <v>0</v>
      </c>
      <c r="E638" s="68">
        <f>SUM(ЦТО!BB542:BI542)</f>
        <v>0</v>
      </c>
      <c r="F638" s="64" t="str">
        <f>IF(E638&lt;10,'вспомогательные данные'!$C$26,IF(E638&lt;19,'вспомогательные данные'!$C$25,'вспомогательные данные'!$C$24))</f>
        <v>положительный</v>
      </c>
      <c r="G638" s="65">
        <f>(18-ЦТО!AM542-ЦТО!AL542)/(18-ЦТО!AL542-ЦТО!AP542)</f>
        <v>1</v>
      </c>
      <c r="H638" s="66" t="str">
        <f>IF(G638&lt;0.51,'вспомогательные данные'!$C$19,IF(G638&lt;0.92,'вспомогательные данные'!$C$20, IF(G638&lt;2,'вспомогательные данные'!$C$21,'вспомогательные данные'!$C$22)))</f>
        <v>оптимальная работоспособность</v>
      </c>
      <c r="I638" s="61" t="b">
        <f>IF(OR(ЦТО!AT542=1,ЦТО!AU542=1,ЦТО!AV542=1,ЦТО!AX542=1),"Положительная",IF(OR(ЦТО!AY542=1,ЦТО!AZ542=1,ЦТО!BA542=1),"Отрицательная",IF(OR(ЦТО!AW542=1),"Инфантильная")))</f>
        <v>0</v>
      </c>
    </row>
    <row r="639" spans="1:9">
      <c r="A639" s="62">
        <f>ЦТО!A543</f>
        <v>0</v>
      </c>
      <c r="B639" s="62">
        <f>ЦТО!B543</f>
        <v>0</v>
      </c>
      <c r="C639" s="67">
        <f>ЦТО!C543</f>
        <v>0</v>
      </c>
      <c r="D639" s="63">
        <f>ЦТО!D543</f>
        <v>0</v>
      </c>
      <c r="E639" s="68">
        <f>SUM(ЦТО!BB543:BI543)</f>
        <v>0</v>
      </c>
      <c r="F639" s="64" t="str">
        <f>IF(E639&lt;10,'вспомогательные данные'!$C$26,IF(E639&lt;19,'вспомогательные данные'!$C$25,'вспомогательные данные'!$C$24))</f>
        <v>положительный</v>
      </c>
      <c r="G639" s="65">
        <f>(18-ЦТО!AM543-ЦТО!AL543)/(18-ЦТО!AL543-ЦТО!AP543)</f>
        <v>1</v>
      </c>
      <c r="H639" s="66" t="str">
        <f>IF(G639&lt;0.51,'вспомогательные данные'!$C$19,IF(G639&lt;0.92,'вспомогательные данные'!$C$20, IF(G639&lt;2,'вспомогательные данные'!$C$21,'вспомогательные данные'!$C$22)))</f>
        <v>оптимальная работоспособность</v>
      </c>
      <c r="I639" s="61" t="b">
        <f>IF(OR(ЦТО!AT543=1,ЦТО!AU543=1,ЦТО!AV543=1,ЦТО!AX543=1),"Положительная",IF(OR(ЦТО!AY543=1,ЦТО!AZ543=1,ЦТО!BA543=1),"Отрицательная",IF(OR(ЦТО!AW543=1),"Инфантильная")))</f>
        <v>0</v>
      </c>
    </row>
    <row r="640" spans="1:9">
      <c r="A640" s="62">
        <f>ЦТО!A544</f>
        <v>0</v>
      </c>
      <c r="B640" s="62">
        <f>ЦТО!B544</f>
        <v>0</v>
      </c>
      <c r="C640" s="67">
        <f>ЦТО!C544</f>
        <v>0</v>
      </c>
      <c r="D640" s="63">
        <f>ЦТО!D544</f>
        <v>0</v>
      </c>
      <c r="E640" s="68">
        <f>SUM(ЦТО!BB544:BI544)</f>
        <v>0</v>
      </c>
      <c r="F640" s="64" t="str">
        <f>IF(E640&lt;10,'вспомогательные данные'!$C$26,IF(E640&lt;19,'вспомогательные данные'!$C$25,'вспомогательные данные'!$C$24))</f>
        <v>положительный</v>
      </c>
      <c r="G640" s="65">
        <f>(18-ЦТО!AM544-ЦТО!AL544)/(18-ЦТО!AL544-ЦТО!AP544)</f>
        <v>1</v>
      </c>
      <c r="H640" s="66" t="str">
        <f>IF(G640&lt;0.51,'вспомогательные данные'!$C$19,IF(G640&lt;0.92,'вспомогательные данные'!$C$20, IF(G640&lt;2,'вспомогательные данные'!$C$21,'вспомогательные данные'!$C$22)))</f>
        <v>оптимальная работоспособность</v>
      </c>
      <c r="I640" s="61" t="b">
        <f>IF(OR(ЦТО!AT544=1,ЦТО!AU544=1,ЦТО!AV544=1,ЦТО!AX544=1),"Положительная",IF(OR(ЦТО!AY544=1,ЦТО!AZ544=1,ЦТО!BA544=1),"Отрицательная",IF(OR(ЦТО!AW544=1),"Инфантильная")))</f>
        <v>0</v>
      </c>
    </row>
    <row r="641" spans="1:9">
      <c r="A641" s="62">
        <f>ЦТО!A545</f>
        <v>0</v>
      </c>
      <c r="B641" s="62">
        <f>ЦТО!B545</f>
        <v>0</v>
      </c>
      <c r="C641" s="67">
        <f>ЦТО!C545</f>
        <v>0</v>
      </c>
      <c r="D641" s="63">
        <f>ЦТО!D545</f>
        <v>0</v>
      </c>
      <c r="E641" s="68">
        <f>SUM(ЦТО!BB545:BI545)</f>
        <v>0</v>
      </c>
      <c r="F641" s="64" t="str">
        <f>IF(E641&lt;10,'вспомогательные данные'!$C$26,IF(E641&lt;19,'вспомогательные данные'!$C$25,'вспомогательные данные'!$C$24))</f>
        <v>положительный</v>
      </c>
      <c r="G641" s="65">
        <f>(18-ЦТО!AM545-ЦТО!AL545)/(18-ЦТО!AL545-ЦТО!AP545)</f>
        <v>1</v>
      </c>
      <c r="H641" s="66" t="str">
        <f>IF(G641&lt;0.51,'вспомогательные данные'!$C$19,IF(G641&lt;0.92,'вспомогательные данные'!$C$20, IF(G641&lt;2,'вспомогательные данные'!$C$21,'вспомогательные данные'!$C$22)))</f>
        <v>оптимальная работоспособность</v>
      </c>
      <c r="I641" s="61" t="b">
        <f>IF(OR(ЦТО!AT545=1,ЦТО!AU545=1,ЦТО!AV545=1,ЦТО!AX545=1),"Положительная",IF(OR(ЦТО!AY545=1,ЦТО!AZ545=1,ЦТО!BA545=1),"Отрицательная",IF(OR(ЦТО!AW545=1),"Инфантильная")))</f>
        <v>0</v>
      </c>
    </row>
    <row r="642" spans="1:9">
      <c r="A642" s="62">
        <f>ЦТО!A546</f>
        <v>0</v>
      </c>
      <c r="B642" s="62">
        <f>ЦТО!B546</f>
        <v>0</v>
      </c>
      <c r="C642" s="67">
        <f>ЦТО!C546</f>
        <v>0</v>
      </c>
      <c r="D642" s="63">
        <f>ЦТО!D546</f>
        <v>0</v>
      </c>
      <c r="E642" s="68">
        <f>SUM(ЦТО!BB546:BI546)</f>
        <v>0</v>
      </c>
      <c r="F642" s="64" t="str">
        <f>IF(E642&lt;10,'вспомогательные данные'!$C$26,IF(E642&lt;19,'вспомогательные данные'!$C$25,'вспомогательные данные'!$C$24))</f>
        <v>положительный</v>
      </c>
      <c r="G642" s="65">
        <f>(18-ЦТО!AM546-ЦТО!AL546)/(18-ЦТО!AL546-ЦТО!AP546)</f>
        <v>1</v>
      </c>
      <c r="H642" s="66" t="str">
        <f>IF(G642&lt;0.51,'вспомогательные данные'!$C$19,IF(G642&lt;0.92,'вспомогательные данные'!$C$20, IF(G642&lt;2,'вспомогательные данные'!$C$21,'вспомогательные данные'!$C$22)))</f>
        <v>оптимальная работоспособность</v>
      </c>
      <c r="I642" s="61" t="b">
        <f>IF(OR(ЦТО!AT546=1,ЦТО!AU546=1,ЦТО!AV546=1,ЦТО!AX546=1),"Положительная",IF(OR(ЦТО!AY546=1,ЦТО!AZ546=1,ЦТО!BA546=1),"Отрицательная",IF(OR(ЦТО!AW546=1),"Инфантильная")))</f>
        <v>0</v>
      </c>
    </row>
    <row r="643" spans="1:9">
      <c r="A643" s="62">
        <f>ЦТО!A547</f>
        <v>0</v>
      </c>
      <c r="B643" s="62">
        <f>ЦТО!B547</f>
        <v>0</v>
      </c>
      <c r="C643" s="67">
        <f>ЦТО!C547</f>
        <v>0</v>
      </c>
      <c r="D643" s="63">
        <f>ЦТО!D547</f>
        <v>0</v>
      </c>
      <c r="E643" s="68">
        <f>SUM(ЦТО!BB547:BI547)</f>
        <v>0</v>
      </c>
      <c r="F643" s="64" t="str">
        <f>IF(E643&lt;10,'вспомогательные данные'!$C$26,IF(E643&lt;19,'вспомогательные данные'!$C$25,'вспомогательные данные'!$C$24))</f>
        <v>положительный</v>
      </c>
      <c r="G643" s="65">
        <f>(18-ЦТО!AM547-ЦТО!AL547)/(18-ЦТО!AL547-ЦТО!AP547)</f>
        <v>1</v>
      </c>
      <c r="H643" s="66" t="str">
        <f>IF(G643&lt;0.51,'вспомогательные данные'!$C$19,IF(G643&lt;0.92,'вспомогательные данные'!$C$20, IF(G643&lt;2,'вспомогательные данные'!$C$21,'вспомогательные данные'!$C$22)))</f>
        <v>оптимальная работоспособность</v>
      </c>
      <c r="I643" s="61" t="b">
        <f>IF(OR(ЦТО!AT547=1,ЦТО!AU547=1,ЦТО!AV547=1,ЦТО!AX547=1),"Положительная",IF(OR(ЦТО!AY547=1,ЦТО!AZ547=1,ЦТО!BA547=1),"Отрицательная",IF(OR(ЦТО!AW547=1),"Инфантильная")))</f>
        <v>0</v>
      </c>
    </row>
    <row r="644" spans="1:9">
      <c r="A644" s="62">
        <f>ЦТО!A548</f>
        <v>0</v>
      </c>
      <c r="B644" s="62">
        <f>ЦТО!B548</f>
        <v>0</v>
      </c>
      <c r="C644" s="67">
        <f>ЦТО!C548</f>
        <v>0</v>
      </c>
      <c r="D644" s="63">
        <f>ЦТО!D548</f>
        <v>0</v>
      </c>
      <c r="E644" s="68">
        <f>SUM(ЦТО!BB548:BI548)</f>
        <v>0</v>
      </c>
      <c r="F644" s="64" t="str">
        <f>IF(E644&lt;10,'вспомогательные данные'!$C$26,IF(E644&lt;19,'вспомогательные данные'!$C$25,'вспомогательные данные'!$C$24))</f>
        <v>положительный</v>
      </c>
      <c r="G644" s="65">
        <f>(18-ЦТО!AM548-ЦТО!AL548)/(18-ЦТО!AL548-ЦТО!AP548)</f>
        <v>1</v>
      </c>
      <c r="H644" s="66" t="str">
        <f>IF(G644&lt;0.51,'вспомогательные данные'!$C$19,IF(G644&lt;0.92,'вспомогательные данные'!$C$20, IF(G644&lt;2,'вспомогательные данные'!$C$21,'вспомогательные данные'!$C$22)))</f>
        <v>оптимальная работоспособность</v>
      </c>
      <c r="I644" s="61" t="b">
        <f>IF(OR(ЦТО!AT548=1,ЦТО!AU548=1,ЦТО!AV548=1,ЦТО!AX548=1),"Положительная",IF(OR(ЦТО!AY548=1,ЦТО!AZ548=1,ЦТО!BA548=1),"Отрицательная",IF(OR(ЦТО!AW548=1),"Инфантильная")))</f>
        <v>0</v>
      </c>
    </row>
    <row r="645" spans="1:9">
      <c r="A645" s="62">
        <f>ЦТО!A549</f>
        <v>0</v>
      </c>
      <c r="B645" s="62">
        <f>ЦТО!B549</f>
        <v>0</v>
      </c>
      <c r="C645" s="67">
        <f>ЦТО!C549</f>
        <v>0</v>
      </c>
      <c r="D645" s="63">
        <f>ЦТО!D549</f>
        <v>0</v>
      </c>
      <c r="E645" s="68">
        <f>SUM(ЦТО!BB549:BI549)</f>
        <v>0</v>
      </c>
      <c r="F645" s="64" t="str">
        <f>IF(E645&lt;10,'вспомогательные данные'!$C$26,IF(E645&lt;19,'вспомогательные данные'!$C$25,'вспомогательные данные'!$C$24))</f>
        <v>положительный</v>
      </c>
      <c r="G645" s="65">
        <f>(18-ЦТО!AM549-ЦТО!AL549)/(18-ЦТО!AL549-ЦТО!AP549)</f>
        <v>1</v>
      </c>
      <c r="H645" s="66" t="str">
        <f>IF(G645&lt;0.51,'вспомогательные данные'!$C$19,IF(G645&lt;0.92,'вспомогательные данные'!$C$20, IF(G645&lt;2,'вспомогательные данные'!$C$21,'вспомогательные данные'!$C$22)))</f>
        <v>оптимальная работоспособность</v>
      </c>
      <c r="I645" s="61" t="b">
        <f>IF(OR(ЦТО!AT549=1,ЦТО!AU549=1,ЦТО!AV549=1,ЦТО!AX549=1),"Положительная",IF(OR(ЦТО!AY549=1,ЦТО!AZ549=1,ЦТО!BA549=1),"Отрицательная",IF(OR(ЦТО!AW549=1),"Инфантильная")))</f>
        <v>0</v>
      </c>
    </row>
    <row r="646" spans="1:9">
      <c r="A646" s="62">
        <f>ЦТО!A550</f>
        <v>0</v>
      </c>
      <c r="B646" s="62">
        <f>ЦТО!B550</f>
        <v>0</v>
      </c>
      <c r="C646" s="67">
        <f>ЦТО!C550</f>
        <v>0</v>
      </c>
      <c r="D646" s="63">
        <f>ЦТО!D550</f>
        <v>0</v>
      </c>
      <c r="E646" s="68">
        <f>SUM(ЦТО!BB550:BI550)</f>
        <v>0</v>
      </c>
      <c r="F646" s="64" t="str">
        <f>IF(E646&lt;10,'вспомогательные данные'!$C$26,IF(E646&lt;19,'вспомогательные данные'!$C$25,'вспомогательные данные'!$C$24))</f>
        <v>положительный</v>
      </c>
      <c r="G646" s="65">
        <f>(18-ЦТО!AM550-ЦТО!AL550)/(18-ЦТО!AL550-ЦТО!AP550)</f>
        <v>1</v>
      </c>
      <c r="H646" s="66" t="str">
        <f>IF(G646&lt;0.51,'вспомогательные данные'!$C$19,IF(G646&lt;0.92,'вспомогательные данные'!$C$20, IF(G646&lt;2,'вспомогательные данные'!$C$21,'вспомогательные данные'!$C$22)))</f>
        <v>оптимальная работоспособность</v>
      </c>
      <c r="I646" s="61" t="b">
        <f>IF(OR(ЦТО!AT550=1,ЦТО!AU550=1,ЦТО!AV550=1,ЦТО!AX550=1),"Положительная",IF(OR(ЦТО!AY550=1,ЦТО!AZ550=1,ЦТО!BA550=1),"Отрицательная",IF(OR(ЦТО!AW550=1),"Инфантильная")))</f>
        <v>0</v>
      </c>
    </row>
    <row r="647" spans="1:9">
      <c r="A647" s="62">
        <f>ЦТО!A551</f>
        <v>0</v>
      </c>
      <c r="B647" s="62">
        <f>ЦТО!B551</f>
        <v>0</v>
      </c>
      <c r="C647" s="67">
        <f>ЦТО!C551</f>
        <v>0</v>
      </c>
      <c r="D647" s="63">
        <f>ЦТО!D551</f>
        <v>0</v>
      </c>
      <c r="E647" s="68">
        <f>SUM(ЦТО!BB551:BI551)</f>
        <v>0</v>
      </c>
      <c r="F647" s="64" t="str">
        <f>IF(E647&lt;10,'вспомогательные данные'!$C$26,IF(E647&lt;19,'вспомогательные данные'!$C$25,'вспомогательные данные'!$C$24))</f>
        <v>положительный</v>
      </c>
      <c r="G647" s="65">
        <f>(18-ЦТО!AM551-ЦТО!AL551)/(18-ЦТО!AL551-ЦТО!AP551)</f>
        <v>1</v>
      </c>
      <c r="H647" s="66" t="str">
        <f>IF(G647&lt;0.51,'вспомогательные данные'!$C$19,IF(G647&lt;0.92,'вспомогательные данные'!$C$20, IF(G647&lt;2,'вспомогательные данные'!$C$21,'вспомогательные данные'!$C$22)))</f>
        <v>оптимальная работоспособность</v>
      </c>
      <c r="I647" s="61" t="b">
        <f>IF(OR(ЦТО!AT551=1,ЦТО!AU551=1,ЦТО!AV551=1,ЦТО!AX551=1),"Положительная",IF(OR(ЦТО!AY551=1,ЦТО!AZ551=1,ЦТО!BA551=1),"Отрицательная",IF(OR(ЦТО!AW551=1),"Инфантильная")))</f>
        <v>0</v>
      </c>
    </row>
    <row r="648" spans="1:9">
      <c r="A648" s="62">
        <f>ЦТО!A552</f>
        <v>0</v>
      </c>
      <c r="B648" s="62">
        <f>ЦТО!B552</f>
        <v>0</v>
      </c>
      <c r="C648" s="67">
        <f>ЦТО!C552</f>
        <v>0</v>
      </c>
      <c r="D648" s="63">
        <f>ЦТО!D552</f>
        <v>0</v>
      </c>
      <c r="E648" s="68">
        <f>SUM(ЦТО!BB552:BI552)</f>
        <v>0</v>
      </c>
      <c r="F648" s="64" t="str">
        <f>IF(E648&lt;10,'вспомогательные данные'!$C$26,IF(E648&lt;19,'вспомогательные данные'!$C$25,'вспомогательные данные'!$C$24))</f>
        <v>положительный</v>
      </c>
      <c r="G648" s="65">
        <f>(18-ЦТО!AM552-ЦТО!AL552)/(18-ЦТО!AL552-ЦТО!AP552)</f>
        <v>1</v>
      </c>
      <c r="H648" s="66" t="str">
        <f>IF(G648&lt;0.51,'вспомогательные данные'!$C$19,IF(G648&lt;0.92,'вспомогательные данные'!$C$20, IF(G648&lt;2,'вспомогательные данные'!$C$21,'вспомогательные данные'!$C$22)))</f>
        <v>оптимальная работоспособность</v>
      </c>
      <c r="I648" s="61" t="b">
        <f>IF(OR(ЦТО!AT552=1,ЦТО!AU552=1,ЦТО!AV552=1,ЦТО!AX552=1),"Положительная",IF(OR(ЦТО!AY552=1,ЦТО!AZ552=1,ЦТО!BA552=1),"Отрицательная",IF(OR(ЦТО!AW552=1),"Инфантильная")))</f>
        <v>0</v>
      </c>
    </row>
    <row r="649" spans="1:9">
      <c r="A649" s="62">
        <f>ЦТО!A553</f>
        <v>0</v>
      </c>
      <c r="B649" s="62">
        <f>ЦТО!B553</f>
        <v>0</v>
      </c>
      <c r="C649" s="67">
        <f>ЦТО!C553</f>
        <v>0</v>
      </c>
      <c r="D649" s="63">
        <f>ЦТО!D553</f>
        <v>0</v>
      </c>
      <c r="E649" s="68">
        <f>SUM(ЦТО!BB553:BI553)</f>
        <v>0</v>
      </c>
      <c r="F649" s="64" t="str">
        <f>IF(E649&lt;10,'вспомогательные данные'!$C$26,IF(E649&lt;19,'вспомогательные данные'!$C$25,'вспомогательные данные'!$C$24))</f>
        <v>положительный</v>
      </c>
      <c r="G649" s="65">
        <f>(18-ЦТО!AM553-ЦТО!AL553)/(18-ЦТО!AL553-ЦТО!AP553)</f>
        <v>1</v>
      </c>
      <c r="H649" s="66" t="str">
        <f>IF(G649&lt;0.51,'вспомогательные данные'!$C$19,IF(G649&lt;0.92,'вспомогательные данные'!$C$20, IF(G649&lt;2,'вспомогательные данные'!$C$21,'вспомогательные данные'!$C$22)))</f>
        <v>оптимальная работоспособность</v>
      </c>
      <c r="I649" s="61" t="b">
        <f>IF(OR(ЦТО!AT553=1,ЦТО!AU553=1,ЦТО!AV553=1,ЦТО!AX553=1),"Положительная",IF(OR(ЦТО!AY553=1,ЦТО!AZ553=1,ЦТО!BA553=1),"Отрицательная",IF(OR(ЦТО!AW553=1),"Инфантильная")))</f>
        <v>0</v>
      </c>
    </row>
    <row r="650" spans="1:9">
      <c r="A650" s="62">
        <f>ЦТО!A554</f>
        <v>0</v>
      </c>
      <c r="B650" s="62">
        <f>ЦТО!B554</f>
        <v>0</v>
      </c>
      <c r="C650" s="67">
        <f>ЦТО!C554</f>
        <v>0</v>
      </c>
      <c r="D650" s="63">
        <f>ЦТО!D554</f>
        <v>0</v>
      </c>
      <c r="E650" s="68">
        <f>SUM(ЦТО!BB554:BI554)</f>
        <v>0</v>
      </c>
      <c r="F650" s="64" t="str">
        <f>IF(E650&lt;10,'вспомогательные данные'!$C$26,IF(E650&lt;19,'вспомогательные данные'!$C$25,'вспомогательные данные'!$C$24))</f>
        <v>положительный</v>
      </c>
      <c r="G650" s="65">
        <f>(18-ЦТО!AM554-ЦТО!AL554)/(18-ЦТО!AL554-ЦТО!AP554)</f>
        <v>1</v>
      </c>
      <c r="H650" s="66" t="str">
        <f>IF(G650&lt;0.51,'вспомогательные данные'!$C$19,IF(G650&lt;0.92,'вспомогательные данные'!$C$20, IF(G650&lt;2,'вспомогательные данные'!$C$21,'вспомогательные данные'!$C$22)))</f>
        <v>оптимальная работоспособность</v>
      </c>
      <c r="I650" s="61" t="b">
        <f>IF(OR(ЦТО!AT554=1,ЦТО!AU554=1,ЦТО!AV554=1,ЦТО!AX554=1),"Положительная",IF(OR(ЦТО!AY554=1,ЦТО!AZ554=1,ЦТО!BA554=1),"Отрицательная",IF(OR(ЦТО!AW554=1),"Инфантильная")))</f>
        <v>0</v>
      </c>
    </row>
    <row r="651" spans="1:9">
      <c r="A651" s="62">
        <f>ЦТО!A555</f>
        <v>0</v>
      </c>
      <c r="B651" s="62">
        <f>ЦТО!B555</f>
        <v>0</v>
      </c>
      <c r="C651" s="67">
        <f>ЦТО!C555</f>
        <v>0</v>
      </c>
      <c r="D651" s="63">
        <f>ЦТО!D555</f>
        <v>0</v>
      </c>
      <c r="E651" s="68">
        <f>SUM(ЦТО!BB555:BI555)</f>
        <v>0</v>
      </c>
      <c r="F651" s="64" t="str">
        <f>IF(E651&lt;10,'вспомогательные данные'!$C$26,IF(E651&lt;19,'вспомогательные данные'!$C$25,'вспомогательные данные'!$C$24))</f>
        <v>положительный</v>
      </c>
      <c r="G651" s="65">
        <f>(18-ЦТО!AM555-ЦТО!AL555)/(18-ЦТО!AL555-ЦТО!AP555)</f>
        <v>1</v>
      </c>
      <c r="H651" s="66" t="str">
        <f>IF(G651&lt;0.51,'вспомогательные данные'!$C$19,IF(G651&lt;0.92,'вспомогательные данные'!$C$20, IF(G651&lt;2,'вспомогательные данные'!$C$21,'вспомогательные данные'!$C$22)))</f>
        <v>оптимальная работоспособность</v>
      </c>
      <c r="I651" s="61" t="b">
        <f>IF(OR(ЦТО!AT555=1,ЦТО!AU555=1,ЦТО!AV555=1,ЦТО!AX555=1),"Положительная",IF(OR(ЦТО!AY555=1,ЦТО!AZ555=1,ЦТО!BA555=1),"Отрицательная",IF(OR(ЦТО!AW555=1),"Инфантильная")))</f>
        <v>0</v>
      </c>
    </row>
    <row r="652" spans="1:9">
      <c r="A652" s="62">
        <f>ЦТО!A556</f>
        <v>0</v>
      </c>
      <c r="B652" s="62">
        <f>ЦТО!B556</f>
        <v>0</v>
      </c>
      <c r="C652" s="67">
        <f>ЦТО!C556</f>
        <v>0</v>
      </c>
      <c r="D652" s="63">
        <f>ЦТО!D556</f>
        <v>0</v>
      </c>
      <c r="E652" s="68">
        <f>SUM(ЦТО!BB556:BI556)</f>
        <v>0</v>
      </c>
      <c r="F652" s="64" t="str">
        <f>IF(E652&lt;10,'вспомогательные данные'!$C$26,IF(E652&lt;19,'вспомогательные данные'!$C$25,'вспомогательные данные'!$C$24))</f>
        <v>положительный</v>
      </c>
      <c r="G652" s="65">
        <f>(18-ЦТО!AM556-ЦТО!AL556)/(18-ЦТО!AL556-ЦТО!AP556)</f>
        <v>1</v>
      </c>
      <c r="H652" s="66" t="str">
        <f>IF(G652&lt;0.51,'вспомогательные данные'!$C$19,IF(G652&lt;0.92,'вспомогательные данные'!$C$20, IF(G652&lt;2,'вспомогательные данные'!$C$21,'вспомогательные данные'!$C$22)))</f>
        <v>оптимальная работоспособность</v>
      </c>
      <c r="I652" s="61" t="b">
        <f>IF(OR(ЦТО!AT556=1,ЦТО!AU556=1,ЦТО!AV556=1,ЦТО!AX556=1),"Положительная",IF(OR(ЦТО!AY556=1,ЦТО!AZ556=1,ЦТО!BA556=1),"Отрицательная",IF(OR(ЦТО!AW556=1),"Инфантильная")))</f>
        <v>0</v>
      </c>
    </row>
    <row r="653" spans="1:9">
      <c r="A653" s="62">
        <f>ЦТО!A557</f>
        <v>0</v>
      </c>
      <c r="B653" s="62">
        <f>ЦТО!B557</f>
        <v>0</v>
      </c>
      <c r="C653" s="67">
        <f>ЦТО!C557</f>
        <v>0</v>
      </c>
      <c r="D653" s="63">
        <f>ЦТО!D557</f>
        <v>0</v>
      </c>
      <c r="E653" s="68">
        <f>SUM(ЦТО!BB557:BI557)</f>
        <v>0</v>
      </c>
      <c r="F653" s="64" t="str">
        <f>IF(E653&lt;10,'вспомогательные данные'!$C$26,IF(E653&lt;19,'вспомогательные данные'!$C$25,'вспомогательные данные'!$C$24))</f>
        <v>положительный</v>
      </c>
      <c r="G653" s="65">
        <f>(18-ЦТО!AM557-ЦТО!AL557)/(18-ЦТО!AL557-ЦТО!AP557)</f>
        <v>1</v>
      </c>
      <c r="H653" s="66" t="str">
        <f>IF(G653&lt;0.51,'вспомогательные данные'!$C$19,IF(G653&lt;0.92,'вспомогательные данные'!$C$20, IF(G653&lt;2,'вспомогательные данные'!$C$21,'вспомогательные данные'!$C$22)))</f>
        <v>оптимальная работоспособность</v>
      </c>
      <c r="I653" s="61" t="b">
        <f>IF(OR(ЦТО!AT557=1,ЦТО!AU557=1,ЦТО!AV557=1,ЦТО!AX557=1),"Положительная",IF(OR(ЦТО!AY557=1,ЦТО!AZ557=1,ЦТО!BA557=1),"Отрицательная",IF(OR(ЦТО!AW557=1),"Инфантильная")))</f>
        <v>0</v>
      </c>
    </row>
    <row r="654" spans="1:9">
      <c r="A654" s="62">
        <f>ЦТО!A558</f>
        <v>0</v>
      </c>
      <c r="B654" s="62">
        <f>ЦТО!B558</f>
        <v>0</v>
      </c>
      <c r="C654" s="67">
        <f>ЦТО!C558</f>
        <v>0</v>
      </c>
      <c r="D654" s="63">
        <f>ЦТО!D558</f>
        <v>0</v>
      </c>
      <c r="E654" s="68">
        <f>SUM(ЦТО!BB558:BI558)</f>
        <v>0</v>
      </c>
      <c r="F654" s="64" t="str">
        <f>IF(E654&lt;10,'вспомогательные данные'!$C$26,IF(E654&lt;19,'вспомогательные данные'!$C$25,'вспомогательные данные'!$C$24))</f>
        <v>положительный</v>
      </c>
      <c r="G654" s="65">
        <f>(18-ЦТО!AM558-ЦТО!AL558)/(18-ЦТО!AL558-ЦТО!AP558)</f>
        <v>1</v>
      </c>
      <c r="H654" s="66" t="str">
        <f>IF(G654&lt;0.51,'вспомогательные данные'!$C$19,IF(G654&lt;0.92,'вспомогательные данные'!$C$20, IF(G654&lt;2,'вспомогательные данные'!$C$21,'вспомогательные данные'!$C$22)))</f>
        <v>оптимальная работоспособность</v>
      </c>
      <c r="I654" s="61" t="b">
        <f>IF(OR(ЦТО!AT558=1,ЦТО!AU558=1,ЦТО!AV558=1,ЦТО!AX558=1),"Положительная",IF(OR(ЦТО!AY558=1,ЦТО!AZ558=1,ЦТО!BA558=1),"Отрицательная",IF(OR(ЦТО!AW558=1),"Инфантильная")))</f>
        <v>0</v>
      </c>
    </row>
    <row r="655" spans="1:9">
      <c r="A655" s="62">
        <f>ЦТО!A559</f>
        <v>0</v>
      </c>
      <c r="B655" s="62">
        <f>ЦТО!B559</f>
        <v>0</v>
      </c>
      <c r="C655" s="67">
        <f>ЦТО!C559</f>
        <v>0</v>
      </c>
      <c r="D655" s="63">
        <f>ЦТО!D559</f>
        <v>0</v>
      </c>
      <c r="E655" s="68">
        <f>SUM(ЦТО!BB559:BI559)</f>
        <v>0</v>
      </c>
      <c r="F655" s="64" t="str">
        <f>IF(E655&lt;10,'вспомогательные данные'!$C$26,IF(E655&lt;19,'вспомогательные данные'!$C$25,'вспомогательные данные'!$C$24))</f>
        <v>положительный</v>
      </c>
      <c r="G655" s="65">
        <f>(18-ЦТО!AM559-ЦТО!AL559)/(18-ЦТО!AL559-ЦТО!AP559)</f>
        <v>1</v>
      </c>
      <c r="H655" s="66" t="str">
        <f>IF(G655&lt;0.51,'вспомогательные данные'!$C$19,IF(G655&lt;0.92,'вспомогательные данные'!$C$20, IF(G655&lt;2,'вспомогательные данные'!$C$21,'вспомогательные данные'!$C$22)))</f>
        <v>оптимальная работоспособность</v>
      </c>
      <c r="I655" s="61" t="b">
        <f>IF(OR(ЦТО!AT559=1,ЦТО!AU559=1,ЦТО!AV559=1,ЦТО!AX559=1),"Положительная",IF(OR(ЦТО!AY559=1,ЦТО!AZ559=1,ЦТО!BA559=1),"Отрицательная",IF(OR(ЦТО!AW559=1),"Инфантильная")))</f>
        <v>0</v>
      </c>
    </row>
    <row r="656" spans="1:9">
      <c r="A656" s="62">
        <f>ЦТО!A560</f>
        <v>0</v>
      </c>
      <c r="B656" s="62">
        <f>ЦТО!B560</f>
        <v>0</v>
      </c>
      <c r="C656" s="67">
        <f>ЦТО!C560</f>
        <v>0</v>
      </c>
      <c r="D656" s="63">
        <f>ЦТО!D560</f>
        <v>0</v>
      </c>
      <c r="E656" s="68">
        <f>SUM(ЦТО!BB560:BI560)</f>
        <v>0</v>
      </c>
      <c r="F656" s="64" t="str">
        <f>IF(E656&lt;10,'вспомогательные данные'!$C$26,IF(E656&lt;19,'вспомогательные данные'!$C$25,'вспомогательные данные'!$C$24))</f>
        <v>положительный</v>
      </c>
      <c r="G656" s="65">
        <f>(18-ЦТО!AM560-ЦТО!AL560)/(18-ЦТО!AL560-ЦТО!AP560)</f>
        <v>1</v>
      </c>
      <c r="H656" s="66" t="str">
        <f>IF(G656&lt;0.51,'вспомогательные данные'!$C$19,IF(G656&lt;0.92,'вспомогательные данные'!$C$20, IF(G656&lt;2,'вспомогательные данные'!$C$21,'вспомогательные данные'!$C$22)))</f>
        <v>оптимальная работоспособность</v>
      </c>
      <c r="I656" s="61" t="b">
        <f>IF(OR(ЦТО!AT560=1,ЦТО!AU560=1,ЦТО!AV560=1,ЦТО!AX560=1),"Положительная",IF(OR(ЦТО!AY560=1,ЦТО!AZ560=1,ЦТО!BA560=1),"Отрицательная",IF(OR(ЦТО!AW560=1),"Инфантильная")))</f>
        <v>0</v>
      </c>
    </row>
    <row r="657" spans="1:9">
      <c r="A657" s="62">
        <f>ЦТО!A561</f>
        <v>0</v>
      </c>
      <c r="B657" s="62">
        <f>ЦТО!B561</f>
        <v>0</v>
      </c>
      <c r="C657" s="67">
        <f>ЦТО!C561</f>
        <v>0</v>
      </c>
      <c r="D657" s="63">
        <f>ЦТО!D561</f>
        <v>0</v>
      </c>
      <c r="E657" s="68">
        <f>SUM(ЦТО!BB561:BI561)</f>
        <v>0</v>
      </c>
      <c r="F657" s="64" t="str">
        <f>IF(E657&lt;10,'вспомогательные данные'!$C$26,IF(E657&lt;19,'вспомогательные данные'!$C$25,'вспомогательные данные'!$C$24))</f>
        <v>положительный</v>
      </c>
      <c r="G657" s="65">
        <f>(18-ЦТО!AM561-ЦТО!AL561)/(18-ЦТО!AL561-ЦТО!AP561)</f>
        <v>1</v>
      </c>
      <c r="H657" s="66" t="str">
        <f>IF(G657&lt;0.51,'вспомогательные данные'!$C$19,IF(G657&lt;0.92,'вспомогательные данные'!$C$20, IF(G657&lt;2,'вспомогательные данные'!$C$21,'вспомогательные данные'!$C$22)))</f>
        <v>оптимальная работоспособность</v>
      </c>
      <c r="I657" s="61" t="b">
        <f>IF(OR(ЦТО!AT561=1,ЦТО!AU561=1,ЦТО!AV561=1,ЦТО!AX561=1),"Положительная",IF(OR(ЦТО!AY561=1,ЦТО!AZ561=1,ЦТО!BA561=1),"Отрицательная",IF(OR(ЦТО!AW561=1),"Инфантильная")))</f>
        <v>0</v>
      </c>
    </row>
    <row r="658" spans="1:9">
      <c r="A658" s="62">
        <f>ЦТО!A562</f>
        <v>0</v>
      </c>
      <c r="B658" s="62">
        <f>ЦТО!B562</f>
        <v>0</v>
      </c>
      <c r="C658" s="67">
        <f>ЦТО!C562</f>
        <v>0</v>
      </c>
      <c r="D658" s="63">
        <f>ЦТО!D562</f>
        <v>0</v>
      </c>
      <c r="E658" s="68">
        <f>SUM(ЦТО!BB562:BI562)</f>
        <v>0</v>
      </c>
      <c r="F658" s="64" t="str">
        <f>IF(E658&lt;10,'вспомогательные данные'!$C$26,IF(E658&lt;19,'вспомогательные данные'!$C$25,'вспомогательные данные'!$C$24))</f>
        <v>положительный</v>
      </c>
      <c r="G658" s="65">
        <f>(18-ЦТО!AM562-ЦТО!AL562)/(18-ЦТО!AL562-ЦТО!AP562)</f>
        <v>1</v>
      </c>
      <c r="H658" s="66" t="str">
        <f>IF(G658&lt;0.51,'вспомогательные данные'!$C$19,IF(G658&lt;0.92,'вспомогательные данные'!$C$20, IF(G658&lt;2,'вспомогательные данные'!$C$21,'вспомогательные данные'!$C$22)))</f>
        <v>оптимальная работоспособность</v>
      </c>
      <c r="I658" s="61" t="b">
        <f>IF(OR(ЦТО!AT562=1,ЦТО!AU562=1,ЦТО!AV562=1,ЦТО!AX562=1),"Положительная",IF(OR(ЦТО!AY562=1,ЦТО!AZ562=1,ЦТО!BA562=1),"Отрицательная",IF(OR(ЦТО!AW562=1),"Инфантильная")))</f>
        <v>0</v>
      </c>
    </row>
    <row r="659" spans="1:9">
      <c r="A659" s="62">
        <f>ЦТО!A563</f>
        <v>0</v>
      </c>
      <c r="B659" s="62">
        <f>ЦТО!B563</f>
        <v>0</v>
      </c>
      <c r="C659" s="67">
        <f>ЦТО!C563</f>
        <v>0</v>
      </c>
      <c r="D659" s="63">
        <f>ЦТО!D563</f>
        <v>0</v>
      </c>
      <c r="E659" s="68">
        <f>SUM(ЦТО!BB563:BI563)</f>
        <v>0</v>
      </c>
      <c r="F659" s="64" t="str">
        <f>IF(E659&lt;10,'вспомогательные данные'!$C$26,IF(E659&lt;19,'вспомогательные данные'!$C$25,'вспомогательные данные'!$C$24))</f>
        <v>положительный</v>
      </c>
      <c r="G659" s="65">
        <f>(18-ЦТО!AM563-ЦТО!AL563)/(18-ЦТО!AL563-ЦТО!AP563)</f>
        <v>1</v>
      </c>
      <c r="H659" s="66" t="str">
        <f>IF(G659&lt;0.51,'вспомогательные данные'!$C$19,IF(G659&lt;0.92,'вспомогательные данные'!$C$20, IF(G659&lt;2,'вспомогательные данные'!$C$21,'вспомогательные данные'!$C$22)))</f>
        <v>оптимальная работоспособность</v>
      </c>
      <c r="I659" s="61" t="b">
        <f>IF(OR(ЦТО!AT563=1,ЦТО!AU563=1,ЦТО!AV563=1,ЦТО!AX563=1),"Положительная",IF(OR(ЦТО!AY563=1,ЦТО!AZ563=1,ЦТО!BA563=1),"Отрицательная",IF(OR(ЦТО!AW563=1),"Инфантильная")))</f>
        <v>0</v>
      </c>
    </row>
    <row r="660" spans="1:9">
      <c r="A660" s="62">
        <f>ЦТО!A564</f>
        <v>0</v>
      </c>
      <c r="B660" s="62">
        <f>ЦТО!B564</f>
        <v>0</v>
      </c>
      <c r="C660" s="67">
        <f>ЦТО!C564</f>
        <v>0</v>
      </c>
      <c r="D660" s="63">
        <f>ЦТО!D564</f>
        <v>0</v>
      </c>
      <c r="E660" s="68">
        <f>SUM(ЦТО!BB564:BI564)</f>
        <v>0</v>
      </c>
      <c r="F660" s="64" t="str">
        <f>IF(E660&lt;10,'вспомогательные данные'!$C$26,IF(E660&lt;19,'вспомогательные данные'!$C$25,'вспомогательные данные'!$C$24))</f>
        <v>положительный</v>
      </c>
      <c r="G660" s="65">
        <f>(18-ЦТО!AM564-ЦТО!AL564)/(18-ЦТО!AL564-ЦТО!AP564)</f>
        <v>1</v>
      </c>
      <c r="H660" s="66" t="str">
        <f>IF(G660&lt;0.51,'вспомогательные данные'!$C$19,IF(G660&lt;0.92,'вспомогательные данные'!$C$20, IF(G660&lt;2,'вспомогательные данные'!$C$21,'вспомогательные данные'!$C$22)))</f>
        <v>оптимальная работоспособность</v>
      </c>
      <c r="I660" s="61" t="b">
        <f>IF(OR(ЦТО!AT564=1,ЦТО!AU564=1,ЦТО!AV564=1,ЦТО!AX564=1),"Положительная",IF(OR(ЦТО!AY564=1,ЦТО!AZ564=1,ЦТО!BA564=1),"Отрицательная",IF(OR(ЦТО!AW564=1),"Инфантильная")))</f>
        <v>0</v>
      </c>
    </row>
    <row r="661" spans="1:9">
      <c r="A661" s="62">
        <f>ЦТО!A565</f>
        <v>0</v>
      </c>
      <c r="B661" s="62">
        <f>ЦТО!B565</f>
        <v>0</v>
      </c>
      <c r="C661" s="67">
        <f>ЦТО!C565</f>
        <v>0</v>
      </c>
      <c r="D661" s="63">
        <f>ЦТО!D565</f>
        <v>0</v>
      </c>
      <c r="E661" s="68">
        <f>SUM(ЦТО!BB565:BI565)</f>
        <v>0</v>
      </c>
      <c r="F661" s="64" t="str">
        <f>IF(E661&lt;10,'вспомогательные данные'!$C$26,IF(E661&lt;19,'вспомогательные данные'!$C$25,'вспомогательные данные'!$C$24))</f>
        <v>положительный</v>
      </c>
      <c r="G661" s="65">
        <f>(18-ЦТО!AM565-ЦТО!AL565)/(18-ЦТО!AL565-ЦТО!AP565)</f>
        <v>1</v>
      </c>
      <c r="H661" s="66" t="str">
        <f>IF(G661&lt;0.51,'вспомогательные данные'!$C$19,IF(G661&lt;0.92,'вспомогательные данные'!$C$20, IF(G661&lt;2,'вспомогательные данные'!$C$21,'вспомогательные данные'!$C$22)))</f>
        <v>оптимальная работоспособность</v>
      </c>
      <c r="I661" s="61" t="b">
        <f>IF(OR(ЦТО!AT565=1,ЦТО!AU565=1,ЦТО!AV565=1,ЦТО!AX565=1),"Положительная",IF(OR(ЦТО!AY565=1,ЦТО!AZ565=1,ЦТО!BA565=1),"Отрицательная",IF(OR(ЦТО!AW565=1),"Инфантильная")))</f>
        <v>0</v>
      </c>
    </row>
    <row r="662" spans="1:9">
      <c r="A662" s="62">
        <f>ЦТО!A566</f>
        <v>0</v>
      </c>
      <c r="B662" s="62">
        <f>ЦТО!B566</f>
        <v>0</v>
      </c>
      <c r="C662" s="67">
        <f>ЦТО!C566</f>
        <v>0</v>
      </c>
      <c r="D662" s="63">
        <f>ЦТО!D566</f>
        <v>0</v>
      </c>
      <c r="E662" s="68">
        <f>SUM(ЦТО!BB566:BI566)</f>
        <v>0</v>
      </c>
      <c r="F662" s="64" t="str">
        <f>IF(E662&lt;10,'вспомогательные данные'!$C$26,IF(E662&lt;19,'вспомогательные данные'!$C$25,'вспомогательные данные'!$C$24))</f>
        <v>положительный</v>
      </c>
      <c r="G662" s="65">
        <f>(18-ЦТО!AM566-ЦТО!AL566)/(18-ЦТО!AL566-ЦТО!AP566)</f>
        <v>1</v>
      </c>
      <c r="H662" s="66" t="str">
        <f>IF(G662&lt;0.51,'вспомогательные данные'!$C$19,IF(G662&lt;0.92,'вспомогательные данные'!$C$20, IF(G662&lt;2,'вспомогательные данные'!$C$21,'вспомогательные данные'!$C$22)))</f>
        <v>оптимальная работоспособность</v>
      </c>
      <c r="I662" s="61" t="b">
        <f>IF(OR(ЦТО!AT566=1,ЦТО!AU566=1,ЦТО!AV566=1,ЦТО!AX566=1),"Положительная",IF(OR(ЦТО!AY566=1,ЦТО!AZ566=1,ЦТО!BA566=1),"Отрицательная",IF(OR(ЦТО!AW566=1),"Инфантильная")))</f>
        <v>0</v>
      </c>
    </row>
    <row r="663" spans="1:9">
      <c r="A663" s="62">
        <f>ЦТО!A567</f>
        <v>0</v>
      </c>
      <c r="B663" s="62">
        <f>ЦТО!B567</f>
        <v>0</v>
      </c>
      <c r="C663" s="67">
        <f>ЦТО!C567</f>
        <v>0</v>
      </c>
      <c r="D663" s="63">
        <f>ЦТО!D567</f>
        <v>0</v>
      </c>
      <c r="E663" s="68">
        <f>SUM(ЦТО!BB567:BI567)</f>
        <v>0</v>
      </c>
      <c r="F663" s="64" t="str">
        <f>IF(E663&lt;10,'вспомогательные данные'!$C$26,IF(E663&lt;19,'вспомогательные данные'!$C$25,'вспомогательные данные'!$C$24))</f>
        <v>положительный</v>
      </c>
      <c r="G663" s="65">
        <f>(18-ЦТО!AM567-ЦТО!AL567)/(18-ЦТО!AL567-ЦТО!AP567)</f>
        <v>1</v>
      </c>
      <c r="H663" s="66" t="str">
        <f>IF(G663&lt;0.51,'вспомогательные данные'!$C$19,IF(G663&lt;0.92,'вспомогательные данные'!$C$20, IF(G663&lt;2,'вспомогательные данные'!$C$21,'вспомогательные данные'!$C$22)))</f>
        <v>оптимальная работоспособность</v>
      </c>
      <c r="I663" s="61" t="b">
        <f>IF(OR(ЦТО!AT567=1,ЦТО!AU567=1,ЦТО!AV567=1,ЦТО!AX567=1),"Положительная",IF(OR(ЦТО!AY567=1,ЦТО!AZ567=1,ЦТО!BA567=1),"Отрицательная",IF(OR(ЦТО!AW567=1),"Инфантильная")))</f>
        <v>0</v>
      </c>
    </row>
    <row r="664" spans="1:9">
      <c r="A664" s="62">
        <f>ЦТО!A568</f>
        <v>0</v>
      </c>
      <c r="B664" s="62">
        <f>ЦТО!B568</f>
        <v>0</v>
      </c>
      <c r="C664" s="67">
        <f>ЦТО!C568</f>
        <v>0</v>
      </c>
      <c r="D664" s="63">
        <f>ЦТО!D568</f>
        <v>0</v>
      </c>
      <c r="E664" s="68">
        <f>SUM(ЦТО!BB568:BI568)</f>
        <v>0</v>
      </c>
      <c r="F664" s="64" t="str">
        <f>IF(E664&lt;10,'вспомогательные данные'!$C$26,IF(E664&lt;19,'вспомогательные данные'!$C$25,'вспомогательные данные'!$C$24))</f>
        <v>положительный</v>
      </c>
      <c r="G664" s="65">
        <f>(18-ЦТО!AM568-ЦТО!AL568)/(18-ЦТО!AL568-ЦТО!AP568)</f>
        <v>1</v>
      </c>
      <c r="H664" s="66" t="str">
        <f>IF(G664&lt;0.51,'вспомогательные данные'!$C$19,IF(G664&lt;0.92,'вспомогательные данные'!$C$20, IF(G664&lt;2,'вспомогательные данные'!$C$21,'вспомогательные данные'!$C$22)))</f>
        <v>оптимальная работоспособность</v>
      </c>
      <c r="I664" s="61" t="b">
        <f>IF(OR(ЦТО!AT568=1,ЦТО!AU568=1,ЦТО!AV568=1,ЦТО!AX568=1),"Положительная",IF(OR(ЦТО!AY568=1,ЦТО!AZ568=1,ЦТО!BA568=1),"Отрицательная",IF(OR(ЦТО!AW568=1),"Инфантильная")))</f>
        <v>0</v>
      </c>
    </row>
    <row r="665" spans="1:9">
      <c r="A665" s="62">
        <f>ЦТО!A569</f>
        <v>0</v>
      </c>
      <c r="B665" s="62">
        <f>ЦТО!B569</f>
        <v>0</v>
      </c>
      <c r="C665" s="67">
        <f>ЦТО!C569</f>
        <v>0</v>
      </c>
      <c r="D665" s="63">
        <f>ЦТО!D569</f>
        <v>0</v>
      </c>
      <c r="E665" s="68">
        <f>SUM(ЦТО!BB569:BI569)</f>
        <v>0</v>
      </c>
      <c r="F665" s="64" t="str">
        <f>IF(E665&lt;10,'вспомогательные данные'!$C$26,IF(E665&lt;19,'вспомогательные данные'!$C$25,'вспомогательные данные'!$C$24))</f>
        <v>положительный</v>
      </c>
      <c r="G665" s="65">
        <f>(18-ЦТО!AM569-ЦТО!AL569)/(18-ЦТО!AL569-ЦТО!AP569)</f>
        <v>1</v>
      </c>
      <c r="H665" s="66" t="str">
        <f>IF(G665&lt;0.51,'вспомогательные данные'!$C$19,IF(G665&lt;0.92,'вспомогательные данные'!$C$20, IF(G665&lt;2,'вспомогательные данные'!$C$21,'вспомогательные данные'!$C$22)))</f>
        <v>оптимальная работоспособность</v>
      </c>
      <c r="I665" s="61" t="b">
        <f>IF(OR(ЦТО!AT569=1,ЦТО!AU569=1,ЦТО!AV569=1,ЦТО!AX569=1),"Положительная",IF(OR(ЦТО!AY569=1,ЦТО!AZ569=1,ЦТО!BA569=1),"Отрицательная",IF(OR(ЦТО!AW569=1),"Инфантильная")))</f>
        <v>0</v>
      </c>
    </row>
    <row r="666" spans="1:9">
      <c r="A666" s="62">
        <f>ЦТО!A570</f>
        <v>0</v>
      </c>
      <c r="B666" s="62">
        <f>ЦТО!B570</f>
        <v>0</v>
      </c>
      <c r="C666" s="67">
        <f>ЦТО!C570</f>
        <v>0</v>
      </c>
      <c r="D666" s="63">
        <f>ЦТО!D570</f>
        <v>0</v>
      </c>
      <c r="E666" s="68">
        <f>SUM(ЦТО!BB570:BI570)</f>
        <v>0</v>
      </c>
      <c r="F666" s="64" t="str">
        <f>IF(E666&lt;10,'вспомогательные данные'!$C$26,IF(E666&lt;19,'вспомогательные данные'!$C$25,'вспомогательные данные'!$C$24))</f>
        <v>положительный</v>
      </c>
      <c r="G666" s="65">
        <f>(18-ЦТО!AM570-ЦТО!AL570)/(18-ЦТО!AL570-ЦТО!AP570)</f>
        <v>1</v>
      </c>
      <c r="H666" s="66" t="str">
        <f>IF(G666&lt;0.51,'вспомогательные данные'!$C$19,IF(G666&lt;0.92,'вспомогательные данные'!$C$20, IF(G666&lt;2,'вспомогательные данные'!$C$21,'вспомогательные данные'!$C$22)))</f>
        <v>оптимальная работоспособность</v>
      </c>
      <c r="I666" s="61" t="b">
        <f>IF(OR(ЦТО!AT570=1,ЦТО!AU570=1,ЦТО!AV570=1,ЦТО!AX570=1),"Положительная",IF(OR(ЦТО!AY570=1,ЦТО!AZ570=1,ЦТО!BA570=1),"Отрицательная",IF(OR(ЦТО!AW570=1),"Инфантильная")))</f>
        <v>0</v>
      </c>
    </row>
    <row r="667" spans="1:9">
      <c r="A667" s="62">
        <f>ЦТО!A571</f>
        <v>0</v>
      </c>
      <c r="B667" s="62">
        <f>ЦТО!B571</f>
        <v>0</v>
      </c>
      <c r="C667" s="67">
        <f>ЦТО!C571</f>
        <v>0</v>
      </c>
      <c r="D667" s="63">
        <f>ЦТО!D571</f>
        <v>0</v>
      </c>
      <c r="E667" s="68">
        <f>SUM(ЦТО!BB571:BI571)</f>
        <v>0</v>
      </c>
      <c r="F667" s="64" t="str">
        <f>IF(E667&lt;10,'вспомогательные данные'!$C$26,IF(E667&lt;19,'вспомогательные данные'!$C$25,'вспомогательные данные'!$C$24))</f>
        <v>положительный</v>
      </c>
      <c r="G667" s="65">
        <f>(18-ЦТО!AM571-ЦТО!AL571)/(18-ЦТО!AL571-ЦТО!AP571)</f>
        <v>1</v>
      </c>
      <c r="H667" s="66" t="str">
        <f>IF(G667&lt;0.51,'вспомогательные данные'!$C$19,IF(G667&lt;0.92,'вспомогательные данные'!$C$20, IF(G667&lt;2,'вспомогательные данные'!$C$21,'вспомогательные данные'!$C$22)))</f>
        <v>оптимальная работоспособность</v>
      </c>
      <c r="I667" s="61" t="b">
        <f>IF(OR(ЦТО!AT571=1,ЦТО!AU571=1,ЦТО!AV571=1,ЦТО!AX571=1),"Положительная",IF(OR(ЦТО!AY571=1,ЦТО!AZ571=1,ЦТО!BA571=1),"Отрицательная",IF(OR(ЦТО!AW571=1),"Инфантильная")))</f>
        <v>0</v>
      </c>
    </row>
    <row r="668" spans="1:9">
      <c r="A668" s="62">
        <f>ЦТО!A572</f>
        <v>0</v>
      </c>
      <c r="B668" s="62">
        <f>ЦТО!B572</f>
        <v>0</v>
      </c>
      <c r="C668" s="67">
        <f>ЦТО!C572</f>
        <v>0</v>
      </c>
      <c r="D668" s="63">
        <f>ЦТО!D572</f>
        <v>0</v>
      </c>
      <c r="E668" s="68">
        <f>SUM(ЦТО!BB572:BI572)</f>
        <v>0</v>
      </c>
      <c r="F668" s="64" t="str">
        <f>IF(E668&lt;10,'вспомогательные данные'!$C$26,IF(E668&lt;19,'вспомогательные данные'!$C$25,'вспомогательные данные'!$C$24))</f>
        <v>положительный</v>
      </c>
      <c r="G668" s="65">
        <f>(18-ЦТО!AM572-ЦТО!AL572)/(18-ЦТО!AL572-ЦТО!AP572)</f>
        <v>1</v>
      </c>
      <c r="H668" s="66" t="str">
        <f>IF(G668&lt;0.51,'вспомогательные данные'!$C$19,IF(G668&lt;0.92,'вспомогательные данные'!$C$20, IF(G668&lt;2,'вспомогательные данные'!$C$21,'вспомогательные данные'!$C$22)))</f>
        <v>оптимальная работоспособность</v>
      </c>
      <c r="I668" s="61" t="b">
        <f>IF(OR(ЦТО!AT572=1,ЦТО!AU572=1,ЦТО!AV572=1,ЦТО!AX572=1),"Положительная",IF(OR(ЦТО!AY572=1,ЦТО!AZ572=1,ЦТО!BA572=1),"Отрицательная",IF(OR(ЦТО!AW572=1),"Инфантильная")))</f>
        <v>0</v>
      </c>
    </row>
    <row r="669" spans="1:9">
      <c r="A669" s="62">
        <f>ЦТО!A573</f>
        <v>0</v>
      </c>
      <c r="B669" s="62">
        <f>ЦТО!B573</f>
        <v>0</v>
      </c>
      <c r="C669" s="67">
        <f>ЦТО!C573</f>
        <v>0</v>
      </c>
      <c r="D669" s="63">
        <f>ЦТО!D573</f>
        <v>0</v>
      </c>
      <c r="E669" s="68">
        <f>SUM(ЦТО!BB573:BI573)</f>
        <v>0</v>
      </c>
      <c r="F669" s="64" t="str">
        <f>IF(E669&lt;10,'вспомогательные данные'!$C$26,IF(E669&lt;19,'вспомогательные данные'!$C$25,'вспомогательные данные'!$C$24))</f>
        <v>положительный</v>
      </c>
      <c r="G669" s="65">
        <f>(18-ЦТО!AM573-ЦТО!AL573)/(18-ЦТО!AL573-ЦТО!AP573)</f>
        <v>1</v>
      </c>
      <c r="H669" s="66" t="str">
        <f>IF(G669&lt;0.51,'вспомогательные данные'!$C$19,IF(G669&lt;0.92,'вспомогательные данные'!$C$20, IF(G669&lt;2,'вспомогательные данные'!$C$21,'вспомогательные данные'!$C$22)))</f>
        <v>оптимальная работоспособность</v>
      </c>
      <c r="I669" s="61" t="b">
        <f>IF(OR(ЦТО!AT573=1,ЦТО!AU573=1,ЦТО!AV573=1,ЦТО!AX573=1),"Положительная",IF(OR(ЦТО!AY573=1,ЦТО!AZ573=1,ЦТО!BA573=1),"Отрицательная",IF(OR(ЦТО!AW573=1),"Инфантильная")))</f>
        <v>0</v>
      </c>
    </row>
    <row r="670" spans="1:9">
      <c r="A670" s="62">
        <f>ЦТО!A574</f>
        <v>0</v>
      </c>
      <c r="B670" s="62">
        <f>ЦТО!B574</f>
        <v>0</v>
      </c>
      <c r="C670" s="67">
        <f>ЦТО!C574</f>
        <v>0</v>
      </c>
      <c r="D670" s="63">
        <f>ЦТО!D574</f>
        <v>0</v>
      </c>
      <c r="E670" s="68">
        <f>SUM(ЦТО!BB574:BI574)</f>
        <v>0</v>
      </c>
      <c r="F670" s="64" t="str">
        <f>IF(E670&lt;10,'вспомогательные данные'!$C$26,IF(E670&lt;19,'вспомогательные данные'!$C$25,'вспомогательные данные'!$C$24))</f>
        <v>положительный</v>
      </c>
      <c r="G670" s="65">
        <f>(18-ЦТО!AM574-ЦТО!AL574)/(18-ЦТО!AL574-ЦТО!AP574)</f>
        <v>1</v>
      </c>
      <c r="H670" s="66" t="str">
        <f>IF(G670&lt;0.51,'вспомогательные данные'!$C$19,IF(G670&lt;0.92,'вспомогательные данные'!$C$20, IF(G670&lt;2,'вспомогательные данные'!$C$21,'вспомогательные данные'!$C$22)))</f>
        <v>оптимальная работоспособность</v>
      </c>
      <c r="I670" s="61" t="b">
        <f>IF(OR(ЦТО!AT574=1,ЦТО!AU574=1,ЦТО!AV574=1,ЦТО!AX574=1),"Положительная",IF(OR(ЦТО!AY574=1,ЦТО!AZ574=1,ЦТО!BA574=1),"Отрицательная",IF(OR(ЦТО!AW574=1),"Инфантильная")))</f>
        <v>0</v>
      </c>
    </row>
    <row r="671" spans="1:9">
      <c r="A671" s="62">
        <f>ЦТО!A575</f>
        <v>0</v>
      </c>
      <c r="B671" s="62">
        <f>ЦТО!B575</f>
        <v>0</v>
      </c>
      <c r="C671" s="67">
        <f>ЦТО!C575</f>
        <v>0</v>
      </c>
      <c r="D671" s="63">
        <f>ЦТО!D575</f>
        <v>0</v>
      </c>
      <c r="E671" s="68">
        <f>SUM(ЦТО!BB575:BI575)</f>
        <v>0</v>
      </c>
      <c r="F671" s="64" t="str">
        <f>IF(E671&lt;10,'вспомогательные данные'!$C$26,IF(E671&lt;19,'вспомогательные данные'!$C$25,'вспомогательные данные'!$C$24))</f>
        <v>положительный</v>
      </c>
      <c r="G671" s="65">
        <f>(18-ЦТО!AM575-ЦТО!AL575)/(18-ЦТО!AL575-ЦТО!AP575)</f>
        <v>1</v>
      </c>
      <c r="H671" s="66" t="str">
        <f>IF(G671&lt;0.51,'вспомогательные данные'!$C$19,IF(G671&lt;0.92,'вспомогательные данные'!$C$20, IF(G671&lt;2,'вспомогательные данные'!$C$21,'вспомогательные данные'!$C$22)))</f>
        <v>оптимальная работоспособность</v>
      </c>
      <c r="I671" s="61" t="b">
        <f>IF(OR(ЦТО!AT575=1,ЦТО!AU575=1,ЦТО!AV575=1,ЦТО!AX575=1),"Положительная",IF(OR(ЦТО!AY575=1,ЦТО!AZ575=1,ЦТО!BA575=1),"Отрицательная",IF(OR(ЦТО!AW575=1),"Инфантильная")))</f>
        <v>0</v>
      </c>
    </row>
    <row r="672" spans="1:9">
      <c r="A672" s="62">
        <f>ЦТО!A576</f>
        <v>0</v>
      </c>
      <c r="B672" s="62">
        <f>ЦТО!B576</f>
        <v>0</v>
      </c>
      <c r="C672" s="67">
        <f>ЦТО!C576</f>
        <v>0</v>
      </c>
      <c r="D672" s="63">
        <f>ЦТО!D576</f>
        <v>0</v>
      </c>
      <c r="E672" s="68">
        <f>SUM(ЦТО!BB576:BI576)</f>
        <v>0</v>
      </c>
      <c r="F672" s="64" t="str">
        <f>IF(E672&lt;10,'вспомогательные данные'!$C$26,IF(E672&lt;19,'вспомогательные данные'!$C$25,'вспомогательные данные'!$C$24))</f>
        <v>положительный</v>
      </c>
      <c r="G672" s="65">
        <f>(18-ЦТО!AM576-ЦТО!AL576)/(18-ЦТО!AL576-ЦТО!AP576)</f>
        <v>1</v>
      </c>
      <c r="H672" s="66" t="str">
        <f>IF(G672&lt;0.51,'вспомогательные данные'!$C$19,IF(G672&lt;0.92,'вспомогательные данные'!$C$20, IF(G672&lt;2,'вспомогательные данные'!$C$21,'вспомогательные данные'!$C$22)))</f>
        <v>оптимальная работоспособность</v>
      </c>
      <c r="I672" s="61" t="b">
        <f>IF(OR(ЦТО!AT576=1,ЦТО!AU576=1,ЦТО!AV576=1,ЦТО!AX576=1),"Положительная",IF(OR(ЦТО!AY576=1,ЦТО!AZ576=1,ЦТО!BA576=1),"Отрицательная",IF(OR(ЦТО!AW576=1),"Инфантильная")))</f>
        <v>0</v>
      </c>
    </row>
    <row r="673" spans="1:9">
      <c r="A673" s="62">
        <f>ЦТО!A577</f>
        <v>0</v>
      </c>
      <c r="B673" s="62">
        <f>ЦТО!B577</f>
        <v>0</v>
      </c>
      <c r="C673" s="67">
        <f>ЦТО!C577</f>
        <v>0</v>
      </c>
      <c r="D673" s="63">
        <f>ЦТО!D577</f>
        <v>0</v>
      </c>
      <c r="E673" s="68">
        <f>SUM(ЦТО!BB577:BI577)</f>
        <v>0</v>
      </c>
      <c r="F673" s="64" t="str">
        <f>IF(E673&lt;10,'вспомогательные данные'!$C$26,IF(E673&lt;19,'вспомогательные данные'!$C$25,'вспомогательные данные'!$C$24))</f>
        <v>положительный</v>
      </c>
      <c r="G673" s="65">
        <f>(18-ЦТО!AM577-ЦТО!AL577)/(18-ЦТО!AL577-ЦТО!AP577)</f>
        <v>1</v>
      </c>
      <c r="H673" s="66" t="str">
        <f>IF(G673&lt;0.51,'вспомогательные данные'!$C$19,IF(G673&lt;0.92,'вспомогательные данные'!$C$20, IF(G673&lt;2,'вспомогательные данные'!$C$21,'вспомогательные данные'!$C$22)))</f>
        <v>оптимальная работоспособность</v>
      </c>
      <c r="I673" s="61" t="b">
        <f>IF(OR(ЦТО!AT577=1,ЦТО!AU577=1,ЦТО!AV577=1,ЦТО!AX577=1),"Положительная",IF(OR(ЦТО!AY577=1,ЦТО!AZ577=1,ЦТО!BA577=1),"Отрицательная",IF(OR(ЦТО!AW577=1),"Инфантильная")))</f>
        <v>0</v>
      </c>
    </row>
    <row r="674" spans="1:9">
      <c r="A674" s="62">
        <f>ЦТО!A578</f>
        <v>0</v>
      </c>
      <c r="B674" s="62">
        <f>ЦТО!B578</f>
        <v>0</v>
      </c>
      <c r="C674" s="67">
        <f>ЦТО!C578</f>
        <v>0</v>
      </c>
      <c r="D674" s="63">
        <f>ЦТО!D578</f>
        <v>0</v>
      </c>
      <c r="E674" s="68">
        <f>SUM(ЦТО!BB578:BI578)</f>
        <v>0</v>
      </c>
      <c r="F674" s="64" t="str">
        <f>IF(E674&lt;10,'вспомогательные данные'!$C$26,IF(E674&lt;19,'вспомогательные данные'!$C$25,'вспомогательные данные'!$C$24))</f>
        <v>положительный</v>
      </c>
      <c r="G674" s="65">
        <f>(18-ЦТО!AM578-ЦТО!AL578)/(18-ЦТО!AL578-ЦТО!AP578)</f>
        <v>1</v>
      </c>
      <c r="H674" s="66" t="str">
        <f>IF(G674&lt;0.51,'вспомогательные данные'!$C$19,IF(G674&lt;0.92,'вспомогательные данные'!$C$20, IF(G674&lt;2,'вспомогательные данные'!$C$21,'вспомогательные данные'!$C$22)))</f>
        <v>оптимальная работоспособность</v>
      </c>
      <c r="I674" s="61" t="b">
        <f>IF(OR(ЦТО!AT578=1,ЦТО!AU578=1,ЦТО!AV578=1,ЦТО!AX578=1),"Положительная",IF(OR(ЦТО!AY578=1,ЦТО!AZ578=1,ЦТО!BA578=1),"Отрицательная",IF(OR(ЦТО!AW578=1),"Инфантильная")))</f>
        <v>0</v>
      </c>
    </row>
    <row r="675" spans="1:9">
      <c r="A675" s="62">
        <f>ЦТО!A579</f>
        <v>0</v>
      </c>
      <c r="B675" s="62">
        <f>ЦТО!B579</f>
        <v>0</v>
      </c>
      <c r="C675" s="67">
        <f>ЦТО!C579</f>
        <v>0</v>
      </c>
      <c r="D675" s="63">
        <f>ЦТО!D579</f>
        <v>0</v>
      </c>
      <c r="E675" s="68">
        <f>SUM(ЦТО!BB579:BI579)</f>
        <v>0</v>
      </c>
      <c r="F675" s="64" t="str">
        <f>IF(E675&lt;10,'вспомогательные данные'!$C$26,IF(E675&lt;19,'вспомогательные данные'!$C$25,'вспомогательные данные'!$C$24))</f>
        <v>положительный</v>
      </c>
      <c r="G675" s="65">
        <f>(18-ЦТО!AM579-ЦТО!AL579)/(18-ЦТО!AL579-ЦТО!AP579)</f>
        <v>1</v>
      </c>
      <c r="H675" s="66" t="str">
        <f>IF(G675&lt;0.51,'вспомогательные данные'!$C$19,IF(G675&lt;0.92,'вспомогательные данные'!$C$20, IF(G675&lt;2,'вспомогательные данные'!$C$21,'вспомогательные данные'!$C$22)))</f>
        <v>оптимальная работоспособность</v>
      </c>
      <c r="I675" s="61" t="b">
        <f>IF(OR(ЦТО!AT579=1,ЦТО!AU579=1,ЦТО!AV579=1,ЦТО!AX579=1),"Положительная",IF(OR(ЦТО!AY579=1,ЦТО!AZ579=1,ЦТО!BA579=1),"Отрицательная",IF(OR(ЦТО!AW579=1),"Инфантильная")))</f>
        <v>0</v>
      </c>
    </row>
    <row r="676" spans="1:9">
      <c r="A676" s="62">
        <f>ЦТО!A580</f>
        <v>0</v>
      </c>
      <c r="B676" s="62">
        <f>ЦТО!B580</f>
        <v>0</v>
      </c>
      <c r="C676" s="67">
        <f>ЦТО!C580</f>
        <v>0</v>
      </c>
      <c r="D676" s="63">
        <f>ЦТО!D580</f>
        <v>0</v>
      </c>
      <c r="E676" s="68">
        <f>SUM(ЦТО!BB580:BI580)</f>
        <v>0</v>
      </c>
      <c r="F676" s="64" t="str">
        <f>IF(E676&lt;10,'вспомогательные данные'!$C$26,IF(E676&lt;19,'вспомогательные данные'!$C$25,'вспомогательные данные'!$C$24))</f>
        <v>положительный</v>
      </c>
      <c r="G676" s="65">
        <f>(18-ЦТО!AM580-ЦТО!AL580)/(18-ЦТО!AL580-ЦТО!AP580)</f>
        <v>1</v>
      </c>
      <c r="H676" s="66" t="str">
        <f>IF(G676&lt;0.51,'вспомогательные данные'!$C$19,IF(G676&lt;0.92,'вспомогательные данные'!$C$20, IF(G676&lt;2,'вспомогательные данные'!$C$21,'вспомогательные данные'!$C$22)))</f>
        <v>оптимальная работоспособность</v>
      </c>
      <c r="I676" s="61" t="b">
        <f>IF(OR(ЦТО!AT580=1,ЦТО!AU580=1,ЦТО!AV580=1,ЦТО!AX580=1),"Положительная",IF(OR(ЦТО!AY580=1,ЦТО!AZ580=1,ЦТО!BA580=1),"Отрицательная",IF(OR(ЦТО!AW580=1),"Инфантильная")))</f>
        <v>0</v>
      </c>
    </row>
    <row r="677" spans="1:9">
      <c r="A677" s="62">
        <f>ЦТО!A581</f>
        <v>0</v>
      </c>
      <c r="B677" s="62">
        <f>ЦТО!B581</f>
        <v>0</v>
      </c>
      <c r="C677" s="67">
        <f>ЦТО!C581</f>
        <v>0</v>
      </c>
      <c r="D677" s="63">
        <f>ЦТО!D581</f>
        <v>0</v>
      </c>
      <c r="E677" s="68">
        <f>SUM(ЦТО!BB581:BI581)</f>
        <v>0</v>
      </c>
      <c r="F677" s="64" t="str">
        <f>IF(E677&lt;10,'вспомогательные данные'!$C$26,IF(E677&lt;19,'вспомогательные данные'!$C$25,'вспомогательные данные'!$C$24))</f>
        <v>положительный</v>
      </c>
      <c r="G677" s="65">
        <f>(18-ЦТО!AM581-ЦТО!AL581)/(18-ЦТО!AL581-ЦТО!AP581)</f>
        <v>1</v>
      </c>
      <c r="H677" s="66" t="str">
        <f>IF(G677&lt;0.51,'вспомогательные данные'!$C$19,IF(G677&lt;0.92,'вспомогательные данные'!$C$20, IF(G677&lt;2,'вспомогательные данные'!$C$21,'вспомогательные данные'!$C$22)))</f>
        <v>оптимальная работоспособность</v>
      </c>
      <c r="I677" s="61" t="b">
        <f>IF(OR(ЦТО!AT581=1,ЦТО!AU581=1,ЦТО!AV581=1,ЦТО!AX581=1),"Положительная",IF(OR(ЦТО!AY581=1,ЦТО!AZ581=1,ЦТО!BA581=1),"Отрицательная",IF(OR(ЦТО!AW581=1),"Инфантильная")))</f>
        <v>0</v>
      </c>
    </row>
    <row r="678" spans="1:9">
      <c r="A678" s="62">
        <f>ЦТО!A582</f>
        <v>0</v>
      </c>
      <c r="B678" s="62">
        <f>ЦТО!B582</f>
        <v>0</v>
      </c>
      <c r="C678" s="67">
        <f>ЦТО!C582</f>
        <v>0</v>
      </c>
      <c r="D678" s="63">
        <f>ЦТО!D582</f>
        <v>0</v>
      </c>
      <c r="E678" s="68">
        <f>SUM(ЦТО!BB582:BI582)</f>
        <v>0</v>
      </c>
      <c r="F678" s="64" t="str">
        <f>IF(E678&lt;10,'вспомогательные данные'!$C$26,IF(E678&lt;19,'вспомогательные данные'!$C$25,'вспомогательные данные'!$C$24))</f>
        <v>положительный</v>
      </c>
      <c r="G678" s="65">
        <f>(18-ЦТО!AM582-ЦТО!AL582)/(18-ЦТО!AL582-ЦТО!AP582)</f>
        <v>1</v>
      </c>
      <c r="H678" s="66" t="str">
        <f>IF(G678&lt;0.51,'вспомогательные данные'!$C$19,IF(G678&lt;0.92,'вспомогательные данные'!$C$20, IF(G678&lt;2,'вспомогательные данные'!$C$21,'вспомогательные данные'!$C$22)))</f>
        <v>оптимальная работоспособность</v>
      </c>
      <c r="I678" s="61" t="b">
        <f>IF(OR(ЦТО!AT582=1,ЦТО!AU582=1,ЦТО!AV582=1,ЦТО!AX582=1),"Положительная",IF(OR(ЦТО!AY582=1,ЦТО!AZ582=1,ЦТО!BA582=1),"Отрицательная",IF(OR(ЦТО!AW582=1),"Инфантильная")))</f>
        <v>0</v>
      </c>
    </row>
    <row r="679" spans="1:9">
      <c r="A679" s="62">
        <f>ЦТО!A583</f>
        <v>0</v>
      </c>
      <c r="B679" s="62">
        <f>ЦТО!B583</f>
        <v>0</v>
      </c>
      <c r="C679" s="67">
        <f>ЦТО!C583</f>
        <v>0</v>
      </c>
      <c r="D679" s="63">
        <f>ЦТО!D583</f>
        <v>0</v>
      </c>
      <c r="E679" s="68">
        <f>SUM(ЦТО!BB583:BI583)</f>
        <v>0</v>
      </c>
      <c r="F679" s="64" t="str">
        <f>IF(E679&lt;10,'вспомогательные данные'!$C$26,IF(E679&lt;19,'вспомогательные данные'!$C$25,'вспомогательные данные'!$C$24))</f>
        <v>положительный</v>
      </c>
      <c r="G679" s="65">
        <f>(18-ЦТО!AM583-ЦТО!AL583)/(18-ЦТО!AL583-ЦТО!AP583)</f>
        <v>1</v>
      </c>
      <c r="H679" s="66" t="str">
        <f>IF(G679&lt;0.51,'вспомогательные данные'!$C$19,IF(G679&lt;0.92,'вспомогательные данные'!$C$20, IF(G679&lt;2,'вспомогательные данные'!$C$21,'вспомогательные данные'!$C$22)))</f>
        <v>оптимальная работоспособность</v>
      </c>
      <c r="I679" s="61" t="b">
        <f>IF(OR(ЦТО!AT583=1,ЦТО!AU583=1,ЦТО!AV583=1,ЦТО!AX583=1),"Положительная",IF(OR(ЦТО!AY583=1,ЦТО!AZ583=1,ЦТО!BA583=1),"Отрицательная",IF(OR(ЦТО!AW583=1),"Инфантильная")))</f>
        <v>0</v>
      </c>
    </row>
    <row r="680" spans="1:9">
      <c r="A680" s="62">
        <f>ЦТО!A584</f>
        <v>0</v>
      </c>
      <c r="B680" s="62">
        <f>ЦТО!B584</f>
        <v>0</v>
      </c>
      <c r="C680" s="67">
        <f>ЦТО!C584</f>
        <v>0</v>
      </c>
      <c r="D680" s="63">
        <f>ЦТО!D584</f>
        <v>0</v>
      </c>
      <c r="E680" s="68">
        <f>SUM(ЦТО!BB584:BI584)</f>
        <v>0</v>
      </c>
      <c r="F680" s="64" t="str">
        <f>IF(E680&lt;10,'вспомогательные данные'!$C$26,IF(E680&lt;19,'вспомогательные данные'!$C$25,'вспомогательные данные'!$C$24))</f>
        <v>положительный</v>
      </c>
      <c r="G680" s="65">
        <f>(18-ЦТО!AM584-ЦТО!AL584)/(18-ЦТО!AL584-ЦТО!AP584)</f>
        <v>1</v>
      </c>
      <c r="H680" s="66" t="str">
        <f>IF(G680&lt;0.51,'вспомогательные данные'!$C$19,IF(G680&lt;0.92,'вспомогательные данные'!$C$20, IF(G680&lt;2,'вспомогательные данные'!$C$21,'вспомогательные данные'!$C$22)))</f>
        <v>оптимальная работоспособность</v>
      </c>
      <c r="I680" s="61" t="b">
        <f>IF(OR(ЦТО!AT584=1,ЦТО!AU584=1,ЦТО!AV584=1,ЦТО!AX584=1),"Положительная",IF(OR(ЦТО!AY584=1,ЦТО!AZ584=1,ЦТО!BA584=1),"Отрицательная",IF(OR(ЦТО!AW584=1),"Инфантильная")))</f>
        <v>0</v>
      </c>
    </row>
    <row r="681" spans="1:9">
      <c r="A681" s="62">
        <f>ЦТО!A585</f>
        <v>0</v>
      </c>
      <c r="B681" s="62">
        <f>ЦТО!B585</f>
        <v>0</v>
      </c>
      <c r="C681" s="67">
        <f>ЦТО!C585</f>
        <v>0</v>
      </c>
      <c r="D681" s="63">
        <f>ЦТО!D585</f>
        <v>0</v>
      </c>
      <c r="E681" s="68">
        <f>SUM(ЦТО!BB585:BI585)</f>
        <v>0</v>
      </c>
      <c r="F681" s="64" t="str">
        <f>IF(E681&lt;10,'вспомогательные данные'!$C$26,IF(E681&lt;19,'вспомогательные данные'!$C$25,'вспомогательные данные'!$C$24))</f>
        <v>положительный</v>
      </c>
      <c r="G681" s="65">
        <f>(18-ЦТО!AM585-ЦТО!AL585)/(18-ЦТО!AL585-ЦТО!AP585)</f>
        <v>1</v>
      </c>
      <c r="H681" s="66" t="str">
        <f>IF(G681&lt;0.51,'вспомогательные данные'!$C$19,IF(G681&lt;0.92,'вспомогательные данные'!$C$20, IF(G681&lt;2,'вспомогательные данные'!$C$21,'вспомогательные данные'!$C$22)))</f>
        <v>оптимальная работоспособность</v>
      </c>
      <c r="I681" s="61" t="b">
        <f>IF(OR(ЦТО!AT585=1,ЦТО!AU585=1,ЦТО!AV585=1,ЦТО!AX585=1),"Положительная",IF(OR(ЦТО!AY585=1,ЦТО!AZ585=1,ЦТО!BA585=1),"Отрицательная",IF(OR(ЦТО!AW585=1),"Инфантильная")))</f>
        <v>0</v>
      </c>
    </row>
    <row r="682" spans="1:9">
      <c r="A682" s="62">
        <f>ЦТО!A586</f>
        <v>0</v>
      </c>
      <c r="B682" s="62">
        <f>ЦТО!B586</f>
        <v>0</v>
      </c>
      <c r="C682" s="67">
        <f>ЦТО!C586</f>
        <v>0</v>
      </c>
      <c r="D682" s="63">
        <f>ЦТО!D586</f>
        <v>0</v>
      </c>
      <c r="E682" s="68">
        <f>SUM(ЦТО!BB586:BI586)</f>
        <v>0</v>
      </c>
      <c r="F682" s="64" t="str">
        <f>IF(E682&lt;10,'вспомогательные данные'!$C$26,IF(E682&lt;19,'вспомогательные данные'!$C$25,'вспомогательные данные'!$C$24))</f>
        <v>положительный</v>
      </c>
      <c r="G682" s="65">
        <f>(18-ЦТО!AM586-ЦТО!AL586)/(18-ЦТО!AL586-ЦТО!AP586)</f>
        <v>1</v>
      </c>
      <c r="H682" s="66" t="str">
        <f>IF(G682&lt;0.51,'вспомогательные данные'!$C$19,IF(G682&lt;0.92,'вспомогательные данные'!$C$20, IF(G682&lt;2,'вспомогательные данные'!$C$21,'вспомогательные данные'!$C$22)))</f>
        <v>оптимальная работоспособность</v>
      </c>
      <c r="I682" s="61" t="b">
        <f>IF(OR(ЦТО!AT586=1,ЦТО!AU586=1,ЦТО!AV586=1,ЦТО!AX586=1),"Положительная",IF(OR(ЦТО!AY586=1,ЦТО!AZ586=1,ЦТО!BA586=1),"Отрицательная",IF(OR(ЦТО!AW586=1),"Инфантильная")))</f>
        <v>0</v>
      </c>
    </row>
    <row r="683" spans="1:9">
      <c r="A683" s="62">
        <f>ЦТО!A587</f>
        <v>0</v>
      </c>
      <c r="B683" s="62">
        <f>ЦТО!B587</f>
        <v>0</v>
      </c>
      <c r="C683" s="67">
        <f>ЦТО!C587</f>
        <v>0</v>
      </c>
      <c r="D683" s="63">
        <f>ЦТО!D587</f>
        <v>0</v>
      </c>
      <c r="E683" s="68">
        <f>SUM(ЦТО!BB587:BI587)</f>
        <v>0</v>
      </c>
      <c r="F683" s="64" t="str">
        <f>IF(E683&lt;10,'вспомогательные данные'!$C$26,IF(E683&lt;19,'вспомогательные данные'!$C$25,'вспомогательные данные'!$C$24))</f>
        <v>положительный</v>
      </c>
      <c r="G683" s="65">
        <f>(18-ЦТО!AM587-ЦТО!AL587)/(18-ЦТО!AL587-ЦТО!AP587)</f>
        <v>1</v>
      </c>
      <c r="H683" s="66" t="str">
        <f>IF(G683&lt;0.51,'вспомогательные данные'!$C$19,IF(G683&lt;0.92,'вспомогательные данные'!$C$20, IF(G683&lt;2,'вспомогательные данные'!$C$21,'вспомогательные данные'!$C$22)))</f>
        <v>оптимальная работоспособность</v>
      </c>
      <c r="I683" s="61" t="b">
        <f>IF(OR(ЦТО!AT587=1,ЦТО!AU587=1,ЦТО!AV587=1,ЦТО!AX587=1),"Положительная",IF(OR(ЦТО!AY587=1,ЦТО!AZ587=1,ЦТО!BA587=1),"Отрицательная",IF(OR(ЦТО!AW587=1),"Инфантильная")))</f>
        <v>0</v>
      </c>
    </row>
    <row r="684" spans="1:9">
      <c r="A684" s="62">
        <f>ЦТО!A588</f>
        <v>0</v>
      </c>
      <c r="B684" s="62">
        <f>ЦТО!B588</f>
        <v>0</v>
      </c>
      <c r="C684" s="67">
        <f>ЦТО!C588</f>
        <v>0</v>
      </c>
      <c r="D684" s="63">
        <f>ЦТО!D588</f>
        <v>0</v>
      </c>
      <c r="E684" s="68">
        <f>SUM(ЦТО!BB588:BI588)</f>
        <v>0</v>
      </c>
      <c r="F684" s="64" t="str">
        <f>IF(E684&lt;10,'вспомогательные данные'!$C$26,IF(E684&lt;19,'вспомогательные данные'!$C$25,'вспомогательные данные'!$C$24))</f>
        <v>положительный</v>
      </c>
      <c r="G684" s="65">
        <f>(18-ЦТО!AM588-ЦТО!AL588)/(18-ЦТО!AL588-ЦТО!AP588)</f>
        <v>1</v>
      </c>
      <c r="H684" s="66" t="str">
        <f>IF(G684&lt;0.51,'вспомогательные данные'!$C$19,IF(G684&lt;0.92,'вспомогательные данные'!$C$20, IF(G684&lt;2,'вспомогательные данные'!$C$21,'вспомогательные данные'!$C$22)))</f>
        <v>оптимальная работоспособность</v>
      </c>
      <c r="I684" s="61" t="b">
        <f>IF(OR(ЦТО!AT588=1,ЦТО!AU588=1,ЦТО!AV588=1,ЦТО!AX588=1),"Положительная",IF(OR(ЦТО!AY588=1,ЦТО!AZ588=1,ЦТО!BA588=1),"Отрицательная",IF(OR(ЦТО!AW588=1),"Инфантильная")))</f>
        <v>0</v>
      </c>
    </row>
    <row r="685" spans="1:9">
      <c r="A685" s="62">
        <f>ЦТО!A589</f>
        <v>0</v>
      </c>
      <c r="B685" s="62">
        <f>ЦТО!B589</f>
        <v>0</v>
      </c>
      <c r="C685" s="67">
        <f>ЦТО!C589</f>
        <v>0</v>
      </c>
      <c r="D685" s="63">
        <f>ЦТО!D589</f>
        <v>0</v>
      </c>
      <c r="E685" s="68">
        <f>SUM(ЦТО!BB589:BI589)</f>
        <v>0</v>
      </c>
      <c r="F685" s="64" t="str">
        <f>IF(E685&lt;10,'вспомогательные данные'!$C$26,IF(E685&lt;19,'вспомогательные данные'!$C$25,'вспомогательные данные'!$C$24))</f>
        <v>положительный</v>
      </c>
      <c r="G685" s="65">
        <f>(18-ЦТО!AM589-ЦТО!AL589)/(18-ЦТО!AL589-ЦТО!AP589)</f>
        <v>1</v>
      </c>
      <c r="H685" s="66" t="str">
        <f>IF(G685&lt;0.51,'вспомогательные данные'!$C$19,IF(G685&lt;0.92,'вспомогательные данные'!$C$20, IF(G685&lt;2,'вспомогательные данные'!$C$21,'вспомогательные данные'!$C$22)))</f>
        <v>оптимальная работоспособность</v>
      </c>
      <c r="I685" s="61" t="b">
        <f>IF(OR(ЦТО!AT589=1,ЦТО!AU589=1,ЦТО!AV589=1,ЦТО!AX589=1),"Положительная",IF(OR(ЦТО!AY589=1,ЦТО!AZ589=1,ЦТО!BA589=1),"Отрицательная",IF(OR(ЦТО!AW589=1),"Инфантильная")))</f>
        <v>0</v>
      </c>
    </row>
    <row r="686" spans="1:9">
      <c r="A686" s="62">
        <f>ЦТО!A590</f>
        <v>0</v>
      </c>
      <c r="B686" s="62">
        <f>ЦТО!B590</f>
        <v>0</v>
      </c>
      <c r="C686" s="67">
        <f>ЦТО!C590</f>
        <v>0</v>
      </c>
      <c r="D686" s="63">
        <f>ЦТО!D590</f>
        <v>0</v>
      </c>
      <c r="E686" s="68">
        <f>SUM(ЦТО!BB590:BI590)</f>
        <v>0</v>
      </c>
      <c r="F686" s="64" t="str">
        <f>IF(E686&lt;10,'вспомогательные данные'!$C$26,IF(E686&lt;19,'вспомогательные данные'!$C$25,'вспомогательные данные'!$C$24))</f>
        <v>положительный</v>
      </c>
      <c r="G686" s="65">
        <f>(18-ЦТО!AM590-ЦТО!AL590)/(18-ЦТО!AL590-ЦТО!AP590)</f>
        <v>1</v>
      </c>
      <c r="H686" s="66" t="str">
        <f>IF(G686&lt;0.51,'вспомогательные данные'!$C$19,IF(G686&lt;0.92,'вспомогательные данные'!$C$20, IF(G686&lt;2,'вспомогательные данные'!$C$21,'вспомогательные данные'!$C$22)))</f>
        <v>оптимальная работоспособность</v>
      </c>
      <c r="I686" s="61" t="b">
        <f>IF(OR(ЦТО!AT590=1,ЦТО!AU590=1,ЦТО!AV590=1,ЦТО!AX590=1),"Положительная",IF(OR(ЦТО!AY590=1,ЦТО!AZ590=1,ЦТО!BA590=1),"Отрицательная",IF(OR(ЦТО!AW590=1),"Инфантильная")))</f>
        <v>0</v>
      </c>
    </row>
    <row r="687" spans="1:9">
      <c r="A687" s="62">
        <f>ЦТО!A591</f>
        <v>0</v>
      </c>
      <c r="B687" s="62">
        <f>ЦТО!B591</f>
        <v>0</v>
      </c>
      <c r="C687" s="67">
        <f>ЦТО!C591</f>
        <v>0</v>
      </c>
      <c r="D687" s="63">
        <f>ЦТО!D591</f>
        <v>0</v>
      </c>
      <c r="E687" s="68">
        <f>SUM(ЦТО!BB591:BI591)</f>
        <v>0</v>
      </c>
      <c r="F687" s="64" t="str">
        <f>IF(E687&lt;10,'вспомогательные данные'!$C$26,IF(E687&lt;19,'вспомогательные данные'!$C$25,'вспомогательные данные'!$C$24))</f>
        <v>положительный</v>
      </c>
      <c r="G687" s="65">
        <f>(18-ЦТО!AM591-ЦТО!AL591)/(18-ЦТО!AL591-ЦТО!AP591)</f>
        <v>1</v>
      </c>
      <c r="H687" s="66" t="str">
        <f>IF(G687&lt;0.51,'вспомогательные данные'!$C$19,IF(G687&lt;0.92,'вспомогательные данные'!$C$20, IF(G687&lt;2,'вспомогательные данные'!$C$21,'вспомогательные данные'!$C$22)))</f>
        <v>оптимальная работоспособность</v>
      </c>
      <c r="I687" s="61" t="b">
        <f>IF(OR(ЦТО!AT591=1,ЦТО!AU591=1,ЦТО!AV591=1,ЦТО!AX591=1),"Положительная",IF(OR(ЦТО!AY591=1,ЦТО!AZ591=1,ЦТО!BA591=1),"Отрицательная",IF(OR(ЦТО!AW591=1),"Инфантильная")))</f>
        <v>0</v>
      </c>
    </row>
    <row r="688" spans="1:9">
      <c r="A688" s="62">
        <f>ЦТО!A592</f>
        <v>0</v>
      </c>
      <c r="B688" s="62">
        <f>ЦТО!B592</f>
        <v>0</v>
      </c>
      <c r="C688" s="67">
        <f>ЦТО!C592</f>
        <v>0</v>
      </c>
      <c r="D688" s="63">
        <f>ЦТО!D592</f>
        <v>0</v>
      </c>
      <c r="E688" s="68">
        <f>SUM(ЦТО!BB592:BI592)</f>
        <v>0</v>
      </c>
      <c r="F688" s="64" t="str">
        <f>IF(E688&lt;10,'вспомогательные данные'!$C$26,IF(E688&lt;19,'вспомогательные данные'!$C$25,'вспомогательные данные'!$C$24))</f>
        <v>положительный</v>
      </c>
      <c r="G688" s="65">
        <f>(18-ЦТО!AM592-ЦТО!AL592)/(18-ЦТО!AL592-ЦТО!AP592)</f>
        <v>1</v>
      </c>
      <c r="H688" s="66" t="str">
        <f>IF(G688&lt;0.51,'вспомогательные данные'!$C$19,IF(G688&lt;0.92,'вспомогательные данные'!$C$20, IF(G688&lt;2,'вспомогательные данные'!$C$21,'вспомогательные данные'!$C$22)))</f>
        <v>оптимальная работоспособность</v>
      </c>
      <c r="I688" s="61" t="b">
        <f>IF(OR(ЦТО!AT592=1,ЦТО!AU592=1,ЦТО!AV592=1,ЦТО!AX592=1),"Положительная",IF(OR(ЦТО!AY592=1,ЦТО!AZ592=1,ЦТО!BA592=1),"Отрицательная",IF(OR(ЦТО!AW592=1),"Инфантильная")))</f>
        <v>0</v>
      </c>
    </row>
    <row r="689" spans="1:9">
      <c r="A689" s="62">
        <f>ЦТО!A593</f>
        <v>0</v>
      </c>
      <c r="B689" s="62">
        <f>ЦТО!B593</f>
        <v>0</v>
      </c>
      <c r="C689" s="67">
        <f>ЦТО!C593</f>
        <v>0</v>
      </c>
      <c r="D689" s="63">
        <f>ЦТО!D593</f>
        <v>0</v>
      </c>
      <c r="E689" s="68">
        <f>SUM(ЦТО!BB593:BI593)</f>
        <v>0</v>
      </c>
      <c r="F689" s="64" t="str">
        <f>IF(E689&lt;10,'вспомогательные данные'!$C$26,IF(E689&lt;19,'вспомогательные данные'!$C$25,'вспомогательные данные'!$C$24))</f>
        <v>положительный</v>
      </c>
      <c r="G689" s="65">
        <f>(18-ЦТО!AM593-ЦТО!AL593)/(18-ЦТО!AL593-ЦТО!AP593)</f>
        <v>1</v>
      </c>
      <c r="H689" s="66" t="str">
        <f>IF(G689&lt;0.51,'вспомогательные данные'!$C$19,IF(G689&lt;0.92,'вспомогательные данные'!$C$20, IF(G689&lt;2,'вспомогательные данные'!$C$21,'вспомогательные данные'!$C$22)))</f>
        <v>оптимальная работоспособность</v>
      </c>
      <c r="I689" s="61" t="b">
        <f>IF(OR(ЦТО!AT593=1,ЦТО!AU593=1,ЦТО!AV593=1,ЦТО!AX593=1),"Положительная",IF(OR(ЦТО!AY593=1,ЦТО!AZ593=1,ЦТО!BA593=1),"Отрицательная",IF(OR(ЦТО!AW593=1),"Инфантильная")))</f>
        <v>0</v>
      </c>
    </row>
    <row r="690" spans="1:9">
      <c r="A690" s="62">
        <f>ЦТО!A594</f>
        <v>0</v>
      </c>
      <c r="B690" s="62">
        <f>ЦТО!B594</f>
        <v>0</v>
      </c>
      <c r="C690" s="67">
        <f>ЦТО!C594</f>
        <v>0</v>
      </c>
      <c r="D690" s="63">
        <f>ЦТО!D594</f>
        <v>0</v>
      </c>
      <c r="E690" s="68">
        <f>SUM(ЦТО!BB594:BI594)</f>
        <v>0</v>
      </c>
      <c r="F690" s="64" t="str">
        <f>IF(E690&lt;10,'вспомогательные данные'!$C$26,IF(E690&lt;19,'вспомогательные данные'!$C$25,'вспомогательные данные'!$C$24))</f>
        <v>положительный</v>
      </c>
      <c r="G690" s="65">
        <f>(18-ЦТО!AM594-ЦТО!AL594)/(18-ЦТО!AL594-ЦТО!AP594)</f>
        <v>1</v>
      </c>
      <c r="H690" s="66" t="str">
        <f>IF(G690&lt;0.51,'вспомогательные данные'!$C$19,IF(G690&lt;0.92,'вспомогательные данные'!$C$20, IF(G690&lt;2,'вспомогательные данные'!$C$21,'вспомогательные данные'!$C$22)))</f>
        <v>оптимальная работоспособность</v>
      </c>
      <c r="I690" s="61" t="b">
        <f>IF(OR(ЦТО!AT594=1,ЦТО!AU594=1,ЦТО!AV594=1,ЦТО!AX594=1),"Положительная",IF(OR(ЦТО!AY594=1,ЦТО!AZ594=1,ЦТО!BA594=1),"Отрицательная",IF(OR(ЦТО!AW594=1),"Инфантильная")))</f>
        <v>0</v>
      </c>
    </row>
    <row r="691" spans="1:9">
      <c r="A691" s="62">
        <f>ЦТО!A595</f>
        <v>0</v>
      </c>
      <c r="B691" s="62">
        <f>ЦТО!B595</f>
        <v>0</v>
      </c>
      <c r="C691" s="67">
        <f>ЦТО!C595</f>
        <v>0</v>
      </c>
      <c r="D691" s="63">
        <f>ЦТО!D595</f>
        <v>0</v>
      </c>
      <c r="E691" s="68">
        <f>SUM(ЦТО!BB595:BI595)</f>
        <v>0</v>
      </c>
      <c r="F691" s="64" t="str">
        <f>IF(E691&lt;10,'вспомогательные данные'!$C$26,IF(E691&lt;19,'вспомогательные данные'!$C$25,'вспомогательные данные'!$C$24))</f>
        <v>положительный</v>
      </c>
      <c r="G691" s="65">
        <f>(18-ЦТО!AM595-ЦТО!AL595)/(18-ЦТО!AL595-ЦТО!AP595)</f>
        <v>1</v>
      </c>
      <c r="H691" s="66" t="str">
        <f>IF(G691&lt;0.51,'вспомогательные данные'!$C$19,IF(G691&lt;0.92,'вспомогательные данные'!$C$20, IF(G691&lt;2,'вспомогательные данные'!$C$21,'вспомогательные данные'!$C$22)))</f>
        <v>оптимальная работоспособность</v>
      </c>
      <c r="I691" s="61" t="b">
        <f>IF(OR(ЦТО!AT595=1,ЦТО!AU595=1,ЦТО!AV595=1,ЦТО!AX595=1),"Положительная",IF(OR(ЦТО!AY595=1,ЦТО!AZ595=1,ЦТО!BA595=1),"Отрицательная",IF(OR(ЦТО!AW595=1),"Инфантильная")))</f>
        <v>0</v>
      </c>
    </row>
    <row r="692" spans="1:9">
      <c r="A692" s="62">
        <f>ЦТО!A596</f>
        <v>0</v>
      </c>
      <c r="B692" s="62">
        <f>ЦТО!B596</f>
        <v>0</v>
      </c>
      <c r="C692" s="67">
        <f>ЦТО!C596</f>
        <v>0</v>
      </c>
      <c r="D692" s="63">
        <f>ЦТО!D596</f>
        <v>0</v>
      </c>
      <c r="E692" s="68">
        <f>SUM(ЦТО!BB596:BI596)</f>
        <v>0</v>
      </c>
      <c r="F692" s="64" t="str">
        <f>IF(E692&lt;10,'вспомогательные данные'!$C$26,IF(E692&lt;19,'вспомогательные данные'!$C$25,'вспомогательные данные'!$C$24))</f>
        <v>положительный</v>
      </c>
      <c r="G692" s="65">
        <f>(18-ЦТО!AM596-ЦТО!AL596)/(18-ЦТО!AL596-ЦТО!AP596)</f>
        <v>1</v>
      </c>
      <c r="H692" s="66" t="str">
        <f>IF(G692&lt;0.51,'вспомогательные данные'!$C$19,IF(G692&lt;0.92,'вспомогательные данные'!$C$20, IF(G692&lt;2,'вспомогательные данные'!$C$21,'вспомогательные данные'!$C$22)))</f>
        <v>оптимальная работоспособность</v>
      </c>
      <c r="I692" s="61" t="b">
        <f>IF(OR(ЦТО!AT596=1,ЦТО!AU596=1,ЦТО!AV596=1,ЦТО!AX596=1),"Положительная",IF(OR(ЦТО!AY596=1,ЦТО!AZ596=1,ЦТО!BA596=1),"Отрицательная",IF(OR(ЦТО!AW596=1),"Инфантильная")))</f>
        <v>0</v>
      </c>
    </row>
    <row r="693" spans="1:9">
      <c r="A693" s="62">
        <f>ЦТО!A597</f>
        <v>0</v>
      </c>
      <c r="B693" s="62">
        <f>ЦТО!B597</f>
        <v>0</v>
      </c>
      <c r="C693" s="67">
        <f>ЦТО!C597</f>
        <v>0</v>
      </c>
      <c r="D693" s="63">
        <f>ЦТО!D597</f>
        <v>0</v>
      </c>
      <c r="E693" s="68">
        <f>SUM(ЦТО!BB597:BI597)</f>
        <v>0</v>
      </c>
      <c r="F693" s="64" t="str">
        <f>IF(E693&lt;10,'вспомогательные данные'!$C$26,IF(E693&lt;19,'вспомогательные данные'!$C$25,'вспомогательные данные'!$C$24))</f>
        <v>положительный</v>
      </c>
      <c r="G693" s="65">
        <f>(18-ЦТО!AM597-ЦТО!AL597)/(18-ЦТО!AL597-ЦТО!AP597)</f>
        <v>1</v>
      </c>
      <c r="H693" s="66" t="str">
        <f>IF(G693&lt;0.51,'вспомогательные данные'!$C$19,IF(G693&lt;0.92,'вспомогательные данные'!$C$20, IF(G693&lt;2,'вспомогательные данные'!$C$21,'вспомогательные данные'!$C$22)))</f>
        <v>оптимальная работоспособность</v>
      </c>
      <c r="I693" s="61" t="b">
        <f>IF(OR(ЦТО!AT597=1,ЦТО!AU597=1,ЦТО!AV597=1,ЦТО!AX597=1),"Положительная",IF(OR(ЦТО!AY597=1,ЦТО!AZ597=1,ЦТО!BA597=1),"Отрицательная",IF(OR(ЦТО!AW597=1),"Инфантильная")))</f>
        <v>0</v>
      </c>
    </row>
    <row r="694" spans="1:9">
      <c r="A694" s="62">
        <f>ЦТО!A598</f>
        <v>0</v>
      </c>
      <c r="B694" s="62">
        <f>ЦТО!B598</f>
        <v>0</v>
      </c>
      <c r="C694" s="67">
        <f>ЦТО!C598</f>
        <v>0</v>
      </c>
      <c r="D694" s="63">
        <f>ЦТО!D598</f>
        <v>0</v>
      </c>
      <c r="E694" s="68">
        <f>SUM(ЦТО!BB598:BI598)</f>
        <v>0</v>
      </c>
      <c r="F694" s="64" t="str">
        <f>IF(E694&lt;10,'вспомогательные данные'!$C$26,IF(E694&lt;19,'вспомогательные данные'!$C$25,'вспомогательные данные'!$C$24))</f>
        <v>положительный</v>
      </c>
      <c r="G694" s="65">
        <f>(18-ЦТО!AM598-ЦТО!AL598)/(18-ЦТО!AL598-ЦТО!AP598)</f>
        <v>1</v>
      </c>
      <c r="H694" s="66" t="str">
        <f>IF(G694&lt;0.51,'вспомогательные данные'!$C$19,IF(G694&lt;0.92,'вспомогательные данные'!$C$20, IF(G694&lt;2,'вспомогательные данные'!$C$21,'вспомогательные данные'!$C$22)))</f>
        <v>оптимальная работоспособность</v>
      </c>
      <c r="I694" s="61" t="b">
        <f>IF(OR(ЦТО!AT598=1,ЦТО!AU598=1,ЦТО!AV598=1,ЦТО!AX598=1),"Положительная",IF(OR(ЦТО!AY598=1,ЦТО!AZ598=1,ЦТО!BA598=1),"Отрицательная",IF(OR(ЦТО!AW598=1),"Инфантильная")))</f>
        <v>0</v>
      </c>
    </row>
    <row r="695" spans="1:9">
      <c r="A695" s="62">
        <f>ЦТО!A599</f>
        <v>0</v>
      </c>
      <c r="B695" s="62">
        <f>ЦТО!B599</f>
        <v>0</v>
      </c>
      <c r="C695" s="67">
        <f>ЦТО!C599</f>
        <v>0</v>
      </c>
      <c r="D695" s="63">
        <f>ЦТО!D599</f>
        <v>0</v>
      </c>
      <c r="E695" s="68">
        <f>SUM(ЦТО!BB599:BI599)</f>
        <v>0</v>
      </c>
      <c r="F695" s="64" t="str">
        <f>IF(E695&lt;10,'вспомогательные данные'!$C$26,IF(E695&lt;19,'вспомогательные данные'!$C$25,'вспомогательные данные'!$C$24))</f>
        <v>положительный</v>
      </c>
      <c r="G695" s="65">
        <f>(18-ЦТО!AM599-ЦТО!AL599)/(18-ЦТО!AL599-ЦТО!AP599)</f>
        <v>1</v>
      </c>
      <c r="H695" s="66" t="str">
        <f>IF(G695&lt;0.51,'вспомогательные данные'!$C$19,IF(G695&lt;0.92,'вспомогательные данные'!$C$20, IF(G695&lt;2,'вспомогательные данные'!$C$21,'вспомогательные данные'!$C$22)))</f>
        <v>оптимальная работоспособность</v>
      </c>
      <c r="I695" s="61" t="b">
        <f>IF(OR(ЦТО!AT599=1,ЦТО!AU599=1,ЦТО!AV599=1,ЦТО!AX599=1),"Положительная",IF(OR(ЦТО!AY599=1,ЦТО!AZ599=1,ЦТО!BA599=1),"Отрицательная",IF(OR(ЦТО!AW599=1),"Инфантильная")))</f>
        <v>0</v>
      </c>
    </row>
    <row r="696" spans="1:9">
      <c r="A696" s="62">
        <f>ЦТО!A600</f>
        <v>0</v>
      </c>
      <c r="B696" s="62">
        <f>ЦТО!B600</f>
        <v>0</v>
      </c>
      <c r="C696" s="67">
        <f>ЦТО!C600</f>
        <v>0</v>
      </c>
      <c r="D696" s="63">
        <f>ЦТО!D600</f>
        <v>0</v>
      </c>
      <c r="E696" s="68">
        <f>SUM(ЦТО!BB600:BI600)</f>
        <v>0</v>
      </c>
      <c r="F696" s="64" t="str">
        <f>IF(E696&lt;10,'вспомогательные данные'!$C$26,IF(E696&lt;19,'вспомогательные данные'!$C$25,'вспомогательные данные'!$C$24))</f>
        <v>положительный</v>
      </c>
      <c r="G696" s="65">
        <f>(18-ЦТО!AM600-ЦТО!AL600)/(18-ЦТО!AL600-ЦТО!AP600)</f>
        <v>1</v>
      </c>
      <c r="H696" s="66" t="str">
        <f>IF(G696&lt;0.51,'вспомогательные данные'!$C$19,IF(G696&lt;0.92,'вспомогательные данные'!$C$20, IF(G696&lt;2,'вспомогательные данные'!$C$21,'вспомогательные данные'!$C$22)))</f>
        <v>оптимальная работоспособность</v>
      </c>
      <c r="I696" s="61" t="b">
        <f>IF(OR(ЦТО!AT600=1,ЦТО!AU600=1,ЦТО!AV600=1,ЦТО!AX600=1),"Положительная",IF(OR(ЦТО!AY600=1,ЦТО!AZ600=1,ЦТО!BA600=1),"Отрицательная",IF(OR(ЦТО!AW600=1),"Инфантильная")))</f>
        <v>0</v>
      </c>
    </row>
    <row r="697" spans="1:9">
      <c r="A697" s="62">
        <f>ЦТО!A601</f>
        <v>0</v>
      </c>
      <c r="B697" s="62">
        <f>ЦТО!B601</f>
        <v>0</v>
      </c>
      <c r="C697" s="67">
        <f>ЦТО!C601</f>
        <v>0</v>
      </c>
      <c r="D697" s="63">
        <f>ЦТО!D601</f>
        <v>0</v>
      </c>
      <c r="E697" s="68">
        <f>SUM(ЦТО!BB601:BI601)</f>
        <v>0</v>
      </c>
      <c r="F697" s="64" t="str">
        <f>IF(E697&lt;10,'вспомогательные данные'!$C$26,IF(E697&lt;19,'вспомогательные данные'!$C$25,'вспомогательные данные'!$C$24))</f>
        <v>положительный</v>
      </c>
      <c r="G697" s="65">
        <f>(18-ЦТО!AM601-ЦТО!AL601)/(18-ЦТО!AL601-ЦТО!AP601)</f>
        <v>1</v>
      </c>
      <c r="H697" s="66" t="str">
        <f>IF(G697&lt;0.51,'вспомогательные данные'!$C$19,IF(G697&lt;0.92,'вспомогательные данные'!$C$20, IF(G697&lt;2,'вспомогательные данные'!$C$21,'вспомогательные данные'!$C$22)))</f>
        <v>оптимальная работоспособность</v>
      </c>
      <c r="I697" s="61" t="b">
        <f>IF(OR(ЦТО!AT601=1,ЦТО!AU601=1,ЦТО!AV601=1,ЦТО!AX601=1),"Положительная",IF(OR(ЦТО!AY601=1,ЦТО!AZ601=1,ЦТО!BA601=1),"Отрицательная",IF(OR(ЦТО!AW601=1),"Инфантильная")))</f>
        <v>0</v>
      </c>
    </row>
    <row r="698" spans="1:9">
      <c r="A698" s="62">
        <f>ЦТО!A602</f>
        <v>0</v>
      </c>
      <c r="B698" s="62">
        <f>ЦТО!B602</f>
        <v>0</v>
      </c>
      <c r="C698" s="67">
        <f>ЦТО!C602</f>
        <v>0</v>
      </c>
      <c r="D698" s="63">
        <f>ЦТО!D602</f>
        <v>0</v>
      </c>
      <c r="E698" s="68">
        <f>SUM(ЦТО!BB602:BI602)</f>
        <v>0</v>
      </c>
      <c r="F698" s="64" t="str">
        <f>IF(E698&lt;10,'вспомогательные данные'!$C$26,IF(E698&lt;19,'вспомогательные данные'!$C$25,'вспомогательные данные'!$C$24))</f>
        <v>положительный</v>
      </c>
      <c r="G698" s="65">
        <f>(18-ЦТО!AM602-ЦТО!AL602)/(18-ЦТО!AL602-ЦТО!AP602)</f>
        <v>1</v>
      </c>
      <c r="H698" s="66" t="str">
        <f>IF(G698&lt;0.51,'вспомогательные данные'!$C$19,IF(G698&lt;0.92,'вспомогательные данные'!$C$20, IF(G698&lt;2,'вспомогательные данные'!$C$21,'вспомогательные данные'!$C$22)))</f>
        <v>оптимальная работоспособность</v>
      </c>
      <c r="I698" s="61" t="b">
        <f>IF(OR(ЦТО!AT602=1,ЦТО!AU602=1,ЦТО!AV602=1,ЦТО!AX602=1),"Положительная",IF(OR(ЦТО!AY602=1,ЦТО!AZ602=1,ЦТО!BA602=1),"Отрицательная",IF(OR(ЦТО!AW602=1),"Инфантильная")))</f>
        <v>0</v>
      </c>
    </row>
    <row r="699" spans="1:9">
      <c r="A699" s="62">
        <f>ЦТО!A603</f>
        <v>0</v>
      </c>
      <c r="B699" s="62">
        <f>ЦТО!B603</f>
        <v>0</v>
      </c>
      <c r="C699" s="67">
        <f>ЦТО!C603</f>
        <v>0</v>
      </c>
      <c r="D699" s="63">
        <f>ЦТО!D603</f>
        <v>0</v>
      </c>
      <c r="E699" s="68">
        <f>SUM(ЦТО!BB603:BI603)</f>
        <v>0</v>
      </c>
      <c r="F699" s="64" t="str">
        <f>IF(E699&lt;10,'вспомогательные данные'!$C$26,IF(E699&lt;19,'вспомогательные данные'!$C$25,'вспомогательные данные'!$C$24))</f>
        <v>положительный</v>
      </c>
      <c r="G699" s="65">
        <f>(18-ЦТО!AM603-ЦТО!AL603)/(18-ЦТО!AL603-ЦТО!AP603)</f>
        <v>1</v>
      </c>
      <c r="H699" s="66" t="str">
        <f>IF(G699&lt;0.51,'вспомогательные данные'!$C$19,IF(G699&lt;0.92,'вспомогательные данные'!$C$20, IF(G699&lt;2,'вспомогательные данные'!$C$21,'вспомогательные данные'!$C$22)))</f>
        <v>оптимальная работоспособность</v>
      </c>
      <c r="I699" s="61" t="b">
        <f>IF(OR(ЦТО!AT603=1,ЦТО!AU603=1,ЦТО!AV603=1,ЦТО!AX603=1),"Положительная",IF(OR(ЦТО!AY603=1,ЦТО!AZ603=1,ЦТО!BA603=1),"Отрицательная",IF(OR(ЦТО!AW603=1),"Инфантильная")))</f>
        <v>0</v>
      </c>
    </row>
    <row r="700" spans="1:9">
      <c r="A700" s="62">
        <f>ЦТО!A604</f>
        <v>0</v>
      </c>
      <c r="B700" s="62">
        <f>ЦТО!B604</f>
        <v>0</v>
      </c>
      <c r="C700" s="67">
        <f>ЦТО!C604</f>
        <v>0</v>
      </c>
      <c r="D700" s="63">
        <f>ЦТО!D604</f>
        <v>0</v>
      </c>
      <c r="E700" s="68">
        <f>SUM(ЦТО!BB604:BI604)</f>
        <v>0</v>
      </c>
      <c r="F700" s="64" t="str">
        <f>IF(E700&lt;10,'вспомогательные данные'!$C$26,IF(E700&lt;19,'вспомогательные данные'!$C$25,'вспомогательные данные'!$C$24))</f>
        <v>положительный</v>
      </c>
      <c r="G700" s="65">
        <f>(18-ЦТО!AM604-ЦТО!AL604)/(18-ЦТО!AL604-ЦТО!AP604)</f>
        <v>1</v>
      </c>
      <c r="H700" s="66" t="str">
        <f>IF(G700&lt;0.51,'вспомогательные данные'!$C$19,IF(G700&lt;0.92,'вспомогательные данные'!$C$20, IF(G700&lt;2,'вспомогательные данные'!$C$21,'вспомогательные данные'!$C$22)))</f>
        <v>оптимальная работоспособность</v>
      </c>
      <c r="I700" s="61" t="b">
        <f>IF(OR(ЦТО!AT604=1,ЦТО!AU604=1,ЦТО!AV604=1,ЦТО!AX604=1),"Положительная",IF(OR(ЦТО!AY604=1,ЦТО!AZ604=1,ЦТО!BA604=1),"Отрицательная",IF(OR(ЦТО!AW604=1),"Инфантильная")))</f>
        <v>0</v>
      </c>
    </row>
    <row r="701" spans="1:9">
      <c r="A701" s="62">
        <f>ЦТО!A605</f>
        <v>0</v>
      </c>
      <c r="B701" s="62">
        <f>ЦТО!B605</f>
        <v>0</v>
      </c>
      <c r="C701" s="67">
        <f>ЦТО!C605</f>
        <v>0</v>
      </c>
      <c r="D701" s="63">
        <f>ЦТО!D605</f>
        <v>0</v>
      </c>
      <c r="E701" s="68">
        <f>SUM(ЦТО!BB605:BI605)</f>
        <v>0</v>
      </c>
      <c r="F701" s="64" t="str">
        <f>IF(E701&lt;10,'вспомогательные данные'!$C$26,IF(E701&lt;19,'вспомогательные данные'!$C$25,'вспомогательные данные'!$C$24))</f>
        <v>положительный</v>
      </c>
      <c r="G701" s="65">
        <f>(18-ЦТО!AM605-ЦТО!AL605)/(18-ЦТО!AL605-ЦТО!AP605)</f>
        <v>1</v>
      </c>
      <c r="H701" s="66" t="str">
        <f>IF(G701&lt;0.51,'вспомогательные данные'!$C$19,IF(G701&lt;0.92,'вспомогательные данные'!$C$20, IF(G701&lt;2,'вспомогательные данные'!$C$21,'вспомогательные данные'!$C$22)))</f>
        <v>оптимальная работоспособность</v>
      </c>
      <c r="I701" s="61" t="b">
        <f>IF(OR(ЦТО!AT605=1,ЦТО!AU605=1,ЦТО!AV605=1,ЦТО!AX605=1),"Положительная",IF(OR(ЦТО!AY605=1,ЦТО!AZ605=1,ЦТО!BA605=1),"Отрицательная",IF(OR(ЦТО!AW605=1),"Инфантильная")))</f>
        <v>0</v>
      </c>
    </row>
    <row r="702" spans="1:9">
      <c r="A702" s="62">
        <f>ЦТО!A606</f>
        <v>0</v>
      </c>
      <c r="B702" s="62">
        <f>ЦТО!B606</f>
        <v>0</v>
      </c>
      <c r="C702" s="67">
        <f>ЦТО!C606</f>
        <v>0</v>
      </c>
      <c r="D702" s="63">
        <f>ЦТО!D606</f>
        <v>0</v>
      </c>
      <c r="E702" s="68">
        <f>SUM(ЦТО!BB606:BI606)</f>
        <v>0</v>
      </c>
      <c r="F702" s="64" t="str">
        <f>IF(E702&lt;10,'вспомогательные данные'!$C$26,IF(E702&lt;19,'вспомогательные данные'!$C$25,'вспомогательные данные'!$C$24))</f>
        <v>положительный</v>
      </c>
      <c r="G702" s="65">
        <f>(18-ЦТО!AM606-ЦТО!AL606)/(18-ЦТО!AL606-ЦТО!AP606)</f>
        <v>1</v>
      </c>
      <c r="H702" s="66" t="str">
        <f>IF(G702&lt;0.51,'вспомогательные данные'!$C$19,IF(G702&lt;0.92,'вспомогательные данные'!$C$20, IF(G702&lt;2,'вспомогательные данные'!$C$21,'вспомогательные данные'!$C$22)))</f>
        <v>оптимальная работоспособность</v>
      </c>
      <c r="I702" s="61" t="b">
        <f>IF(OR(ЦТО!AT606=1,ЦТО!AU606=1,ЦТО!AV606=1,ЦТО!AX606=1),"Положительная",IF(OR(ЦТО!AY606=1,ЦТО!AZ606=1,ЦТО!BA606=1),"Отрицательная",IF(OR(ЦТО!AW606=1),"Инфантильная")))</f>
        <v>0</v>
      </c>
    </row>
    <row r="703" spans="1:9">
      <c r="A703" s="62">
        <f>ЦТО!A607</f>
        <v>0</v>
      </c>
      <c r="B703" s="62">
        <f>ЦТО!B607</f>
        <v>0</v>
      </c>
      <c r="C703" s="67">
        <f>ЦТО!C607</f>
        <v>0</v>
      </c>
      <c r="D703" s="63">
        <f>ЦТО!D607</f>
        <v>0</v>
      </c>
      <c r="E703" s="68">
        <f>SUM(ЦТО!BB607:BI607)</f>
        <v>0</v>
      </c>
      <c r="F703" s="64" t="str">
        <f>IF(E703&lt;10,'вспомогательные данные'!$C$26,IF(E703&lt;19,'вспомогательные данные'!$C$25,'вспомогательные данные'!$C$24))</f>
        <v>положительный</v>
      </c>
      <c r="G703" s="65">
        <f>(18-ЦТО!AM607-ЦТО!AL607)/(18-ЦТО!AL607-ЦТО!AP607)</f>
        <v>1</v>
      </c>
      <c r="H703" s="66" t="str">
        <f>IF(G703&lt;0.51,'вспомогательные данные'!$C$19,IF(G703&lt;0.92,'вспомогательные данные'!$C$20, IF(G703&lt;2,'вспомогательные данные'!$C$21,'вспомогательные данные'!$C$22)))</f>
        <v>оптимальная работоспособность</v>
      </c>
      <c r="I703" s="61" t="b">
        <f>IF(OR(ЦТО!AT607=1,ЦТО!AU607=1,ЦТО!AV607=1,ЦТО!AX607=1),"Положительная",IF(OR(ЦТО!AY607=1,ЦТО!AZ607=1,ЦТО!BA607=1),"Отрицательная",IF(OR(ЦТО!AW607=1),"Инфантильная")))</f>
        <v>0</v>
      </c>
    </row>
    <row r="704" spans="1:9">
      <c r="A704" s="62">
        <f>ЦТО!A608</f>
        <v>0</v>
      </c>
      <c r="B704" s="62">
        <f>ЦТО!B608</f>
        <v>0</v>
      </c>
      <c r="C704" s="67">
        <f>ЦТО!C608</f>
        <v>0</v>
      </c>
      <c r="D704" s="63">
        <f>ЦТО!D608</f>
        <v>0</v>
      </c>
      <c r="E704" s="68">
        <f>SUM(ЦТО!BB608:BI608)</f>
        <v>0</v>
      </c>
      <c r="F704" s="64" t="str">
        <f>IF(E704&lt;10,'вспомогательные данные'!$C$26,IF(E704&lt;19,'вспомогательные данные'!$C$25,'вспомогательные данные'!$C$24))</f>
        <v>положительный</v>
      </c>
      <c r="G704" s="65">
        <f>(18-ЦТО!AM608-ЦТО!AL608)/(18-ЦТО!AL608-ЦТО!AP608)</f>
        <v>1</v>
      </c>
      <c r="H704" s="66" t="str">
        <f>IF(G704&lt;0.51,'вспомогательные данные'!$C$19,IF(G704&lt;0.92,'вспомогательные данные'!$C$20, IF(G704&lt;2,'вспомогательные данные'!$C$21,'вспомогательные данные'!$C$22)))</f>
        <v>оптимальная работоспособность</v>
      </c>
      <c r="I704" s="61" t="b">
        <f>IF(OR(ЦТО!AT608=1,ЦТО!AU608=1,ЦТО!AV608=1,ЦТО!AX608=1),"Положительная",IF(OR(ЦТО!AY608=1,ЦТО!AZ608=1,ЦТО!BA608=1),"Отрицательная",IF(OR(ЦТО!AW608=1),"Инфантильная")))</f>
        <v>0</v>
      </c>
    </row>
    <row r="705" spans="1:9">
      <c r="A705" s="62">
        <f>ЦТО!A609</f>
        <v>0</v>
      </c>
      <c r="B705" s="62">
        <f>ЦТО!B609</f>
        <v>0</v>
      </c>
      <c r="C705" s="67">
        <f>ЦТО!C609</f>
        <v>0</v>
      </c>
      <c r="D705" s="63">
        <f>ЦТО!D609</f>
        <v>0</v>
      </c>
      <c r="E705" s="68">
        <f>SUM(ЦТО!BB609:BI609)</f>
        <v>0</v>
      </c>
      <c r="F705" s="64" t="str">
        <f>IF(E705&lt;10,'вспомогательные данные'!$C$26,IF(E705&lt;19,'вспомогательные данные'!$C$25,'вспомогательные данные'!$C$24))</f>
        <v>положительный</v>
      </c>
      <c r="G705" s="65">
        <f>(18-ЦТО!AM609-ЦТО!AL609)/(18-ЦТО!AL609-ЦТО!AP609)</f>
        <v>1</v>
      </c>
      <c r="H705" s="66" t="str">
        <f>IF(G705&lt;0.51,'вспомогательные данные'!$C$19,IF(G705&lt;0.92,'вспомогательные данные'!$C$20, IF(G705&lt;2,'вспомогательные данные'!$C$21,'вспомогательные данные'!$C$22)))</f>
        <v>оптимальная работоспособность</v>
      </c>
      <c r="I705" s="61" t="b">
        <f>IF(OR(ЦТО!AT609=1,ЦТО!AU609=1,ЦТО!AV609=1,ЦТО!AX609=1),"Положительная",IF(OR(ЦТО!AY609=1,ЦТО!AZ609=1,ЦТО!BA609=1),"Отрицательная",IF(OR(ЦТО!AW609=1),"Инфантильная")))</f>
        <v>0</v>
      </c>
    </row>
    <row r="706" spans="1:9">
      <c r="A706" s="62">
        <f>ЦТО!A610</f>
        <v>0</v>
      </c>
      <c r="B706" s="62">
        <f>ЦТО!B610</f>
        <v>0</v>
      </c>
      <c r="C706" s="67">
        <f>ЦТО!C610</f>
        <v>0</v>
      </c>
      <c r="D706" s="63">
        <f>ЦТО!D610</f>
        <v>0</v>
      </c>
      <c r="E706" s="68">
        <f>SUM(ЦТО!BB610:BI610)</f>
        <v>0</v>
      </c>
      <c r="F706" s="64" t="str">
        <f>IF(E706&lt;10,'вспомогательные данные'!$C$26,IF(E706&lt;19,'вспомогательные данные'!$C$25,'вспомогательные данные'!$C$24))</f>
        <v>положительный</v>
      </c>
      <c r="G706" s="65">
        <f>(18-ЦТО!AM610-ЦТО!AL610)/(18-ЦТО!AL610-ЦТО!AP610)</f>
        <v>1</v>
      </c>
      <c r="H706" s="66" t="str">
        <f>IF(G706&lt;0.51,'вспомогательные данные'!$C$19,IF(G706&lt;0.92,'вспомогательные данные'!$C$20, IF(G706&lt;2,'вспомогательные данные'!$C$21,'вспомогательные данные'!$C$22)))</f>
        <v>оптимальная работоспособность</v>
      </c>
      <c r="I706" s="61" t="b">
        <f>IF(OR(ЦТО!AT610=1,ЦТО!AU610=1,ЦТО!AV610=1,ЦТО!AX610=1),"Положительная",IF(OR(ЦТО!AY610=1,ЦТО!AZ610=1,ЦТО!BA610=1),"Отрицательная",IF(OR(ЦТО!AW610=1),"Инфантильная")))</f>
        <v>0</v>
      </c>
    </row>
    <row r="707" spans="1:9">
      <c r="A707" s="62">
        <f>ЦТО!A611</f>
        <v>0</v>
      </c>
      <c r="B707" s="62">
        <f>ЦТО!B611</f>
        <v>0</v>
      </c>
      <c r="C707" s="67">
        <f>ЦТО!C611</f>
        <v>0</v>
      </c>
      <c r="D707" s="63">
        <f>ЦТО!D611</f>
        <v>0</v>
      </c>
      <c r="E707" s="68">
        <f>SUM(ЦТО!BB611:BI611)</f>
        <v>0</v>
      </c>
      <c r="F707" s="64" t="str">
        <f>IF(E707&lt;10,'вспомогательные данные'!$C$26,IF(E707&lt;19,'вспомогательные данные'!$C$25,'вспомогательные данные'!$C$24))</f>
        <v>положительный</v>
      </c>
      <c r="G707" s="65">
        <f>(18-ЦТО!AM611-ЦТО!AL611)/(18-ЦТО!AL611-ЦТО!AP611)</f>
        <v>1</v>
      </c>
      <c r="H707" s="66" t="str">
        <f>IF(G707&lt;0.51,'вспомогательные данные'!$C$19,IF(G707&lt;0.92,'вспомогательные данные'!$C$20, IF(G707&lt;2,'вспомогательные данные'!$C$21,'вспомогательные данные'!$C$22)))</f>
        <v>оптимальная работоспособность</v>
      </c>
      <c r="I707" s="61" t="b">
        <f>IF(OR(ЦТО!AT611=1,ЦТО!AU611=1,ЦТО!AV611=1,ЦТО!AX611=1),"Положительная",IF(OR(ЦТО!AY611=1,ЦТО!AZ611=1,ЦТО!BA611=1),"Отрицательная",IF(OR(ЦТО!AW611=1),"Инфантильная")))</f>
        <v>0</v>
      </c>
    </row>
    <row r="708" spans="1:9">
      <c r="A708" s="62">
        <f>ЦТО!A612</f>
        <v>0</v>
      </c>
      <c r="B708" s="62">
        <f>ЦТО!B612</f>
        <v>0</v>
      </c>
      <c r="C708" s="67">
        <f>ЦТО!C612</f>
        <v>0</v>
      </c>
      <c r="D708" s="63">
        <f>ЦТО!D612</f>
        <v>0</v>
      </c>
      <c r="E708" s="68">
        <f>SUM(ЦТО!BB612:BI612)</f>
        <v>0</v>
      </c>
      <c r="F708" s="64" t="str">
        <f>IF(E708&lt;10,'вспомогательные данные'!$C$26,IF(E708&lt;19,'вспомогательные данные'!$C$25,'вспомогательные данные'!$C$24))</f>
        <v>положительный</v>
      </c>
      <c r="G708" s="65">
        <f>(18-ЦТО!AM612-ЦТО!AL612)/(18-ЦТО!AL612-ЦТО!AP612)</f>
        <v>1</v>
      </c>
      <c r="H708" s="66" t="str">
        <f>IF(G708&lt;0.51,'вспомогательные данные'!$C$19,IF(G708&lt;0.92,'вспомогательные данные'!$C$20, IF(G708&lt;2,'вспомогательные данные'!$C$21,'вспомогательные данные'!$C$22)))</f>
        <v>оптимальная работоспособность</v>
      </c>
      <c r="I708" s="61" t="b">
        <f>IF(OR(ЦТО!AT612=1,ЦТО!AU612=1,ЦТО!AV612=1,ЦТО!AX612=1),"Положительная",IF(OR(ЦТО!AY612=1,ЦТО!AZ612=1,ЦТО!BA612=1),"Отрицательная",IF(OR(ЦТО!AW612=1),"Инфантильная")))</f>
        <v>0</v>
      </c>
    </row>
    <row r="709" spans="1:9">
      <c r="A709" s="62">
        <f>ЦТО!A613</f>
        <v>0</v>
      </c>
      <c r="B709" s="62">
        <f>ЦТО!B613</f>
        <v>0</v>
      </c>
      <c r="C709" s="67">
        <f>ЦТО!C613</f>
        <v>0</v>
      </c>
      <c r="D709" s="63">
        <f>ЦТО!D613</f>
        <v>0</v>
      </c>
      <c r="E709" s="68">
        <f>SUM(ЦТО!BB613:BI613)</f>
        <v>0</v>
      </c>
      <c r="F709" s="64" t="str">
        <f>IF(E709&lt;10,'вспомогательные данные'!$C$26,IF(E709&lt;19,'вспомогательные данные'!$C$25,'вспомогательные данные'!$C$24))</f>
        <v>положительный</v>
      </c>
      <c r="G709" s="65">
        <f>(18-ЦТО!AM613-ЦТО!AL613)/(18-ЦТО!AL613-ЦТО!AP613)</f>
        <v>1</v>
      </c>
      <c r="H709" s="66" t="str">
        <f>IF(G709&lt;0.51,'вспомогательные данные'!$C$19,IF(G709&lt;0.92,'вспомогательные данные'!$C$20, IF(G709&lt;2,'вспомогательные данные'!$C$21,'вспомогательные данные'!$C$22)))</f>
        <v>оптимальная работоспособность</v>
      </c>
      <c r="I709" s="61" t="b">
        <f>IF(OR(ЦТО!AT613=1,ЦТО!AU613=1,ЦТО!AV613=1,ЦТО!AX613=1),"Положительная",IF(OR(ЦТО!AY613=1,ЦТО!AZ613=1,ЦТО!BA613=1),"Отрицательная",IF(OR(ЦТО!AW613=1),"Инфантильная")))</f>
        <v>0</v>
      </c>
    </row>
    <row r="710" spans="1:9">
      <c r="A710" s="62">
        <f>ЦТО!A614</f>
        <v>0</v>
      </c>
      <c r="B710" s="62">
        <f>ЦТО!B614</f>
        <v>0</v>
      </c>
      <c r="C710" s="67">
        <f>ЦТО!C614</f>
        <v>0</v>
      </c>
      <c r="D710" s="63">
        <f>ЦТО!D614</f>
        <v>0</v>
      </c>
      <c r="E710" s="68">
        <f>SUM(ЦТО!BB614:BI614)</f>
        <v>0</v>
      </c>
      <c r="F710" s="64" t="str">
        <f>IF(E710&lt;10,'вспомогательные данные'!$C$26,IF(E710&lt;19,'вспомогательные данные'!$C$25,'вспомогательные данные'!$C$24))</f>
        <v>положительный</v>
      </c>
      <c r="G710" s="65">
        <f>(18-ЦТО!AM614-ЦТО!AL614)/(18-ЦТО!AL614-ЦТО!AP614)</f>
        <v>1</v>
      </c>
      <c r="H710" s="66" t="str">
        <f>IF(G710&lt;0.51,'вспомогательные данные'!$C$19,IF(G710&lt;0.92,'вспомогательные данные'!$C$20, IF(G710&lt;2,'вспомогательные данные'!$C$21,'вспомогательные данные'!$C$22)))</f>
        <v>оптимальная работоспособность</v>
      </c>
      <c r="I710" s="61" t="b">
        <f>IF(OR(ЦТО!AT614=1,ЦТО!AU614=1,ЦТО!AV614=1,ЦТО!AX614=1),"Положительная",IF(OR(ЦТО!AY614=1,ЦТО!AZ614=1,ЦТО!BA614=1),"Отрицательная",IF(OR(ЦТО!AW614=1),"Инфантильная")))</f>
        <v>0</v>
      </c>
    </row>
    <row r="711" spans="1:9">
      <c r="A711" s="62">
        <f>ЦТО!A615</f>
        <v>0</v>
      </c>
      <c r="B711" s="62">
        <f>ЦТО!B615</f>
        <v>0</v>
      </c>
      <c r="C711" s="67">
        <f>ЦТО!C615</f>
        <v>0</v>
      </c>
      <c r="D711" s="63">
        <f>ЦТО!D615</f>
        <v>0</v>
      </c>
      <c r="E711" s="68">
        <f>SUM(ЦТО!BB615:BI615)</f>
        <v>0</v>
      </c>
      <c r="F711" s="64" t="str">
        <f>IF(E711&lt;10,'вспомогательные данные'!$C$26,IF(E711&lt;19,'вспомогательные данные'!$C$25,'вспомогательные данные'!$C$24))</f>
        <v>положительный</v>
      </c>
      <c r="G711" s="65">
        <f>(18-ЦТО!AM615-ЦТО!AL615)/(18-ЦТО!AL615-ЦТО!AP615)</f>
        <v>1</v>
      </c>
      <c r="H711" s="66" t="str">
        <f>IF(G711&lt;0.51,'вспомогательные данные'!$C$19,IF(G711&lt;0.92,'вспомогательные данные'!$C$20, IF(G711&lt;2,'вспомогательные данные'!$C$21,'вспомогательные данные'!$C$22)))</f>
        <v>оптимальная работоспособность</v>
      </c>
      <c r="I711" s="61" t="b">
        <f>IF(OR(ЦТО!AT615=1,ЦТО!AU615=1,ЦТО!AV615=1,ЦТО!AX615=1),"Положительная",IF(OR(ЦТО!AY615=1,ЦТО!AZ615=1,ЦТО!BA615=1),"Отрицательная",IF(OR(ЦТО!AW615=1),"Инфантильная")))</f>
        <v>0</v>
      </c>
    </row>
    <row r="712" spans="1:9">
      <c r="A712" s="62">
        <f>ЦТО!A616</f>
        <v>0</v>
      </c>
      <c r="B712" s="62">
        <f>ЦТО!B616</f>
        <v>0</v>
      </c>
      <c r="C712" s="67">
        <f>ЦТО!C616</f>
        <v>0</v>
      </c>
      <c r="D712" s="63">
        <f>ЦТО!D616</f>
        <v>0</v>
      </c>
      <c r="E712" s="68">
        <f>SUM(ЦТО!BB616:BI616)</f>
        <v>0</v>
      </c>
      <c r="F712" s="64" t="str">
        <f>IF(E712&lt;10,'вспомогательные данные'!$C$26,IF(E712&lt;19,'вспомогательные данные'!$C$25,'вспомогательные данные'!$C$24))</f>
        <v>положительный</v>
      </c>
      <c r="G712" s="65">
        <f>(18-ЦТО!AM616-ЦТО!AL616)/(18-ЦТО!AL616-ЦТО!AP616)</f>
        <v>1</v>
      </c>
      <c r="H712" s="66" t="str">
        <f>IF(G712&lt;0.51,'вспомогательные данные'!$C$19,IF(G712&lt;0.92,'вспомогательные данные'!$C$20, IF(G712&lt;2,'вспомогательные данные'!$C$21,'вспомогательные данные'!$C$22)))</f>
        <v>оптимальная работоспособность</v>
      </c>
      <c r="I712" s="61" t="b">
        <f>IF(OR(ЦТО!AT616=1,ЦТО!AU616=1,ЦТО!AV616=1,ЦТО!AX616=1),"Положительная",IF(OR(ЦТО!AY616=1,ЦТО!AZ616=1,ЦТО!BA616=1),"Отрицательная",IF(OR(ЦТО!AW616=1),"Инфантильная")))</f>
        <v>0</v>
      </c>
    </row>
    <row r="713" spans="1:9">
      <c r="A713" s="62">
        <f>ЦТО!A617</f>
        <v>0</v>
      </c>
      <c r="B713" s="62">
        <f>ЦТО!B617</f>
        <v>0</v>
      </c>
      <c r="C713" s="67">
        <f>ЦТО!C617</f>
        <v>0</v>
      </c>
      <c r="D713" s="63">
        <f>ЦТО!D617</f>
        <v>0</v>
      </c>
      <c r="E713" s="68">
        <f>SUM(ЦТО!BB617:BI617)</f>
        <v>0</v>
      </c>
      <c r="F713" s="64" t="str">
        <f>IF(E713&lt;10,'вспомогательные данные'!$C$26,IF(E713&lt;19,'вспомогательные данные'!$C$25,'вспомогательные данные'!$C$24))</f>
        <v>положительный</v>
      </c>
      <c r="G713" s="65">
        <f>(18-ЦТО!AM617-ЦТО!AL617)/(18-ЦТО!AL617-ЦТО!AP617)</f>
        <v>1</v>
      </c>
      <c r="H713" s="66" t="str">
        <f>IF(G713&lt;0.51,'вспомогательные данные'!$C$19,IF(G713&lt;0.92,'вспомогательные данные'!$C$20, IF(G713&lt;2,'вспомогательные данные'!$C$21,'вспомогательные данные'!$C$22)))</f>
        <v>оптимальная работоспособность</v>
      </c>
      <c r="I713" s="61" t="b">
        <f>IF(OR(ЦТО!AT617=1,ЦТО!AU617=1,ЦТО!AV617=1,ЦТО!AX617=1),"Положительная",IF(OR(ЦТО!AY617=1,ЦТО!AZ617=1,ЦТО!BA617=1),"Отрицательная",IF(OR(ЦТО!AW617=1),"Инфантильная")))</f>
        <v>0</v>
      </c>
    </row>
    <row r="714" spans="1:9">
      <c r="A714" s="62">
        <f>ЦТО!A618</f>
        <v>0</v>
      </c>
      <c r="B714" s="62">
        <f>ЦТО!B618</f>
        <v>0</v>
      </c>
      <c r="C714" s="67">
        <f>ЦТО!C618</f>
        <v>0</v>
      </c>
      <c r="D714" s="63">
        <f>ЦТО!D618</f>
        <v>0</v>
      </c>
      <c r="E714" s="68">
        <f>SUM(ЦТО!BB618:BI618)</f>
        <v>0</v>
      </c>
      <c r="F714" s="64" t="str">
        <f>IF(E714&lt;10,'вспомогательные данные'!$C$26,IF(E714&lt;19,'вспомогательные данные'!$C$25,'вспомогательные данные'!$C$24))</f>
        <v>положительный</v>
      </c>
      <c r="G714" s="65">
        <f>(18-ЦТО!AM618-ЦТО!AL618)/(18-ЦТО!AL618-ЦТО!AP618)</f>
        <v>1</v>
      </c>
      <c r="H714" s="66" t="str">
        <f>IF(G714&lt;0.51,'вспомогательные данные'!$C$19,IF(G714&lt;0.92,'вспомогательные данные'!$C$20, IF(G714&lt;2,'вспомогательные данные'!$C$21,'вспомогательные данные'!$C$22)))</f>
        <v>оптимальная работоспособность</v>
      </c>
      <c r="I714" s="61" t="b">
        <f>IF(OR(ЦТО!AT618=1,ЦТО!AU618=1,ЦТО!AV618=1,ЦТО!AX618=1),"Положительная",IF(OR(ЦТО!AY618=1,ЦТО!AZ618=1,ЦТО!BA618=1),"Отрицательная",IF(OR(ЦТО!AW618=1),"Инфантильная")))</f>
        <v>0</v>
      </c>
    </row>
    <row r="715" spans="1:9">
      <c r="A715" s="62">
        <f>ЦТО!A619</f>
        <v>0</v>
      </c>
      <c r="B715" s="62">
        <f>ЦТО!B619</f>
        <v>0</v>
      </c>
      <c r="C715" s="67">
        <f>ЦТО!C619</f>
        <v>0</v>
      </c>
      <c r="D715" s="63">
        <f>ЦТО!D619</f>
        <v>0</v>
      </c>
      <c r="E715" s="68">
        <f>SUM(ЦТО!BB619:BI619)</f>
        <v>0</v>
      </c>
      <c r="F715" s="64" t="str">
        <f>IF(E715&lt;10,'вспомогательные данные'!$C$26,IF(E715&lt;19,'вспомогательные данные'!$C$25,'вспомогательные данные'!$C$24))</f>
        <v>положительный</v>
      </c>
      <c r="G715" s="65">
        <f>(18-ЦТО!AM619-ЦТО!AL619)/(18-ЦТО!AL619-ЦТО!AP619)</f>
        <v>1</v>
      </c>
      <c r="H715" s="66" t="str">
        <f>IF(G715&lt;0.51,'вспомогательные данные'!$C$19,IF(G715&lt;0.92,'вспомогательные данные'!$C$20, IF(G715&lt;2,'вспомогательные данные'!$C$21,'вспомогательные данные'!$C$22)))</f>
        <v>оптимальная работоспособность</v>
      </c>
      <c r="I715" s="61" t="b">
        <f>IF(OR(ЦТО!AT619=1,ЦТО!AU619=1,ЦТО!AV619=1,ЦТО!AX619=1),"Положительная",IF(OR(ЦТО!AY619=1,ЦТО!AZ619=1,ЦТО!BA619=1),"Отрицательная",IF(OR(ЦТО!AW619=1),"Инфантильная")))</f>
        <v>0</v>
      </c>
    </row>
    <row r="716" spans="1:9">
      <c r="A716" s="62">
        <f>ЦТО!A620</f>
        <v>0</v>
      </c>
      <c r="B716" s="62">
        <f>ЦТО!B620</f>
        <v>0</v>
      </c>
      <c r="C716" s="67">
        <f>ЦТО!C620</f>
        <v>0</v>
      </c>
      <c r="D716" s="63">
        <f>ЦТО!D620</f>
        <v>0</v>
      </c>
      <c r="E716" s="68">
        <f>SUM(ЦТО!BB620:BI620)</f>
        <v>0</v>
      </c>
      <c r="F716" s="64" t="str">
        <f>IF(E716&lt;10,'вспомогательные данные'!$C$26,IF(E716&lt;19,'вспомогательные данные'!$C$25,'вспомогательные данные'!$C$24))</f>
        <v>положительный</v>
      </c>
      <c r="G716" s="65">
        <f>(18-ЦТО!AM620-ЦТО!AL620)/(18-ЦТО!AL620-ЦТО!AP620)</f>
        <v>1</v>
      </c>
      <c r="H716" s="66" t="str">
        <f>IF(G716&lt;0.51,'вспомогательные данные'!$C$19,IF(G716&lt;0.92,'вспомогательные данные'!$C$20, IF(G716&lt;2,'вспомогательные данные'!$C$21,'вспомогательные данные'!$C$22)))</f>
        <v>оптимальная работоспособность</v>
      </c>
      <c r="I716" s="61" t="b">
        <f>IF(OR(ЦТО!AT620=1,ЦТО!AU620=1,ЦТО!AV620=1,ЦТО!AX620=1),"Положительная",IF(OR(ЦТО!AY620=1,ЦТО!AZ620=1,ЦТО!BA620=1),"Отрицательная",IF(OR(ЦТО!AW620=1),"Инфантильная")))</f>
        <v>0</v>
      </c>
    </row>
    <row r="717" spans="1:9">
      <c r="A717" s="62">
        <f>ЦТО!A621</f>
        <v>0</v>
      </c>
      <c r="B717" s="62">
        <f>ЦТО!B621</f>
        <v>0</v>
      </c>
      <c r="C717" s="67">
        <f>ЦТО!C621</f>
        <v>0</v>
      </c>
      <c r="D717" s="63">
        <f>ЦТО!D621</f>
        <v>0</v>
      </c>
      <c r="E717" s="68">
        <f>SUM(ЦТО!BB621:BI621)</f>
        <v>0</v>
      </c>
      <c r="F717" s="64" t="str">
        <f>IF(E717&lt;10,'вспомогательные данные'!$C$26,IF(E717&lt;19,'вспомогательные данные'!$C$25,'вспомогательные данные'!$C$24))</f>
        <v>положительный</v>
      </c>
      <c r="G717" s="65">
        <f>(18-ЦТО!AM621-ЦТО!AL621)/(18-ЦТО!AL621-ЦТО!AP621)</f>
        <v>1</v>
      </c>
      <c r="H717" s="66" t="str">
        <f>IF(G717&lt;0.51,'вспомогательные данные'!$C$19,IF(G717&lt;0.92,'вспомогательные данные'!$C$20, IF(G717&lt;2,'вспомогательные данные'!$C$21,'вспомогательные данные'!$C$22)))</f>
        <v>оптимальная работоспособность</v>
      </c>
      <c r="I717" s="61" t="b">
        <f>IF(OR(ЦТО!AT621=1,ЦТО!AU621=1,ЦТО!AV621=1,ЦТО!AX621=1),"Положительная",IF(OR(ЦТО!AY621=1,ЦТО!AZ621=1,ЦТО!BA621=1),"Отрицательная",IF(OR(ЦТО!AW621=1),"Инфантильная")))</f>
        <v>0</v>
      </c>
    </row>
    <row r="718" spans="1:9">
      <c r="A718" s="62">
        <f>ЦТО!A622</f>
        <v>0</v>
      </c>
      <c r="B718" s="62">
        <f>ЦТО!B622</f>
        <v>0</v>
      </c>
      <c r="C718" s="67">
        <f>ЦТО!C622</f>
        <v>0</v>
      </c>
      <c r="D718" s="63">
        <f>ЦТО!D622</f>
        <v>0</v>
      </c>
      <c r="E718" s="68">
        <f>SUM(ЦТО!BB622:BI622)</f>
        <v>0</v>
      </c>
      <c r="F718" s="64" t="str">
        <f>IF(E718&lt;10,'вспомогательные данные'!$C$26,IF(E718&lt;19,'вспомогательные данные'!$C$25,'вспомогательные данные'!$C$24))</f>
        <v>положительный</v>
      </c>
      <c r="G718" s="65">
        <f>(18-ЦТО!AM622-ЦТО!AL622)/(18-ЦТО!AL622-ЦТО!AP622)</f>
        <v>1</v>
      </c>
      <c r="H718" s="66" t="str">
        <f>IF(G718&lt;0.51,'вспомогательные данные'!$C$19,IF(G718&lt;0.92,'вспомогательные данные'!$C$20, IF(G718&lt;2,'вспомогательные данные'!$C$21,'вспомогательные данные'!$C$22)))</f>
        <v>оптимальная работоспособность</v>
      </c>
      <c r="I718" s="61" t="b">
        <f>IF(OR(ЦТО!AT622=1,ЦТО!AU622=1,ЦТО!AV622=1,ЦТО!AX622=1),"Положительная",IF(OR(ЦТО!AY622=1,ЦТО!AZ622=1,ЦТО!BA622=1),"Отрицательная",IF(OR(ЦТО!AW622=1),"Инфантильная")))</f>
        <v>0</v>
      </c>
    </row>
    <row r="719" spans="1:9">
      <c r="A719" s="62">
        <f>ЦТО!A623</f>
        <v>0</v>
      </c>
      <c r="B719" s="62">
        <f>ЦТО!B623</f>
        <v>0</v>
      </c>
      <c r="C719" s="67">
        <f>ЦТО!C623</f>
        <v>0</v>
      </c>
      <c r="D719" s="63">
        <f>ЦТО!D623</f>
        <v>0</v>
      </c>
      <c r="E719" s="68">
        <f>SUM(ЦТО!BB623:BI623)</f>
        <v>0</v>
      </c>
      <c r="F719" s="64" t="str">
        <f>IF(E719&lt;10,'вспомогательные данные'!$C$26,IF(E719&lt;19,'вспомогательные данные'!$C$25,'вспомогательные данные'!$C$24))</f>
        <v>положительный</v>
      </c>
      <c r="G719" s="65">
        <f>(18-ЦТО!AM623-ЦТО!AL623)/(18-ЦТО!AL623-ЦТО!AP623)</f>
        <v>1</v>
      </c>
      <c r="H719" s="66" t="str">
        <f>IF(G719&lt;0.51,'вспомогательные данные'!$C$19,IF(G719&lt;0.92,'вспомогательные данные'!$C$20, IF(G719&lt;2,'вспомогательные данные'!$C$21,'вспомогательные данные'!$C$22)))</f>
        <v>оптимальная работоспособность</v>
      </c>
      <c r="I719" s="61" t="b">
        <f>IF(OR(ЦТО!AT623=1,ЦТО!AU623=1,ЦТО!AV623=1,ЦТО!AX623=1),"Положительная",IF(OR(ЦТО!AY623=1,ЦТО!AZ623=1,ЦТО!BA623=1),"Отрицательная",IF(OR(ЦТО!AW623=1),"Инфантильная")))</f>
        <v>0</v>
      </c>
    </row>
    <row r="720" spans="1:9">
      <c r="A720" s="62">
        <f>ЦТО!A624</f>
        <v>0</v>
      </c>
      <c r="B720" s="62">
        <f>ЦТО!B624</f>
        <v>0</v>
      </c>
      <c r="C720" s="67">
        <f>ЦТО!C624</f>
        <v>0</v>
      </c>
      <c r="D720" s="63">
        <f>ЦТО!D624</f>
        <v>0</v>
      </c>
      <c r="E720" s="68">
        <f>SUM(ЦТО!BB624:BI624)</f>
        <v>0</v>
      </c>
      <c r="F720" s="64" t="str">
        <f>IF(E720&lt;10,'вспомогательные данные'!$C$26,IF(E720&lt;19,'вспомогательные данные'!$C$25,'вспомогательные данные'!$C$24))</f>
        <v>положительный</v>
      </c>
      <c r="G720" s="65">
        <f>(18-ЦТО!AM624-ЦТО!AL624)/(18-ЦТО!AL624-ЦТО!AP624)</f>
        <v>1</v>
      </c>
      <c r="H720" s="66" t="str">
        <f>IF(G720&lt;0.51,'вспомогательные данные'!$C$19,IF(G720&lt;0.92,'вспомогательные данные'!$C$20, IF(G720&lt;2,'вспомогательные данные'!$C$21,'вспомогательные данные'!$C$22)))</f>
        <v>оптимальная работоспособность</v>
      </c>
      <c r="I720" s="61" t="b">
        <f>IF(OR(ЦТО!AT624=1,ЦТО!AU624=1,ЦТО!AV624=1,ЦТО!AX624=1),"Положительная",IF(OR(ЦТО!AY624=1,ЦТО!AZ624=1,ЦТО!BA624=1),"Отрицательная",IF(OR(ЦТО!AW624=1),"Инфантильная")))</f>
        <v>0</v>
      </c>
    </row>
    <row r="721" spans="1:9">
      <c r="A721" s="62">
        <f>ЦТО!A625</f>
        <v>0</v>
      </c>
      <c r="B721" s="62">
        <f>ЦТО!B625</f>
        <v>0</v>
      </c>
      <c r="C721" s="67">
        <f>ЦТО!C625</f>
        <v>0</v>
      </c>
      <c r="D721" s="63">
        <f>ЦТО!D625</f>
        <v>0</v>
      </c>
      <c r="E721" s="68">
        <f>SUM(ЦТО!BB625:BI625)</f>
        <v>0</v>
      </c>
      <c r="F721" s="64" t="str">
        <f>IF(E721&lt;10,'вспомогательные данные'!$C$26,IF(E721&lt;19,'вспомогательные данные'!$C$25,'вспомогательные данные'!$C$24))</f>
        <v>положительный</v>
      </c>
      <c r="G721" s="65">
        <f>(18-ЦТО!AM625-ЦТО!AL625)/(18-ЦТО!AL625-ЦТО!AP625)</f>
        <v>1</v>
      </c>
      <c r="H721" s="66" t="str">
        <f>IF(G721&lt;0.51,'вспомогательные данные'!$C$19,IF(G721&lt;0.92,'вспомогательные данные'!$C$20, IF(G721&lt;2,'вспомогательные данные'!$C$21,'вспомогательные данные'!$C$22)))</f>
        <v>оптимальная работоспособность</v>
      </c>
      <c r="I721" s="61" t="b">
        <f>IF(OR(ЦТО!AT625=1,ЦТО!AU625=1,ЦТО!AV625=1,ЦТО!AX625=1),"Положительная",IF(OR(ЦТО!AY625=1,ЦТО!AZ625=1,ЦТО!BA625=1),"Отрицательная",IF(OR(ЦТО!AW625=1),"Инфантильная")))</f>
        <v>0</v>
      </c>
    </row>
    <row r="722" spans="1:9">
      <c r="A722" s="62">
        <f>ЦТО!A626</f>
        <v>0</v>
      </c>
      <c r="B722" s="62">
        <f>ЦТО!B626</f>
        <v>0</v>
      </c>
      <c r="C722" s="67">
        <f>ЦТО!C626</f>
        <v>0</v>
      </c>
      <c r="D722" s="63">
        <f>ЦТО!D626</f>
        <v>0</v>
      </c>
      <c r="E722" s="68">
        <f>SUM(ЦТО!BB626:BI626)</f>
        <v>0</v>
      </c>
      <c r="F722" s="64" t="str">
        <f>IF(E722&lt;10,'вспомогательные данные'!$C$26,IF(E722&lt;19,'вспомогательные данные'!$C$25,'вспомогательные данные'!$C$24))</f>
        <v>положительный</v>
      </c>
      <c r="G722" s="65">
        <f>(18-ЦТО!AM626-ЦТО!AL626)/(18-ЦТО!AL626-ЦТО!AP626)</f>
        <v>1</v>
      </c>
      <c r="H722" s="66" t="str">
        <f>IF(G722&lt;0.51,'вспомогательные данные'!$C$19,IF(G722&lt;0.92,'вспомогательные данные'!$C$20, IF(G722&lt;2,'вспомогательные данные'!$C$21,'вспомогательные данные'!$C$22)))</f>
        <v>оптимальная работоспособность</v>
      </c>
      <c r="I722" s="61" t="b">
        <f>IF(OR(ЦТО!AT626=1,ЦТО!AU626=1,ЦТО!AV626=1,ЦТО!AX626=1),"Положительная",IF(OR(ЦТО!AY626=1,ЦТО!AZ626=1,ЦТО!BA626=1),"Отрицательная",IF(OR(ЦТО!AW626=1),"Инфантильная")))</f>
        <v>0</v>
      </c>
    </row>
    <row r="723" spans="1:9">
      <c r="A723" s="62">
        <f>ЦТО!A627</f>
        <v>0</v>
      </c>
      <c r="B723" s="62">
        <f>ЦТО!B627</f>
        <v>0</v>
      </c>
      <c r="C723" s="67">
        <f>ЦТО!C627</f>
        <v>0</v>
      </c>
      <c r="D723" s="63">
        <f>ЦТО!D627</f>
        <v>0</v>
      </c>
      <c r="E723" s="68">
        <f>SUM(ЦТО!BB627:BI627)</f>
        <v>0</v>
      </c>
      <c r="F723" s="64" t="str">
        <f>IF(E723&lt;10,'вспомогательные данные'!$C$26,IF(E723&lt;19,'вспомогательные данные'!$C$25,'вспомогательные данные'!$C$24))</f>
        <v>положительный</v>
      </c>
      <c r="G723" s="65">
        <f>(18-ЦТО!AM627-ЦТО!AL627)/(18-ЦТО!AL627-ЦТО!AP627)</f>
        <v>1</v>
      </c>
      <c r="H723" s="66" t="str">
        <f>IF(G723&lt;0.51,'вспомогательные данные'!$C$19,IF(G723&lt;0.92,'вспомогательные данные'!$C$20, IF(G723&lt;2,'вспомогательные данные'!$C$21,'вспомогательные данные'!$C$22)))</f>
        <v>оптимальная работоспособность</v>
      </c>
      <c r="I723" s="61" t="b">
        <f>IF(OR(ЦТО!AT627=1,ЦТО!AU627=1,ЦТО!AV627=1,ЦТО!AX627=1),"Положительная",IF(OR(ЦТО!AY627=1,ЦТО!AZ627=1,ЦТО!BA627=1),"Отрицательная",IF(OR(ЦТО!AW627=1),"Инфантильная")))</f>
        <v>0</v>
      </c>
    </row>
    <row r="724" spans="1:9">
      <c r="A724" s="62">
        <f>ЦТО!A628</f>
        <v>0</v>
      </c>
      <c r="B724" s="62">
        <f>ЦТО!B628</f>
        <v>0</v>
      </c>
      <c r="C724" s="67">
        <f>ЦТО!C628</f>
        <v>0</v>
      </c>
      <c r="D724" s="63">
        <f>ЦТО!D628</f>
        <v>0</v>
      </c>
      <c r="E724" s="68">
        <f>SUM(ЦТО!BB628:BI628)</f>
        <v>0</v>
      </c>
      <c r="F724" s="64" t="str">
        <f>IF(E724&lt;10,'вспомогательные данные'!$C$26,IF(E724&lt;19,'вспомогательные данные'!$C$25,'вспомогательные данные'!$C$24))</f>
        <v>положительный</v>
      </c>
      <c r="G724" s="65">
        <f>(18-ЦТО!AM628-ЦТО!AL628)/(18-ЦТО!AL628-ЦТО!AP628)</f>
        <v>1</v>
      </c>
      <c r="H724" s="66" t="str">
        <f>IF(G724&lt;0.51,'вспомогательные данные'!$C$19,IF(G724&lt;0.92,'вспомогательные данные'!$C$20, IF(G724&lt;2,'вспомогательные данные'!$C$21,'вспомогательные данные'!$C$22)))</f>
        <v>оптимальная работоспособность</v>
      </c>
      <c r="I724" s="61" t="b">
        <f>IF(OR(ЦТО!AT628=1,ЦТО!AU628=1,ЦТО!AV628=1,ЦТО!AX628=1),"Положительная",IF(OR(ЦТО!AY628=1,ЦТО!AZ628=1,ЦТО!BA628=1),"Отрицательная",IF(OR(ЦТО!AW628=1),"Инфантильная")))</f>
        <v>0</v>
      </c>
    </row>
    <row r="725" spans="1:9">
      <c r="A725" s="62">
        <f>ЦТО!A629</f>
        <v>0</v>
      </c>
      <c r="B725" s="62">
        <f>ЦТО!B629</f>
        <v>0</v>
      </c>
      <c r="C725" s="67">
        <f>ЦТО!C629</f>
        <v>0</v>
      </c>
      <c r="D725" s="63">
        <f>ЦТО!D629</f>
        <v>0</v>
      </c>
      <c r="E725" s="68">
        <f>SUM(ЦТО!BB629:BI629)</f>
        <v>0</v>
      </c>
      <c r="F725" s="64" t="str">
        <f>IF(E725&lt;10,'вспомогательные данные'!$C$26,IF(E725&lt;19,'вспомогательные данные'!$C$25,'вспомогательные данные'!$C$24))</f>
        <v>положительный</v>
      </c>
      <c r="G725" s="65">
        <f>(18-ЦТО!AM629-ЦТО!AL629)/(18-ЦТО!AL629-ЦТО!AP629)</f>
        <v>1</v>
      </c>
      <c r="H725" s="66" t="str">
        <f>IF(G725&lt;0.51,'вспомогательные данные'!$C$19,IF(G725&lt;0.92,'вспомогательные данные'!$C$20, IF(G725&lt;2,'вспомогательные данные'!$C$21,'вспомогательные данные'!$C$22)))</f>
        <v>оптимальная работоспособность</v>
      </c>
      <c r="I725" s="61" t="b">
        <f>IF(OR(ЦТО!AT629=1,ЦТО!AU629=1,ЦТО!AV629=1,ЦТО!AX629=1),"Положительная",IF(OR(ЦТО!AY629=1,ЦТО!AZ629=1,ЦТО!BA629=1),"Отрицательная",IF(OR(ЦТО!AW629=1),"Инфантильная")))</f>
        <v>0</v>
      </c>
    </row>
    <row r="726" spans="1:9">
      <c r="A726" s="62">
        <f>ЦТО!A630</f>
        <v>0</v>
      </c>
      <c r="B726" s="62">
        <f>ЦТО!B630</f>
        <v>0</v>
      </c>
      <c r="C726" s="67">
        <f>ЦТО!C630</f>
        <v>0</v>
      </c>
      <c r="D726" s="63">
        <f>ЦТО!D630</f>
        <v>0</v>
      </c>
      <c r="E726" s="68">
        <f>SUM(ЦТО!BB630:BI630)</f>
        <v>0</v>
      </c>
      <c r="F726" s="64" t="str">
        <f>IF(E726&lt;10,'вспомогательные данные'!$C$26,IF(E726&lt;19,'вспомогательные данные'!$C$25,'вспомогательные данные'!$C$24))</f>
        <v>положительный</v>
      </c>
      <c r="G726" s="65">
        <f>(18-ЦТО!AM630-ЦТО!AL630)/(18-ЦТО!AL630-ЦТО!AP630)</f>
        <v>1</v>
      </c>
      <c r="H726" s="66" t="str">
        <f>IF(G726&lt;0.51,'вспомогательные данные'!$C$19,IF(G726&lt;0.92,'вспомогательные данные'!$C$20, IF(G726&lt;2,'вспомогательные данные'!$C$21,'вспомогательные данные'!$C$22)))</f>
        <v>оптимальная работоспособность</v>
      </c>
      <c r="I726" s="61" t="b">
        <f>IF(OR(ЦТО!AT630=1,ЦТО!AU630=1,ЦТО!AV630=1,ЦТО!AX630=1),"Положительная",IF(OR(ЦТО!AY630=1,ЦТО!AZ630=1,ЦТО!BA630=1),"Отрицательная",IF(OR(ЦТО!AW630=1),"Инфантильная")))</f>
        <v>0</v>
      </c>
    </row>
    <row r="727" spans="1:9">
      <c r="A727" s="62">
        <f>ЦТО!A631</f>
        <v>0</v>
      </c>
      <c r="B727" s="62">
        <f>ЦТО!B631</f>
        <v>0</v>
      </c>
      <c r="C727" s="67">
        <f>ЦТО!C631</f>
        <v>0</v>
      </c>
      <c r="D727" s="63">
        <f>ЦТО!D631</f>
        <v>0</v>
      </c>
      <c r="E727" s="68">
        <f>SUM(ЦТО!BB631:BI631)</f>
        <v>0</v>
      </c>
      <c r="F727" s="64" t="str">
        <f>IF(E727&lt;10,'вспомогательные данные'!$C$26,IF(E727&lt;19,'вспомогательные данные'!$C$25,'вспомогательные данные'!$C$24))</f>
        <v>положительный</v>
      </c>
      <c r="G727" s="65">
        <f>(18-ЦТО!AM631-ЦТО!AL631)/(18-ЦТО!AL631-ЦТО!AP631)</f>
        <v>1</v>
      </c>
      <c r="H727" s="66" t="str">
        <f>IF(G727&lt;0.51,'вспомогательные данные'!$C$19,IF(G727&lt;0.92,'вспомогательные данные'!$C$20, IF(G727&lt;2,'вспомогательные данные'!$C$21,'вспомогательные данные'!$C$22)))</f>
        <v>оптимальная работоспособность</v>
      </c>
      <c r="I727" s="61" t="b">
        <f>IF(OR(ЦТО!AT631=1,ЦТО!AU631=1,ЦТО!AV631=1,ЦТО!AX631=1),"Положительная",IF(OR(ЦТО!AY631=1,ЦТО!AZ631=1,ЦТО!BA631=1),"Отрицательная",IF(OR(ЦТО!AW631=1),"Инфантильная")))</f>
        <v>0</v>
      </c>
    </row>
    <row r="728" spans="1:9">
      <c r="A728" s="62">
        <f>ЦТО!A632</f>
        <v>0</v>
      </c>
      <c r="B728" s="62">
        <f>ЦТО!B632</f>
        <v>0</v>
      </c>
      <c r="C728" s="67">
        <f>ЦТО!C632</f>
        <v>0</v>
      </c>
      <c r="D728" s="63">
        <f>ЦТО!D632</f>
        <v>0</v>
      </c>
      <c r="E728" s="68">
        <f>SUM(ЦТО!BB632:BI632)</f>
        <v>0</v>
      </c>
      <c r="F728" s="64" t="str">
        <f>IF(E728&lt;10,'вспомогательные данные'!$C$26,IF(E728&lt;19,'вспомогательные данные'!$C$25,'вспомогательные данные'!$C$24))</f>
        <v>положительный</v>
      </c>
      <c r="G728" s="65">
        <f>(18-ЦТО!AM632-ЦТО!AL632)/(18-ЦТО!AL632-ЦТО!AP632)</f>
        <v>1</v>
      </c>
      <c r="H728" s="66" t="str">
        <f>IF(G728&lt;0.51,'вспомогательные данные'!$C$19,IF(G728&lt;0.92,'вспомогательные данные'!$C$20, IF(G728&lt;2,'вспомогательные данные'!$C$21,'вспомогательные данные'!$C$22)))</f>
        <v>оптимальная работоспособность</v>
      </c>
      <c r="I728" s="61" t="b">
        <f>IF(OR(ЦТО!AT632=1,ЦТО!AU632=1,ЦТО!AV632=1,ЦТО!AX632=1),"Положительная",IF(OR(ЦТО!AY632=1,ЦТО!AZ632=1,ЦТО!BA632=1),"Отрицательная",IF(OR(ЦТО!AW632=1),"Инфантильная")))</f>
        <v>0</v>
      </c>
    </row>
    <row r="729" spans="1:9">
      <c r="A729" s="62">
        <f>ЦТО!A633</f>
        <v>0</v>
      </c>
      <c r="B729" s="62">
        <f>ЦТО!B633</f>
        <v>0</v>
      </c>
      <c r="C729" s="67">
        <f>ЦТО!C633</f>
        <v>0</v>
      </c>
      <c r="D729" s="63">
        <f>ЦТО!D633</f>
        <v>0</v>
      </c>
      <c r="E729" s="68">
        <f>SUM(ЦТО!BB633:BI633)</f>
        <v>0</v>
      </c>
      <c r="F729" s="64" t="str">
        <f>IF(E729&lt;10,'вспомогательные данные'!$C$26,IF(E729&lt;19,'вспомогательные данные'!$C$25,'вспомогательные данные'!$C$24))</f>
        <v>положительный</v>
      </c>
      <c r="G729" s="65">
        <f>(18-ЦТО!AM633-ЦТО!AL633)/(18-ЦТО!AL633-ЦТО!AP633)</f>
        <v>1</v>
      </c>
      <c r="H729" s="66" t="str">
        <f>IF(G729&lt;0.51,'вспомогательные данные'!$C$19,IF(G729&lt;0.92,'вспомогательные данные'!$C$20, IF(G729&lt;2,'вспомогательные данные'!$C$21,'вспомогательные данные'!$C$22)))</f>
        <v>оптимальная работоспособность</v>
      </c>
      <c r="I729" s="61" t="b">
        <f>IF(OR(ЦТО!AT633=1,ЦТО!AU633=1,ЦТО!AV633=1,ЦТО!AX633=1),"Положительная",IF(OR(ЦТО!AY633=1,ЦТО!AZ633=1,ЦТО!BA633=1),"Отрицательная",IF(OR(ЦТО!AW633=1),"Инфантильная")))</f>
        <v>0</v>
      </c>
    </row>
    <row r="730" spans="1:9">
      <c r="A730" s="62">
        <f>ЦТО!A634</f>
        <v>0</v>
      </c>
      <c r="B730" s="62">
        <f>ЦТО!B634</f>
        <v>0</v>
      </c>
      <c r="C730" s="67">
        <f>ЦТО!C634</f>
        <v>0</v>
      </c>
      <c r="D730" s="63">
        <f>ЦТО!D634</f>
        <v>0</v>
      </c>
      <c r="E730" s="68">
        <f>SUM(ЦТО!BB634:BI634)</f>
        <v>0</v>
      </c>
      <c r="F730" s="64" t="str">
        <f>IF(E730&lt;10,'вспомогательные данные'!$C$26,IF(E730&lt;19,'вспомогательные данные'!$C$25,'вспомогательные данные'!$C$24))</f>
        <v>положительный</v>
      </c>
      <c r="G730" s="65">
        <f>(18-ЦТО!AM634-ЦТО!AL634)/(18-ЦТО!AL634-ЦТО!AP634)</f>
        <v>1</v>
      </c>
      <c r="H730" s="66" t="str">
        <f>IF(G730&lt;0.51,'вспомогательные данные'!$C$19,IF(G730&lt;0.92,'вспомогательные данные'!$C$20, IF(G730&lt;2,'вспомогательные данные'!$C$21,'вспомогательные данные'!$C$22)))</f>
        <v>оптимальная работоспособность</v>
      </c>
      <c r="I730" s="61" t="b">
        <f>IF(OR(ЦТО!AT634=1,ЦТО!AU634=1,ЦТО!AV634=1,ЦТО!AX634=1),"Положительная",IF(OR(ЦТО!AY634=1,ЦТО!AZ634=1,ЦТО!BA634=1),"Отрицательная",IF(OR(ЦТО!AW634=1),"Инфантильная")))</f>
        <v>0</v>
      </c>
    </row>
    <row r="731" spans="1:9">
      <c r="A731" s="62">
        <f>ЦТО!A635</f>
        <v>0</v>
      </c>
      <c r="B731" s="62">
        <f>ЦТО!B635</f>
        <v>0</v>
      </c>
      <c r="C731" s="67">
        <f>ЦТО!C635</f>
        <v>0</v>
      </c>
      <c r="D731" s="63">
        <f>ЦТО!D635</f>
        <v>0</v>
      </c>
      <c r="E731" s="68">
        <f>SUM(ЦТО!BB635:BI635)</f>
        <v>0</v>
      </c>
      <c r="F731" s="64" t="str">
        <f>IF(E731&lt;10,'вспомогательные данные'!$C$26,IF(E731&lt;19,'вспомогательные данные'!$C$25,'вспомогательные данные'!$C$24))</f>
        <v>положительный</v>
      </c>
      <c r="G731" s="65">
        <f>(18-ЦТО!AM635-ЦТО!AL635)/(18-ЦТО!AL635-ЦТО!AP635)</f>
        <v>1</v>
      </c>
      <c r="H731" s="66" t="str">
        <f>IF(G731&lt;0.51,'вспомогательные данные'!$C$19,IF(G731&lt;0.92,'вспомогательные данные'!$C$20, IF(G731&lt;2,'вспомогательные данные'!$C$21,'вспомогательные данные'!$C$22)))</f>
        <v>оптимальная работоспособность</v>
      </c>
      <c r="I731" s="61" t="b">
        <f>IF(OR(ЦТО!AT635=1,ЦТО!AU635=1,ЦТО!AV635=1,ЦТО!AX635=1),"Положительная",IF(OR(ЦТО!AY635=1,ЦТО!AZ635=1,ЦТО!BA635=1),"Отрицательная",IF(OR(ЦТО!AW635=1),"Инфантильная")))</f>
        <v>0</v>
      </c>
    </row>
    <row r="732" spans="1:9">
      <c r="A732" s="62">
        <f>ЦТО!A636</f>
        <v>0</v>
      </c>
      <c r="B732" s="62">
        <f>ЦТО!B636</f>
        <v>0</v>
      </c>
      <c r="C732" s="67">
        <f>ЦТО!C636</f>
        <v>0</v>
      </c>
      <c r="D732" s="63">
        <f>ЦТО!D636</f>
        <v>0</v>
      </c>
      <c r="E732" s="68">
        <f>SUM(ЦТО!BB636:BI636)</f>
        <v>0</v>
      </c>
      <c r="F732" s="64" t="str">
        <f>IF(E732&lt;10,'вспомогательные данные'!$C$26,IF(E732&lt;19,'вспомогательные данные'!$C$25,'вспомогательные данные'!$C$24))</f>
        <v>положительный</v>
      </c>
      <c r="G732" s="65">
        <f>(18-ЦТО!AM636-ЦТО!AL636)/(18-ЦТО!AL636-ЦТО!AP636)</f>
        <v>1</v>
      </c>
      <c r="H732" s="66" t="str">
        <f>IF(G732&lt;0.51,'вспомогательные данные'!$C$19,IF(G732&lt;0.92,'вспомогательные данные'!$C$20, IF(G732&lt;2,'вспомогательные данные'!$C$21,'вспомогательные данные'!$C$22)))</f>
        <v>оптимальная работоспособность</v>
      </c>
      <c r="I732" s="61" t="b">
        <f>IF(OR(ЦТО!AT636=1,ЦТО!AU636=1,ЦТО!AV636=1,ЦТО!AX636=1),"Положительная",IF(OR(ЦТО!AY636=1,ЦТО!AZ636=1,ЦТО!BA636=1),"Отрицательная",IF(OR(ЦТО!AW636=1),"Инфантильная")))</f>
        <v>0</v>
      </c>
    </row>
    <row r="733" spans="1:9">
      <c r="A733" s="62">
        <f>ЦТО!A637</f>
        <v>0</v>
      </c>
      <c r="B733" s="62">
        <f>ЦТО!B637</f>
        <v>0</v>
      </c>
      <c r="C733" s="67">
        <f>ЦТО!C637</f>
        <v>0</v>
      </c>
      <c r="D733" s="63">
        <f>ЦТО!D637</f>
        <v>0</v>
      </c>
      <c r="E733" s="68">
        <f>SUM(ЦТО!BB637:BI637)</f>
        <v>0</v>
      </c>
      <c r="F733" s="64" t="str">
        <f>IF(E733&lt;10,'вспомогательные данные'!$C$26,IF(E733&lt;19,'вспомогательные данные'!$C$25,'вспомогательные данные'!$C$24))</f>
        <v>положительный</v>
      </c>
      <c r="G733" s="65">
        <f>(18-ЦТО!AM637-ЦТО!AL637)/(18-ЦТО!AL637-ЦТО!AP637)</f>
        <v>1</v>
      </c>
      <c r="H733" s="66" t="str">
        <f>IF(G733&lt;0.51,'вспомогательные данные'!$C$19,IF(G733&lt;0.92,'вспомогательные данные'!$C$20, IF(G733&lt;2,'вспомогательные данные'!$C$21,'вспомогательные данные'!$C$22)))</f>
        <v>оптимальная работоспособность</v>
      </c>
      <c r="I733" s="61" t="b">
        <f>IF(OR(ЦТО!AT637=1,ЦТО!AU637=1,ЦТО!AV637=1,ЦТО!AX637=1),"Положительная",IF(OR(ЦТО!AY637=1,ЦТО!AZ637=1,ЦТО!BA637=1),"Отрицательная",IF(OR(ЦТО!AW637=1),"Инфантильная")))</f>
        <v>0</v>
      </c>
    </row>
    <row r="734" spans="1:9">
      <c r="A734" s="62">
        <f>ЦТО!A638</f>
        <v>0</v>
      </c>
      <c r="B734" s="62">
        <f>ЦТО!B638</f>
        <v>0</v>
      </c>
      <c r="C734" s="67">
        <f>ЦТО!C638</f>
        <v>0</v>
      </c>
      <c r="D734" s="63">
        <f>ЦТО!D638</f>
        <v>0</v>
      </c>
      <c r="E734" s="68">
        <f>SUM(ЦТО!BB638:BI638)</f>
        <v>0</v>
      </c>
      <c r="F734" s="64" t="str">
        <f>IF(E734&lt;10,'вспомогательные данные'!$C$26,IF(E734&lt;19,'вспомогательные данные'!$C$25,'вспомогательные данные'!$C$24))</f>
        <v>положительный</v>
      </c>
      <c r="G734" s="65">
        <f>(18-ЦТО!AM638-ЦТО!AL638)/(18-ЦТО!AL638-ЦТО!AP638)</f>
        <v>1</v>
      </c>
      <c r="H734" s="66" t="str">
        <f>IF(G734&lt;0.51,'вспомогательные данные'!$C$19,IF(G734&lt;0.92,'вспомогательные данные'!$C$20, IF(G734&lt;2,'вспомогательные данные'!$C$21,'вспомогательные данные'!$C$22)))</f>
        <v>оптимальная работоспособность</v>
      </c>
      <c r="I734" s="61" t="b">
        <f>IF(OR(ЦТО!AT638=1,ЦТО!AU638=1,ЦТО!AV638=1,ЦТО!AX638=1),"Положительная",IF(OR(ЦТО!AY638=1,ЦТО!AZ638=1,ЦТО!BA638=1),"Отрицательная",IF(OR(ЦТО!AW638=1),"Инфантильная")))</f>
        <v>0</v>
      </c>
    </row>
    <row r="735" spans="1:9">
      <c r="A735" s="62">
        <f>ЦТО!A639</f>
        <v>0</v>
      </c>
      <c r="B735" s="62">
        <f>ЦТО!B639</f>
        <v>0</v>
      </c>
      <c r="C735" s="67">
        <f>ЦТО!C639</f>
        <v>0</v>
      </c>
      <c r="D735" s="63">
        <f>ЦТО!D639</f>
        <v>0</v>
      </c>
      <c r="E735" s="68">
        <f>SUM(ЦТО!BB639:BI639)</f>
        <v>0</v>
      </c>
      <c r="F735" s="64" t="str">
        <f>IF(E735&lt;10,'вспомогательные данные'!$C$26,IF(E735&lt;19,'вспомогательные данные'!$C$25,'вспомогательные данные'!$C$24))</f>
        <v>положительный</v>
      </c>
      <c r="G735" s="65">
        <f>(18-ЦТО!AM639-ЦТО!AL639)/(18-ЦТО!AL639-ЦТО!AP639)</f>
        <v>1</v>
      </c>
      <c r="H735" s="66" t="str">
        <f>IF(G735&lt;0.51,'вспомогательные данные'!$C$19,IF(G735&lt;0.92,'вспомогательные данные'!$C$20, IF(G735&lt;2,'вспомогательные данные'!$C$21,'вспомогательные данные'!$C$22)))</f>
        <v>оптимальная работоспособность</v>
      </c>
      <c r="I735" s="61" t="b">
        <f>IF(OR(ЦТО!AT639=1,ЦТО!AU639=1,ЦТО!AV639=1,ЦТО!AX639=1),"Положительная",IF(OR(ЦТО!AY639=1,ЦТО!AZ639=1,ЦТО!BA639=1),"Отрицательная",IF(OR(ЦТО!AW639=1),"Инфантильная")))</f>
        <v>0</v>
      </c>
    </row>
    <row r="736" spans="1:9">
      <c r="A736" s="62">
        <f>ЦТО!A640</f>
        <v>0</v>
      </c>
      <c r="B736" s="62">
        <f>ЦТО!B640</f>
        <v>0</v>
      </c>
      <c r="C736" s="67">
        <f>ЦТО!C640</f>
        <v>0</v>
      </c>
      <c r="D736" s="63">
        <f>ЦТО!D640</f>
        <v>0</v>
      </c>
      <c r="E736" s="68">
        <f>SUM(ЦТО!BB640:BI640)</f>
        <v>0</v>
      </c>
      <c r="F736" s="64" t="str">
        <f>IF(E736&lt;10,'вспомогательные данные'!$C$26,IF(E736&lt;19,'вспомогательные данные'!$C$25,'вспомогательные данные'!$C$24))</f>
        <v>положительный</v>
      </c>
      <c r="G736" s="65">
        <f>(18-ЦТО!AM640-ЦТО!AL640)/(18-ЦТО!AL640-ЦТО!AP640)</f>
        <v>1</v>
      </c>
      <c r="H736" s="66" t="str">
        <f>IF(G736&lt;0.51,'вспомогательные данные'!$C$19,IF(G736&lt;0.92,'вспомогательные данные'!$C$20, IF(G736&lt;2,'вспомогательные данные'!$C$21,'вспомогательные данные'!$C$22)))</f>
        <v>оптимальная работоспособность</v>
      </c>
      <c r="I736" s="61" t="b">
        <f>IF(OR(ЦТО!AT640=1,ЦТО!AU640=1,ЦТО!AV640=1,ЦТО!AX640=1),"Положительная",IF(OR(ЦТО!AY640=1,ЦТО!AZ640=1,ЦТО!BA640=1),"Отрицательная",IF(OR(ЦТО!AW640=1),"Инфантильная")))</f>
        <v>0</v>
      </c>
    </row>
    <row r="737" spans="1:9">
      <c r="A737" s="62">
        <f>ЦТО!A641</f>
        <v>0</v>
      </c>
      <c r="B737" s="62">
        <f>ЦТО!B641</f>
        <v>0</v>
      </c>
      <c r="C737" s="67">
        <f>ЦТО!C641</f>
        <v>0</v>
      </c>
      <c r="D737" s="63">
        <f>ЦТО!D641</f>
        <v>0</v>
      </c>
      <c r="E737" s="68">
        <f>SUM(ЦТО!BB641:BI641)</f>
        <v>0</v>
      </c>
      <c r="F737" s="64" t="str">
        <f>IF(E737&lt;10,'вспомогательные данные'!$C$26,IF(E737&lt;19,'вспомогательные данные'!$C$25,'вспомогательные данные'!$C$24))</f>
        <v>положительный</v>
      </c>
      <c r="G737" s="65">
        <f>(18-ЦТО!AM641-ЦТО!AL641)/(18-ЦТО!AL641-ЦТО!AP641)</f>
        <v>1</v>
      </c>
      <c r="H737" s="66" t="str">
        <f>IF(G737&lt;0.51,'вспомогательные данные'!$C$19,IF(G737&lt;0.92,'вспомогательные данные'!$C$20, IF(G737&lt;2,'вспомогательные данные'!$C$21,'вспомогательные данные'!$C$22)))</f>
        <v>оптимальная работоспособность</v>
      </c>
      <c r="I737" s="61" t="b">
        <f>IF(OR(ЦТО!AT641=1,ЦТО!AU641=1,ЦТО!AV641=1,ЦТО!AX641=1),"Положительная",IF(OR(ЦТО!AY641=1,ЦТО!AZ641=1,ЦТО!BA641=1),"Отрицательная",IF(OR(ЦТО!AW641=1),"Инфантильная")))</f>
        <v>0</v>
      </c>
    </row>
    <row r="738" spans="1:9">
      <c r="A738" s="62">
        <f>ЦТО!A642</f>
        <v>0</v>
      </c>
      <c r="B738" s="62">
        <f>ЦТО!B642</f>
        <v>0</v>
      </c>
      <c r="C738" s="67">
        <f>ЦТО!C642</f>
        <v>0</v>
      </c>
      <c r="D738" s="63">
        <f>ЦТО!D642</f>
        <v>0</v>
      </c>
      <c r="E738" s="68">
        <f>SUM(ЦТО!BB642:BI642)</f>
        <v>0</v>
      </c>
      <c r="F738" s="64" t="str">
        <f>IF(E738&lt;10,'вспомогательные данные'!$C$26,IF(E738&lt;19,'вспомогательные данные'!$C$25,'вспомогательные данные'!$C$24))</f>
        <v>положительный</v>
      </c>
      <c r="G738" s="65">
        <f>(18-ЦТО!AM642-ЦТО!AL642)/(18-ЦТО!AL642-ЦТО!AP642)</f>
        <v>1</v>
      </c>
      <c r="H738" s="66" t="str">
        <f>IF(G738&lt;0.51,'вспомогательные данные'!$C$19,IF(G738&lt;0.92,'вспомогательные данные'!$C$20, IF(G738&lt;2,'вспомогательные данные'!$C$21,'вспомогательные данные'!$C$22)))</f>
        <v>оптимальная работоспособность</v>
      </c>
      <c r="I738" s="61" t="b">
        <f>IF(OR(ЦТО!AT642=1,ЦТО!AU642=1,ЦТО!AV642=1,ЦТО!AX642=1),"Положительная",IF(OR(ЦТО!AY642=1,ЦТО!AZ642=1,ЦТО!BA642=1),"Отрицательная",IF(OR(ЦТО!AW642=1),"Инфантильная")))</f>
        <v>0</v>
      </c>
    </row>
    <row r="739" spans="1:9">
      <c r="A739" s="62">
        <f>ЦТО!A643</f>
        <v>0</v>
      </c>
      <c r="B739" s="62">
        <f>ЦТО!B643</f>
        <v>0</v>
      </c>
      <c r="C739" s="67">
        <f>ЦТО!C643</f>
        <v>0</v>
      </c>
      <c r="D739" s="63">
        <f>ЦТО!D643</f>
        <v>0</v>
      </c>
      <c r="E739" s="68">
        <f>SUM(ЦТО!BB643:BI643)</f>
        <v>0</v>
      </c>
      <c r="F739" s="64" t="str">
        <f>IF(E739&lt;10,'вспомогательные данные'!$C$26,IF(E739&lt;19,'вспомогательные данные'!$C$25,'вспомогательные данные'!$C$24))</f>
        <v>положительный</v>
      </c>
      <c r="G739" s="65">
        <f>(18-ЦТО!AM643-ЦТО!AL643)/(18-ЦТО!AL643-ЦТО!AP643)</f>
        <v>1</v>
      </c>
      <c r="H739" s="66" t="str">
        <f>IF(G739&lt;0.51,'вспомогательные данные'!$C$19,IF(G739&lt;0.92,'вспомогательные данные'!$C$20, IF(G739&lt;2,'вспомогательные данные'!$C$21,'вспомогательные данные'!$C$22)))</f>
        <v>оптимальная работоспособность</v>
      </c>
      <c r="I739" s="61" t="b">
        <f>IF(OR(ЦТО!AT643=1,ЦТО!AU643=1,ЦТО!AV643=1,ЦТО!AX643=1),"Положительная",IF(OR(ЦТО!AY643=1,ЦТО!AZ643=1,ЦТО!BA643=1),"Отрицательная",IF(OR(ЦТО!AW643=1),"Инфантильная")))</f>
        <v>0</v>
      </c>
    </row>
    <row r="740" spans="1:9">
      <c r="A740" s="62">
        <f>ЦТО!A644</f>
        <v>0</v>
      </c>
      <c r="B740" s="62">
        <f>ЦТО!B644</f>
        <v>0</v>
      </c>
      <c r="C740" s="67">
        <f>ЦТО!C644</f>
        <v>0</v>
      </c>
      <c r="D740" s="63">
        <f>ЦТО!D644</f>
        <v>0</v>
      </c>
      <c r="E740" s="68">
        <f>SUM(ЦТО!BB644:BI644)</f>
        <v>0</v>
      </c>
      <c r="F740" s="64" t="str">
        <f>IF(E740&lt;10,'вспомогательные данные'!$C$26,IF(E740&lt;19,'вспомогательные данные'!$C$25,'вспомогательные данные'!$C$24))</f>
        <v>положительный</v>
      </c>
      <c r="G740" s="65">
        <f>(18-ЦТО!AM644-ЦТО!AL644)/(18-ЦТО!AL644-ЦТО!AP644)</f>
        <v>1</v>
      </c>
      <c r="H740" s="66" t="str">
        <f>IF(G740&lt;0.51,'вспомогательные данные'!$C$19,IF(G740&lt;0.92,'вспомогательные данные'!$C$20, IF(G740&lt;2,'вспомогательные данные'!$C$21,'вспомогательные данные'!$C$22)))</f>
        <v>оптимальная работоспособность</v>
      </c>
      <c r="I740" s="61" t="b">
        <f>IF(OR(ЦТО!AT644=1,ЦТО!AU644=1,ЦТО!AV644=1,ЦТО!AX644=1),"Положительная",IF(OR(ЦТО!AY644=1,ЦТО!AZ644=1,ЦТО!BA644=1),"Отрицательная",IF(OR(ЦТО!AW644=1),"Инфантильная")))</f>
        <v>0</v>
      </c>
    </row>
    <row r="741" spans="1:9">
      <c r="A741" s="62">
        <f>ЦТО!A645</f>
        <v>0</v>
      </c>
      <c r="B741" s="62">
        <f>ЦТО!B645</f>
        <v>0</v>
      </c>
      <c r="C741" s="67">
        <f>ЦТО!C645</f>
        <v>0</v>
      </c>
      <c r="D741" s="63">
        <f>ЦТО!D645</f>
        <v>0</v>
      </c>
      <c r="E741" s="68">
        <f>SUM(ЦТО!BB645:BI645)</f>
        <v>0</v>
      </c>
      <c r="F741" s="64" t="str">
        <f>IF(E741&lt;10,'вспомогательные данные'!$C$26,IF(E741&lt;19,'вспомогательные данные'!$C$25,'вспомогательные данные'!$C$24))</f>
        <v>положительный</v>
      </c>
      <c r="G741" s="65">
        <f>(18-ЦТО!AM645-ЦТО!AL645)/(18-ЦТО!AL645-ЦТО!AP645)</f>
        <v>1</v>
      </c>
      <c r="H741" s="66" t="str">
        <f>IF(G741&lt;0.51,'вспомогательные данные'!$C$19,IF(G741&lt;0.92,'вспомогательные данные'!$C$20, IF(G741&lt;2,'вспомогательные данные'!$C$21,'вспомогательные данные'!$C$22)))</f>
        <v>оптимальная работоспособность</v>
      </c>
      <c r="I741" s="61" t="b">
        <f>IF(OR(ЦТО!AT645=1,ЦТО!AU645=1,ЦТО!AV645=1,ЦТО!AX645=1),"Положительная",IF(OR(ЦТО!AY645=1,ЦТО!AZ645=1,ЦТО!BA645=1),"Отрицательная",IF(OR(ЦТО!AW645=1),"Инфантильная")))</f>
        <v>0</v>
      </c>
    </row>
    <row r="742" spans="1:9">
      <c r="A742" s="62">
        <f>ЦТО!A646</f>
        <v>0</v>
      </c>
      <c r="B742" s="62">
        <f>ЦТО!B646</f>
        <v>0</v>
      </c>
      <c r="C742" s="67">
        <f>ЦТО!C646</f>
        <v>0</v>
      </c>
      <c r="D742" s="63">
        <f>ЦТО!D646</f>
        <v>0</v>
      </c>
      <c r="E742" s="68">
        <f>SUM(ЦТО!BB646:BI646)</f>
        <v>0</v>
      </c>
      <c r="F742" s="64" t="str">
        <f>IF(E742&lt;10,'вспомогательные данные'!$C$26,IF(E742&lt;19,'вспомогательные данные'!$C$25,'вспомогательные данные'!$C$24))</f>
        <v>положительный</v>
      </c>
      <c r="G742" s="65">
        <f>(18-ЦТО!AM646-ЦТО!AL646)/(18-ЦТО!AL646-ЦТО!AP646)</f>
        <v>1</v>
      </c>
      <c r="H742" s="66" t="str">
        <f>IF(G742&lt;0.51,'вспомогательные данные'!$C$19,IF(G742&lt;0.92,'вспомогательные данные'!$C$20, IF(G742&lt;2,'вспомогательные данные'!$C$21,'вспомогательные данные'!$C$22)))</f>
        <v>оптимальная работоспособность</v>
      </c>
      <c r="I742" s="61" t="b">
        <f>IF(OR(ЦТО!AT646=1,ЦТО!AU646=1,ЦТО!AV646=1,ЦТО!AX646=1),"Положительная",IF(OR(ЦТО!AY646=1,ЦТО!AZ646=1,ЦТО!BA646=1),"Отрицательная",IF(OR(ЦТО!AW646=1),"Инфантильная")))</f>
        <v>0</v>
      </c>
    </row>
    <row r="743" spans="1:9">
      <c r="A743" s="62">
        <f>ЦТО!A647</f>
        <v>0</v>
      </c>
      <c r="B743" s="62">
        <f>ЦТО!B647</f>
        <v>0</v>
      </c>
      <c r="C743" s="67">
        <f>ЦТО!C647</f>
        <v>0</v>
      </c>
      <c r="D743" s="63">
        <f>ЦТО!D647</f>
        <v>0</v>
      </c>
      <c r="E743" s="68">
        <f>SUM(ЦТО!BB647:BI647)</f>
        <v>0</v>
      </c>
      <c r="F743" s="64" t="str">
        <f>IF(E743&lt;10,'вспомогательные данные'!$C$26,IF(E743&lt;19,'вспомогательные данные'!$C$25,'вспомогательные данные'!$C$24))</f>
        <v>положительный</v>
      </c>
      <c r="G743" s="65">
        <f>(18-ЦТО!AM647-ЦТО!AL647)/(18-ЦТО!AL647-ЦТО!AP647)</f>
        <v>1</v>
      </c>
      <c r="H743" s="66" t="str">
        <f>IF(G743&lt;0.51,'вспомогательные данные'!$C$19,IF(G743&lt;0.92,'вспомогательные данные'!$C$20, IF(G743&lt;2,'вспомогательные данные'!$C$21,'вспомогательные данные'!$C$22)))</f>
        <v>оптимальная работоспособность</v>
      </c>
      <c r="I743" s="61" t="b">
        <f>IF(OR(ЦТО!AT647=1,ЦТО!AU647=1,ЦТО!AV647=1,ЦТО!AX647=1),"Положительная",IF(OR(ЦТО!AY647=1,ЦТО!AZ647=1,ЦТО!BA647=1),"Отрицательная",IF(OR(ЦТО!AW647=1),"Инфантильная")))</f>
        <v>0</v>
      </c>
    </row>
    <row r="744" spans="1:9">
      <c r="A744" s="62">
        <f>ЦТО!A648</f>
        <v>0</v>
      </c>
      <c r="B744" s="62">
        <f>ЦТО!B648</f>
        <v>0</v>
      </c>
      <c r="C744" s="67">
        <f>ЦТО!C648</f>
        <v>0</v>
      </c>
      <c r="D744" s="63">
        <f>ЦТО!D648</f>
        <v>0</v>
      </c>
      <c r="E744" s="68">
        <f>SUM(ЦТО!BB648:BI648)</f>
        <v>0</v>
      </c>
      <c r="F744" s="64" t="str">
        <f>IF(E744&lt;10,'вспомогательные данные'!$C$26,IF(E744&lt;19,'вспомогательные данные'!$C$25,'вспомогательные данные'!$C$24))</f>
        <v>положительный</v>
      </c>
      <c r="G744" s="65">
        <f>(18-ЦТО!AM648-ЦТО!AL648)/(18-ЦТО!AL648-ЦТО!AP648)</f>
        <v>1</v>
      </c>
      <c r="H744" s="66" t="str">
        <f>IF(G744&lt;0.51,'вспомогательные данные'!$C$19,IF(G744&lt;0.92,'вспомогательные данные'!$C$20, IF(G744&lt;2,'вспомогательные данные'!$C$21,'вспомогательные данные'!$C$22)))</f>
        <v>оптимальная работоспособность</v>
      </c>
      <c r="I744" s="61" t="b">
        <f>IF(OR(ЦТО!AT648=1,ЦТО!AU648=1,ЦТО!AV648=1,ЦТО!AX648=1),"Положительная",IF(OR(ЦТО!AY648=1,ЦТО!AZ648=1,ЦТО!BA648=1),"Отрицательная",IF(OR(ЦТО!AW648=1),"Инфантильная")))</f>
        <v>0</v>
      </c>
    </row>
    <row r="745" spans="1:9">
      <c r="A745" s="62">
        <f>ЦТО!A649</f>
        <v>0</v>
      </c>
      <c r="B745" s="62">
        <f>ЦТО!B649</f>
        <v>0</v>
      </c>
      <c r="C745" s="67">
        <f>ЦТО!C649</f>
        <v>0</v>
      </c>
      <c r="D745" s="63">
        <f>ЦТО!D649</f>
        <v>0</v>
      </c>
      <c r="E745" s="68">
        <f>SUM(ЦТО!BB649:BI649)</f>
        <v>0</v>
      </c>
      <c r="F745" s="64" t="str">
        <f>IF(E745&lt;10,'вспомогательные данные'!$C$26,IF(E745&lt;19,'вспомогательные данные'!$C$25,'вспомогательные данные'!$C$24))</f>
        <v>положительный</v>
      </c>
      <c r="G745" s="65">
        <f>(18-ЦТО!AM649-ЦТО!AL649)/(18-ЦТО!AL649-ЦТО!AP649)</f>
        <v>1</v>
      </c>
      <c r="H745" s="66" t="str">
        <f>IF(G745&lt;0.51,'вспомогательные данные'!$C$19,IF(G745&lt;0.92,'вспомогательные данные'!$C$20, IF(G745&lt;2,'вспомогательные данные'!$C$21,'вспомогательные данные'!$C$22)))</f>
        <v>оптимальная работоспособность</v>
      </c>
      <c r="I745" s="61" t="b">
        <f>IF(OR(ЦТО!AT649=1,ЦТО!AU649=1,ЦТО!AV649=1,ЦТО!AX649=1),"Положительная",IF(OR(ЦТО!AY649=1,ЦТО!AZ649=1,ЦТО!BA649=1),"Отрицательная",IF(OR(ЦТО!AW649=1),"Инфантильная")))</f>
        <v>0</v>
      </c>
    </row>
    <row r="746" spans="1:9">
      <c r="A746" s="62">
        <f>ЦТО!A650</f>
        <v>0</v>
      </c>
      <c r="B746" s="62">
        <f>ЦТО!B650</f>
        <v>0</v>
      </c>
      <c r="C746" s="67">
        <f>ЦТО!C650</f>
        <v>0</v>
      </c>
      <c r="D746" s="63">
        <f>ЦТО!D650</f>
        <v>0</v>
      </c>
      <c r="E746" s="68">
        <f>SUM(ЦТО!BB650:BI650)</f>
        <v>0</v>
      </c>
      <c r="F746" s="64" t="str">
        <f>IF(E746&lt;10,'вспомогательные данные'!$C$26,IF(E746&lt;19,'вспомогательные данные'!$C$25,'вспомогательные данные'!$C$24))</f>
        <v>положительный</v>
      </c>
      <c r="G746" s="65">
        <f>(18-ЦТО!AM650-ЦТО!AL650)/(18-ЦТО!AL650-ЦТО!AP650)</f>
        <v>1</v>
      </c>
      <c r="H746" s="66" t="str">
        <f>IF(G746&lt;0.51,'вспомогательные данные'!$C$19,IF(G746&lt;0.92,'вспомогательные данные'!$C$20, IF(G746&lt;2,'вспомогательные данные'!$C$21,'вспомогательные данные'!$C$22)))</f>
        <v>оптимальная работоспособность</v>
      </c>
      <c r="I746" s="61" t="b">
        <f>IF(OR(ЦТО!AT650=1,ЦТО!AU650=1,ЦТО!AV650=1,ЦТО!AX650=1),"Положительная",IF(OR(ЦТО!AY650=1,ЦТО!AZ650=1,ЦТО!BA650=1),"Отрицательная",IF(OR(ЦТО!AW650=1),"Инфантильная")))</f>
        <v>0</v>
      </c>
    </row>
    <row r="747" spans="1:9">
      <c r="A747" s="62">
        <f>ЦТО!A651</f>
        <v>0</v>
      </c>
      <c r="B747" s="62">
        <f>ЦТО!B651</f>
        <v>0</v>
      </c>
      <c r="C747" s="67">
        <f>ЦТО!C651</f>
        <v>0</v>
      </c>
      <c r="D747" s="63">
        <f>ЦТО!D651</f>
        <v>0</v>
      </c>
      <c r="E747" s="68">
        <f>SUM(ЦТО!BB651:BI651)</f>
        <v>0</v>
      </c>
      <c r="F747" s="64" t="str">
        <f>IF(E747&lt;10,'вспомогательные данные'!$C$26,IF(E747&lt;19,'вспомогательные данные'!$C$25,'вспомогательные данные'!$C$24))</f>
        <v>положительный</v>
      </c>
      <c r="G747" s="65">
        <f>(18-ЦТО!AM651-ЦТО!AL651)/(18-ЦТО!AL651-ЦТО!AP651)</f>
        <v>1</v>
      </c>
      <c r="H747" s="66" t="str">
        <f>IF(G747&lt;0.51,'вспомогательные данные'!$C$19,IF(G747&lt;0.92,'вспомогательные данные'!$C$20, IF(G747&lt;2,'вспомогательные данные'!$C$21,'вспомогательные данные'!$C$22)))</f>
        <v>оптимальная работоспособность</v>
      </c>
      <c r="I747" s="61" t="b">
        <f>IF(OR(ЦТО!AT651=1,ЦТО!AU651=1,ЦТО!AV651=1,ЦТО!AX651=1),"Положительная",IF(OR(ЦТО!AY651=1,ЦТО!AZ651=1,ЦТО!BA651=1),"Отрицательная",IF(OR(ЦТО!AW651=1),"Инфантильная")))</f>
        <v>0</v>
      </c>
    </row>
    <row r="748" spans="1:9">
      <c r="A748" s="62">
        <f>ЦТО!A652</f>
        <v>0</v>
      </c>
      <c r="B748" s="62">
        <f>ЦТО!B652</f>
        <v>0</v>
      </c>
      <c r="C748" s="67">
        <f>ЦТО!C652</f>
        <v>0</v>
      </c>
      <c r="D748" s="63">
        <f>ЦТО!D652</f>
        <v>0</v>
      </c>
      <c r="E748" s="68">
        <f>SUM(ЦТО!BB652:BI652)</f>
        <v>0</v>
      </c>
      <c r="F748" s="64" t="str">
        <f>IF(E748&lt;10,'вспомогательные данные'!$C$26,IF(E748&lt;19,'вспомогательные данные'!$C$25,'вспомогательные данные'!$C$24))</f>
        <v>положительный</v>
      </c>
      <c r="G748" s="65">
        <f>(18-ЦТО!AM652-ЦТО!AL652)/(18-ЦТО!AL652-ЦТО!AP652)</f>
        <v>1</v>
      </c>
      <c r="H748" s="66" t="str">
        <f>IF(G748&lt;0.51,'вспомогательные данные'!$C$19,IF(G748&lt;0.92,'вспомогательные данные'!$C$20, IF(G748&lt;2,'вспомогательные данные'!$C$21,'вспомогательные данные'!$C$22)))</f>
        <v>оптимальная работоспособность</v>
      </c>
      <c r="I748" s="61" t="b">
        <f>IF(OR(ЦТО!AT652=1,ЦТО!AU652=1,ЦТО!AV652=1,ЦТО!AX652=1),"Положительная",IF(OR(ЦТО!AY652=1,ЦТО!AZ652=1,ЦТО!BA652=1),"Отрицательная",IF(OR(ЦТО!AW652=1),"Инфантильная")))</f>
        <v>0</v>
      </c>
    </row>
    <row r="749" spans="1:9">
      <c r="A749" s="62">
        <f>ЦТО!A653</f>
        <v>0</v>
      </c>
      <c r="B749" s="62">
        <f>ЦТО!B653</f>
        <v>0</v>
      </c>
      <c r="C749" s="67">
        <f>ЦТО!C653</f>
        <v>0</v>
      </c>
      <c r="D749" s="63">
        <f>ЦТО!D653</f>
        <v>0</v>
      </c>
      <c r="E749" s="68">
        <f>SUM(ЦТО!BB653:BI653)</f>
        <v>0</v>
      </c>
      <c r="F749" s="64" t="str">
        <f>IF(E749&lt;10,'вспомогательные данные'!$C$26,IF(E749&lt;19,'вспомогательные данные'!$C$25,'вспомогательные данные'!$C$24))</f>
        <v>положительный</v>
      </c>
      <c r="G749" s="65">
        <f>(18-ЦТО!AM653-ЦТО!AL653)/(18-ЦТО!AL653-ЦТО!AP653)</f>
        <v>1</v>
      </c>
      <c r="H749" s="66" t="str">
        <f>IF(G749&lt;0.51,'вспомогательные данные'!$C$19,IF(G749&lt;0.92,'вспомогательные данные'!$C$20, IF(G749&lt;2,'вспомогательные данные'!$C$21,'вспомогательные данные'!$C$22)))</f>
        <v>оптимальная работоспособность</v>
      </c>
      <c r="I749" s="61" t="b">
        <f>IF(OR(ЦТО!AT653=1,ЦТО!AU653=1,ЦТО!AV653=1,ЦТО!AX653=1),"Положительная",IF(OR(ЦТО!AY653=1,ЦТО!AZ653=1,ЦТО!BA653=1),"Отрицательная",IF(OR(ЦТО!AW653=1),"Инфантильная")))</f>
        <v>0</v>
      </c>
    </row>
    <row r="750" spans="1:9">
      <c r="A750" s="62">
        <f>ЦТО!A654</f>
        <v>0</v>
      </c>
      <c r="B750" s="62">
        <f>ЦТО!B654</f>
        <v>0</v>
      </c>
      <c r="C750" s="67">
        <f>ЦТО!C654</f>
        <v>0</v>
      </c>
      <c r="D750" s="63">
        <f>ЦТО!D654</f>
        <v>0</v>
      </c>
      <c r="E750" s="68">
        <f>SUM(ЦТО!BB654:BI654)</f>
        <v>0</v>
      </c>
      <c r="F750" s="64" t="str">
        <f>IF(E750&lt;10,'вспомогательные данные'!$C$26,IF(E750&lt;19,'вспомогательные данные'!$C$25,'вспомогательные данные'!$C$24))</f>
        <v>положительный</v>
      </c>
      <c r="G750" s="65">
        <f>(18-ЦТО!AM654-ЦТО!AL654)/(18-ЦТО!AL654-ЦТО!AP654)</f>
        <v>1</v>
      </c>
      <c r="H750" s="66" t="str">
        <f>IF(G750&lt;0.51,'вспомогательные данные'!$C$19,IF(G750&lt;0.92,'вспомогательные данные'!$C$20, IF(G750&lt;2,'вспомогательные данные'!$C$21,'вспомогательные данные'!$C$22)))</f>
        <v>оптимальная работоспособность</v>
      </c>
      <c r="I750" s="61" t="b">
        <f>IF(OR(ЦТО!AT654=1,ЦТО!AU654=1,ЦТО!AV654=1,ЦТО!AX654=1),"Положительная",IF(OR(ЦТО!AY654=1,ЦТО!AZ654=1,ЦТО!BA654=1),"Отрицательная",IF(OR(ЦТО!AW654=1),"Инфантильная")))</f>
        <v>0</v>
      </c>
    </row>
    <row r="751" spans="1:9">
      <c r="A751" s="62">
        <f>ЦТО!A655</f>
        <v>0</v>
      </c>
      <c r="B751" s="62">
        <f>ЦТО!B655</f>
        <v>0</v>
      </c>
      <c r="C751" s="67">
        <f>ЦТО!C655</f>
        <v>0</v>
      </c>
      <c r="D751" s="63">
        <f>ЦТО!D655</f>
        <v>0</v>
      </c>
      <c r="E751" s="68">
        <f>SUM(ЦТО!BB655:BI655)</f>
        <v>0</v>
      </c>
      <c r="F751" s="64" t="str">
        <f>IF(E751&lt;10,'вспомогательные данные'!$C$26,IF(E751&lt;19,'вспомогательные данные'!$C$25,'вспомогательные данные'!$C$24))</f>
        <v>положительный</v>
      </c>
      <c r="G751" s="65">
        <f>(18-ЦТО!AM655-ЦТО!AL655)/(18-ЦТО!AL655-ЦТО!AP655)</f>
        <v>1</v>
      </c>
      <c r="H751" s="66" t="str">
        <f>IF(G751&lt;0.51,'вспомогательные данные'!$C$19,IF(G751&lt;0.92,'вспомогательные данные'!$C$20, IF(G751&lt;2,'вспомогательные данные'!$C$21,'вспомогательные данные'!$C$22)))</f>
        <v>оптимальная работоспособность</v>
      </c>
      <c r="I751" s="61" t="b">
        <f>IF(OR(ЦТО!AT655=1,ЦТО!AU655=1,ЦТО!AV655=1,ЦТО!AX655=1),"Положительная",IF(OR(ЦТО!AY655=1,ЦТО!AZ655=1,ЦТО!BA655=1),"Отрицательная",IF(OR(ЦТО!AW655=1),"Инфантильная")))</f>
        <v>0</v>
      </c>
    </row>
    <row r="752" spans="1:9">
      <c r="A752" s="62">
        <f>ЦТО!A656</f>
        <v>0</v>
      </c>
      <c r="B752" s="62">
        <f>ЦТО!B656</f>
        <v>0</v>
      </c>
      <c r="C752" s="67">
        <f>ЦТО!C656</f>
        <v>0</v>
      </c>
      <c r="D752" s="63">
        <f>ЦТО!D656</f>
        <v>0</v>
      </c>
      <c r="E752" s="68">
        <f>SUM(ЦТО!BB656:BI656)</f>
        <v>0</v>
      </c>
      <c r="F752" s="64" t="str">
        <f>IF(E752&lt;10,'вспомогательные данные'!$C$26,IF(E752&lt;19,'вспомогательные данные'!$C$25,'вспомогательные данные'!$C$24))</f>
        <v>положительный</v>
      </c>
      <c r="G752" s="65">
        <f>(18-ЦТО!AM656-ЦТО!AL656)/(18-ЦТО!AL656-ЦТО!AP656)</f>
        <v>1</v>
      </c>
      <c r="H752" s="66" t="str">
        <f>IF(G752&lt;0.51,'вспомогательные данные'!$C$19,IF(G752&lt;0.92,'вспомогательные данные'!$C$20, IF(G752&lt;2,'вспомогательные данные'!$C$21,'вспомогательные данные'!$C$22)))</f>
        <v>оптимальная работоспособность</v>
      </c>
      <c r="I752" s="61" t="b">
        <f>IF(OR(ЦТО!AT656=1,ЦТО!AU656=1,ЦТО!AV656=1,ЦТО!AX656=1),"Положительная",IF(OR(ЦТО!AY656=1,ЦТО!AZ656=1,ЦТО!BA656=1),"Отрицательная",IF(OR(ЦТО!AW656=1),"Инфантильная")))</f>
        <v>0</v>
      </c>
    </row>
    <row r="753" spans="1:9">
      <c r="A753" s="62">
        <f>ЦТО!A657</f>
        <v>0</v>
      </c>
      <c r="B753" s="62">
        <f>ЦТО!B657</f>
        <v>0</v>
      </c>
      <c r="C753" s="67">
        <f>ЦТО!C657</f>
        <v>0</v>
      </c>
      <c r="D753" s="63">
        <f>ЦТО!D657</f>
        <v>0</v>
      </c>
      <c r="E753" s="68">
        <f>SUM(ЦТО!BB657:BI657)</f>
        <v>0</v>
      </c>
      <c r="F753" s="64" t="str">
        <f>IF(E753&lt;10,'вспомогательные данные'!$C$26,IF(E753&lt;19,'вспомогательные данные'!$C$25,'вспомогательные данные'!$C$24))</f>
        <v>положительный</v>
      </c>
      <c r="G753" s="65">
        <f>(18-ЦТО!AM657-ЦТО!AL657)/(18-ЦТО!AL657-ЦТО!AP657)</f>
        <v>1</v>
      </c>
      <c r="H753" s="66" t="str">
        <f>IF(G753&lt;0.51,'вспомогательные данные'!$C$19,IF(G753&lt;0.92,'вспомогательные данные'!$C$20, IF(G753&lt;2,'вспомогательные данные'!$C$21,'вспомогательные данные'!$C$22)))</f>
        <v>оптимальная работоспособность</v>
      </c>
      <c r="I753" s="61" t="b">
        <f>IF(OR(ЦТО!AT657=1,ЦТО!AU657=1,ЦТО!AV657=1,ЦТО!AX657=1),"Положительная",IF(OR(ЦТО!AY657=1,ЦТО!AZ657=1,ЦТО!BA657=1),"Отрицательная",IF(OR(ЦТО!AW657=1),"Инфантильная")))</f>
        <v>0</v>
      </c>
    </row>
    <row r="754" spans="1:9">
      <c r="A754" s="62">
        <f>ЦТО!A658</f>
        <v>0</v>
      </c>
      <c r="B754" s="62">
        <f>ЦТО!B658</f>
        <v>0</v>
      </c>
      <c r="C754" s="67">
        <f>ЦТО!C658</f>
        <v>0</v>
      </c>
      <c r="D754" s="63">
        <f>ЦТО!D658</f>
        <v>0</v>
      </c>
      <c r="E754" s="68">
        <f>SUM(ЦТО!BB658:BI658)</f>
        <v>0</v>
      </c>
      <c r="F754" s="64" t="str">
        <f>IF(E754&lt;10,'вспомогательные данные'!$C$26,IF(E754&lt;19,'вспомогательные данные'!$C$25,'вспомогательные данные'!$C$24))</f>
        <v>положительный</v>
      </c>
      <c r="G754" s="65">
        <f>(18-ЦТО!AM658-ЦТО!AL658)/(18-ЦТО!AL658-ЦТО!AP658)</f>
        <v>1</v>
      </c>
      <c r="H754" s="66" t="str">
        <f>IF(G754&lt;0.51,'вспомогательные данные'!$C$19,IF(G754&lt;0.92,'вспомогательные данные'!$C$20, IF(G754&lt;2,'вспомогательные данные'!$C$21,'вспомогательные данные'!$C$22)))</f>
        <v>оптимальная работоспособность</v>
      </c>
      <c r="I754" s="61" t="b">
        <f>IF(OR(ЦТО!AT658=1,ЦТО!AU658=1,ЦТО!AV658=1,ЦТО!AX658=1),"Положительная",IF(OR(ЦТО!AY658=1,ЦТО!AZ658=1,ЦТО!BA658=1),"Отрицательная",IF(OR(ЦТО!AW658=1),"Инфантильная")))</f>
        <v>0</v>
      </c>
    </row>
    <row r="755" spans="1:9">
      <c r="A755" s="62">
        <f>ЦТО!A659</f>
        <v>0</v>
      </c>
      <c r="B755" s="62">
        <f>ЦТО!B659</f>
        <v>0</v>
      </c>
      <c r="C755" s="67">
        <f>ЦТО!C659</f>
        <v>0</v>
      </c>
      <c r="D755" s="63">
        <f>ЦТО!D659</f>
        <v>0</v>
      </c>
      <c r="E755" s="68">
        <f>SUM(ЦТО!BB659:BI659)</f>
        <v>0</v>
      </c>
      <c r="F755" s="64" t="str">
        <f>IF(E755&lt;10,'вспомогательные данные'!$C$26,IF(E755&lt;19,'вспомогательные данные'!$C$25,'вспомогательные данные'!$C$24))</f>
        <v>положительный</v>
      </c>
      <c r="G755" s="65">
        <f>(18-ЦТО!AM659-ЦТО!AL659)/(18-ЦТО!AL659-ЦТО!AP659)</f>
        <v>1</v>
      </c>
      <c r="H755" s="66" t="str">
        <f>IF(G755&lt;0.51,'вспомогательные данные'!$C$19,IF(G755&lt;0.92,'вспомогательные данные'!$C$20, IF(G755&lt;2,'вспомогательные данные'!$C$21,'вспомогательные данные'!$C$22)))</f>
        <v>оптимальная работоспособность</v>
      </c>
      <c r="I755" s="61" t="b">
        <f>IF(OR(ЦТО!AT659=1,ЦТО!AU659=1,ЦТО!AV659=1,ЦТО!AX659=1),"Положительная",IF(OR(ЦТО!AY659=1,ЦТО!AZ659=1,ЦТО!BA659=1),"Отрицательная",IF(OR(ЦТО!AW659=1),"Инфантильная")))</f>
        <v>0</v>
      </c>
    </row>
    <row r="756" spans="1:9">
      <c r="A756" s="62">
        <f>ЦТО!A660</f>
        <v>0</v>
      </c>
      <c r="B756" s="62">
        <f>ЦТО!B660</f>
        <v>0</v>
      </c>
      <c r="C756" s="67">
        <f>ЦТО!C660</f>
        <v>0</v>
      </c>
      <c r="D756" s="63">
        <f>ЦТО!D660</f>
        <v>0</v>
      </c>
      <c r="E756" s="68">
        <f>SUM(ЦТО!BB660:BI660)</f>
        <v>0</v>
      </c>
      <c r="F756" s="64" t="str">
        <f>IF(E756&lt;10,'вспомогательные данные'!$C$26,IF(E756&lt;19,'вспомогательные данные'!$C$25,'вспомогательные данные'!$C$24))</f>
        <v>положительный</v>
      </c>
      <c r="G756" s="65">
        <f>(18-ЦТО!AM660-ЦТО!AL660)/(18-ЦТО!AL660-ЦТО!AP660)</f>
        <v>1</v>
      </c>
      <c r="H756" s="66" t="str">
        <f>IF(G756&lt;0.51,'вспомогательные данные'!$C$19,IF(G756&lt;0.92,'вспомогательные данные'!$C$20, IF(G756&lt;2,'вспомогательные данные'!$C$21,'вспомогательные данные'!$C$22)))</f>
        <v>оптимальная работоспособность</v>
      </c>
      <c r="I756" s="61" t="b">
        <f>IF(OR(ЦТО!AT660=1,ЦТО!AU660=1,ЦТО!AV660=1,ЦТО!AX660=1),"Положительная",IF(OR(ЦТО!AY660=1,ЦТО!AZ660=1,ЦТО!BA660=1),"Отрицательная",IF(OR(ЦТО!AW660=1),"Инфантильная")))</f>
        <v>0</v>
      </c>
    </row>
    <row r="757" spans="1:9">
      <c r="A757" s="62">
        <f>ЦТО!A661</f>
        <v>0</v>
      </c>
      <c r="B757" s="62">
        <f>ЦТО!B661</f>
        <v>0</v>
      </c>
      <c r="C757" s="67">
        <f>ЦТО!C661</f>
        <v>0</v>
      </c>
      <c r="D757" s="63">
        <f>ЦТО!D661</f>
        <v>0</v>
      </c>
      <c r="E757" s="68">
        <f>SUM(ЦТО!BB661:BI661)</f>
        <v>0</v>
      </c>
      <c r="F757" s="64" t="str">
        <f>IF(E757&lt;10,'вспомогательные данные'!$C$26,IF(E757&lt;19,'вспомогательные данные'!$C$25,'вспомогательные данные'!$C$24))</f>
        <v>положительный</v>
      </c>
      <c r="G757" s="65">
        <f>(18-ЦТО!AM661-ЦТО!AL661)/(18-ЦТО!AL661-ЦТО!AP661)</f>
        <v>1</v>
      </c>
      <c r="H757" s="66" t="str">
        <f>IF(G757&lt;0.51,'вспомогательные данные'!$C$19,IF(G757&lt;0.92,'вспомогательные данные'!$C$20, IF(G757&lt;2,'вспомогательные данные'!$C$21,'вспомогательные данные'!$C$22)))</f>
        <v>оптимальная работоспособность</v>
      </c>
      <c r="I757" s="61" t="b">
        <f>IF(OR(ЦТО!AT661=1,ЦТО!AU661=1,ЦТО!AV661=1,ЦТО!AX661=1),"Положительная",IF(OR(ЦТО!AY661=1,ЦТО!AZ661=1,ЦТО!BA661=1),"Отрицательная",IF(OR(ЦТО!AW661=1),"Инфантильная")))</f>
        <v>0</v>
      </c>
    </row>
    <row r="758" spans="1:9">
      <c r="A758" s="62">
        <f>ЦТО!A662</f>
        <v>0</v>
      </c>
      <c r="B758" s="62">
        <f>ЦТО!B662</f>
        <v>0</v>
      </c>
      <c r="C758" s="67">
        <f>ЦТО!C662</f>
        <v>0</v>
      </c>
      <c r="D758" s="63">
        <f>ЦТО!D662</f>
        <v>0</v>
      </c>
      <c r="E758" s="68">
        <f>SUM(ЦТО!BB662:BI662)</f>
        <v>0</v>
      </c>
      <c r="F758" s="64" t="str">
        <f>IF(E758&lt;10,'вспомогательные данные'!$C$26,IF(E758&lt;19,'вспомогательные данные'!$C$25,'вспомогательные данные'!$C$24))</f>
        <v>положительный</v>
      </c>
      <c r="G758" s="65">
        <f>(18-ЦТО!AM662-ЦТО!AL662)/(18-ЦТО!AL662-ЦТО!AP662)</f>
        <v>1</v>
      </c>
      <c r="H758" s="66" t="str">
        <f>IF(G758&lt;0.51,'вспомогательные данные'!$C$19,IF(G758&lt;0.92,'вспомогательные данные'!$C$20, IF(G758&lt;2,'вспомогательные данные'!$C$21,'вспомогательные данные'!$C$22)))</f>
        <v>оптимальная работоспособность</v>
      </c>
      <c r="I758" s="61" t="b">
        <f>IF(OR(ЦТО!AT662=1,ЦТО!AU662=1,ЦТО!AV662=1,ЦТО!AX662=1),"Положительная",IF(OR(ЦТО!AY662=1,ЦТО!AZ662=1,ЦТО!BA662=1),"Отрицательная",IF(OR(ЦТО!AW662=1),"Инфантильная")))</f>
        <v>0</v>
      </c>
    </row>
    <row r="759" spans="1:9">
      <c r="A759" s="62">
        <f>ЦТО!A663</f>
        <v>0</v>
      </c>
      <c r="B759" s="62">
        <f>ЦТО!B663</f>
        <v>0</v>
      </c>
      <c r="C759" s="67">
        <f>ЦТО!C663</f>
        <v>0</v>
      </c>
      <c r="D759" s="63">
        <f>ЦТО!D663</f>
        <v>0</v>
      </c>
      <c r="E759" s="68">
        <f>SUM(ЦТО!BB663:BI663)</f>
        <v>0</v>
      </c>
      <c r="F759" s="64" t="str">
        <f>IF(E759&lt;10,'вспомогательные данные'!$C$26,IF(E759&lt;19,'вспомогательные данные'!$C$25,'вспомогательные данные'!$C$24))</f>
        <v>положительный</v>
      </c>
      <c r="G759" s="65">
        <f>(18-ЦТО!AM663-ЦТО!AL663)/(18-ЦТО!AL663-ЦТО!AP663)</f>
        <v>1</v>
      </c>
      <c r="H759" s="66" t="str">
        <f>IF(G759&lt;0.51,'вспомогательные данные'!$C$19,IF(G759&lt;0.92,'вспомогательные данные'!$C$20, IF(G759&lt;2,'вспомогательные данные'!$C$21,'вспомогательные данные'!$C$22)))</f>
        <v>оптимальная работоспособность</v>
      </c>
      <c r="I759" s="61" t="b">
        <f>IF(OR(ЦТО!AT663=1,ЦТО!AU663=1,ЦТО!AV663=1,ЦТО!AX663=1),"Положительная",IF(OR(ЦТО!AY663=1,ЦТО!AZ663=1,ЦТО!BA663=1),"Отрицательная",IF(OR(ЦТО!AW663=1),"Инфантильная")))</f>
        <v>0</v>
      </c>
    </row>
    <row r="760" spans="1:9">
      <c r="A760" s="62">
        <f>ЦТО!A664</f>
        <v>0</v>
      </c>
      <c r="B760" s="62">
        <f>ЦТО!B664</f>
        <v>0</v>
      </c>
      <c r="C760" s="67">
        <f>ЦТО!C664</f>
        <v>0</v>
      </c>
      <c r="D760" s="63">
        <f>ЦТО!D664</f>
        <v>0</v>
      </c>
      <c r="E760" s="68">
        <f>SUM(ЦТО!BB664:BI664)</f>
        <v>0</v>
      </c>
      <c r="F760" s="64" t="str">
        <f>IF(E760&lt;10,'вспомогательные данные'!$C$26,IF(E760&lt;19,'вспомогательные данные'!$C$25,'вспомогательные данные'!$C$24))</f>
        <v>положительный</v>
      </c>
      <c r="G760" s="65">
        <f>(18-ЦТО!AM664-ЦТО!AL664)/(18-ЦТО!AL664-ЦТО!AP664)</f>
        <v>1</v>
      </c>
      <c r="H760" s="66" t="str">
        <f>IF(G760&lt;0.51,'вспомогательные данные'!$C$19,IF(G760&lt;0.92,'вспомогательные данные'!$C$20, IF(G760&lt;2,'вспомогательные данные'!$C$21,'вспомогательные данные'!$C$22)))</f>
        <v>оптимальная работоспособность</v>
      </c>
      <c r="I760" s="61" t="b">
        <f>IF(OR(ЦТО!AT664=1,ЦТО!AU664=1,ЦТО!AV664=1,ЦТО!AX664=1),"Положительная",IF(OR(ЦТО!AY664=1,ЦТО!AZ664=1,ЦТО!BA664=1),"Отрицательная",IF(OR(ЦТО!AW664=1),"Инфантильная")))</f>
        <v>0</v>
      </c>
    </row>
    <row r="761" spans="1:9">
      <c r="A761" s="62">
        <f>ЦТО!A665</f>
        <v>0</v>
      </c>
      <c r="B761" s="62">
        <f>ЦТО!B665</f>
        <v>0</v>
      </c>
      <c r="C761" s="67">
        <f>ЦТО!C665</f>
        <v>0</v>
      </c>
      <c r="D761" s="63">
        <f>ЦТО!D665</f>
        <v>0</v>
      </c>
      <c r="E761" s="68">
        <f>SUM(ЦТО!BB665:BI665)</f>
        <v>0</v>
      </c>
      <c r="F761" s="64" t="str">
        <f>IF(E761&lt;10,'вспомогательные данные'!$C$26,IF(E761&lt;19,'вспомогательные данные'!$C$25,'вспомогательные данные'!$C$24))</f>
        <v>положительный</v>
      </c>
      <c r="G761" s="65">
        <f>(18-ЦТО!AM665-ЦТО!AL665)/(18-ЦТО!AL665-ЦТО!AP665)</f>
        <v>1</v>
      </c>
      <c r="H761" s="66" t="str">
        <f>IF(G761&lt;0.51,'вспомогательные данные'!$C$19,IF(G761&lt;0.92,'вспомогательные данные'!$C$20, IF(G761&lt;2,'вспомогательные данные'!$C$21,'вспомогательные данные'!$C$22)))</f>
        <v>оптимальная работоспособность</v>
      </c>
      <c r="I761" s="61" t="b">
        <f>IF(OR(ЦТО!AT665=1,ЦТО!AU665=1,ЦТО!AV665=1,ЦТО!AX665=1),"Положительная",IF(OR(ЦТО!AY665=1,ЦТО!AZ665=1,ЦТО!BA665=1),"Отрицательная",IF(OR(ЦТО!AW665=1),"Инфантильная")))</f>
        <v>0</v>
      </c>
    </row>
    <row r="762" spans="1:9">
      <c r="A762" s="62">
        <f>ЦТО!A666</f>
        <v>0</v>
      </c>
      <c r="B762" s="62">
        <f>ЦТО!B666</f>
        <v>0</v>
      </c>
      <c r="C762" s="67">
        <f>ЦТО!C666</f>
        <v>0</v>
      </c>
      <c r="D762" s="63">
        <f>ЦТО!D666</f>
        <v>0</v>
      </c>
      <c r="E762" s="68">
        <f>SUM(ЦТО!BB666:BI666)</f>
        <v>0</v>
      </c>
      <c r="F762" s="64" t="str">
        <f>IF(E762&lt;10,'вспомогательные данные'!$C$26,IF(E762&lt;19,'вспомогательные данные'!$C$25,'вспомогательные данные'!$C$24))</f>
        <v>положительный</v>
      </c>
      <c r="G762" s="65">
        <f>(18-ЦТО!AM666-ЦТО!AL666)/(18-ЦТО!AL666-ЦТО!AP666)</f>
        <v>1</v>
      </c>
      <c r="H762" s="66" t="str">
        <f>IF(G762&lt;0.51,'вспомогательные данные'!$C$19,IF(G762&lt;0.92,'вспомогательные данные'!$C$20, IF(G762&lt;2,'вспомогательные данные'!$C$21,'вспомогательные данные'!$C$22)))</f>
        <v>оптимальная работоспособность</v>
      </c>
      <c r="I762" s="61" t="b">
        <f>IF(OR(ЦТО!AT666=1,ЦТО!AU666=1,ЦТО!AV666=1,ЦТО!AX666=1),"Положительная",IF(OR(ЦТО!AY666=1,ЦТО!AZ666=1,ЦТО!BA666=1),"Отрицательная",IF(OR(ЦТО!AW666=1),"Инфантильная")))</f>
        <v>0</v>
      </c>
    </row>
    <row r="763" spans="1:9">
      <c r="A763" s="62">
        <f>ЦТО!A667</f>
        <v>0</v>
      </c>
      <c r="B763" s="62">
        <f>ЦТО!B667</f>
        <v>0</v>
      </c>
      <c r="C763" s="67">
        <f>ЦТО!C667</f>
        <v>0</v>
      </c>
      <c r="D763" s="63">
        <f>ЦТО!D667</f>
        <v>0</v>
      </c>
      <c r="E763" s="68">
        <f>SUM(ЦТО!BB667:BI667)</f>
        <v>0</v>
      </c>
      <c r="F763" s="64" t="str">
        <f>IF(E763&lt;10,'вспомогательные данные'!$C$26,IF(E763&lt;19,'вспомогательные данные'!$C$25,'вспомогательные данные'!$C$24))</f>
        <v>положительный</v>
      </c>
      <c r="G763" s="65">
        <f>(18-ЦТО!AM667-ЦТО!AL667)/(18-ЦТО!AL667-ЦТО!AP667)</f>
        <v>1</v>
      </c>
      <c r="H763" s="66" t="str">
        <f>IF(G763&lt;0.51,'вспомогательные данные'!$C$19,IF(G763&lt;0.92,'вспомогательные данные'!$C$20, IF(G763&lt;2,'вспомогательные данные'!$C$21,'вспомогательные данные'!$C$22)))</f>
        <v>оптимальная работоспособность</v>
      </c>
      <c r="I763" s="61" t="b">
        <f>IF(OR(ЦТО!AT667=1,ЦТО!AU667=1,ЦТО!AV667=1,ЦТО!AX667=1),"Положительная",IF(OR(ЦТО!AY667=1,ЦТО!AZ667=1,ЦТО!BA667=1),"Отрицательная",IF(OR(ЦТО!AW667=1),"Инфантильная")))</f>
        <v>0</v>
      </c>
    </row>
    <row r="764" spans="1:9">
      <c r="A764" s="62">
        <f>ЦТО!A668</f>
        <v>0</v>
      </c>
      <c r="B764" s="62">
        <f>ЦТО!B668</f>
        <v>0</v>
      </c>
      <c r="C764" s="67">
        <f>ЦТО!C668</f>
        <v>0</v>
      </c>
      <c r="D764" s="63">
        <f>ЦТО!D668</f>
        <v>0</v>
      </c>
      <c r="E764" s="68">
        <f>SUM(ЦТО!BB668:BI668)</f>
        <v>0</v>
      </c>
      <c r="F764" s="64" t="str">
        <f>IF(E764&lt;10,'вспомогательные данные'!$C$26,IF(E764&lt;19,'вспомогательные данные'!$C$25,'вспомогательные данные'!$C$24))</f>
        <v>положительный</v>
      </c>
      <c r="G764" s="65">
        <f>(18-ЦТО!AM668-ЦТО!AL668)/(18-ЦТО!AL668-ЦТО!AP668)</f>
        <v>1</v>
      </c>
      <c r="H764" s="66" t="str">
        <f>IF(G764&lt;0.51,'вспомогательные данные'!$C$19,IF(G764&lt;0.92,'вспомогательные данные'!$C$20, IF(G764&lt;2,'вспомогательные данные'!$C$21,'вспомогательные данные'!$C$22)))</f>
        <v>оптимальная работоспособность</v>
      </c>
      <c r="I764" s="61" t="b">
        <f>IF(OR(ЦТО!AT668=1,ЦТО!AU668=1,ЦТО!AV668=1,ЦТО!AX668=1),"Положительная",IF(OR(ЦТО!AY668=1,ЦТО!AZ668=1,ЦТО!BA668=1),"Отрицательная",IF(OR(ЦТО!AW668=1),"Инфантильная")))</f>
        <v>0</v>
      </c>
    </row>
    <row r="765" spans="1:9">
      <c r="A765" s="62">
        <f>ЦТО!A669</f>
        <v>0</v>
      </c>
      <c r="B765" s="62">
        <f>ЦТО!B669</f>
        <v>0</v>
      </c>
      <c r="C765" s="67">
        <f>ЦТО!C669</f>
        <v>0</v>
      </c>
      <c r="D765" s="63">
        <f>ЦТО!D669</f>
        <v>0</v>
      </c>
      <c r="E765" s="68">
        <f>SUM(ЦТО!BB669:BI669)</f>
        <v>0</v>
      </c>
      <c r="F765" s="64" t="str">
        <f>IF(E765&lt;10,'вспомогательные данные'!$C$26,IF(E765&lt;19,'вспомогательные данные'!$C$25,'вспомогательные данные'!$C$24))</f>
        <v>положительный</v>
      </c>
      <c r="G765" s="65">
        <f>(18-ЦТО!AM669-ЦТО!AL669)/(18-ЦТО!AL669-ЦТО!AP669)</f>
        <v>1</v>
      </c>
      <c r="H765" s="66" t="str">
        <f>IF(G765&lt;0.51,'вспомогательные данные'!$C$19,IF(G765&lt;0.92,'вспомогательные данные'!$C$20, IF(G765&lt;2,'вспомогательные данные'!$C$21,'вспомогательные данные'!$C$22)))</f>
        <v>оптимальная работоспособность</v>
      </c>
      <c r="I765" s="61" t="b">
        <f>IF(OR(ЦТО!AT669=1,ЦТО!AU669=1,ЦТО!AV669=1,ЦТО!AX669=1),"Положительная",IF(OR(ЦТО!AY669=1,ЦТО!AZ669=1,ЦТО!BA669=1),"Отрицательная",IF(OR(ЦТО!AW669=1),"Инфантильная")))</f>
        <v>0</v>
      </c>
    </row>
    <row r="766" spans="1:9">
      <c r="A766" s="62">
        <f>ЦТО!A670</f>
        <v>0</v>
      </c>
      <c r="B766" s="62">
        <f>ЦТО!B670</f>
        <v>0</v>
      </c>
      <c r="C766" s="67">
        <f>ЦТО!C670</f>
        <v>0</v>
      </c>
      <c r="D766" s="63">
        <f>ЦТО!D670</f>
        <v>0</v>
      </c>
      <c r="E766" s="68">
        <f>SUM(ЦТО!BB670:BI670)</f>
        <v>0</v>
      </c>
      <c r="F766" s="64" t="str">
        <f>IF(E766&lt;10,'вспомогательные данные'!$C$26,IF(E766&lt;19,'вспомогательные данные'!$C$25,'вспомогательные данные'!$C$24))</f>
        <v>положительный</v>
      </c>
      <c r="G766" s="65">
        <f>(18-ЦТО!AM670-ЦТО!AL670)/(18-ЦТО!AL670-ЦТО!AP670)</f>
        <v>1</v>
      </c>
      <c r="H766" s="66" t="str">
        <f>IF(G766&lt;0.51,'вспомогательные данные'!$C$19,IF(G766&lt;0.92,'вспомогательные данные'!$C$20, IF(G766&lt;2,'вспомогательные данные'!$C$21,'вспомогательные данные'!$C$22)))</f>
        <v>оптимальная работоспособность</v>
      </c>
      <c r="I766" s="61" t="b">
        <f>IF(OR(ЦТО!AT670=1,ЦТО!AU670=1,ЦТО!AV670=1,ЦТО!AX670=1),"Положительная",IF(OR(ЦТО!AY670=1,ЦТО!AZ670=1,ЦТО!BA670=1),"Отрицательная",IF(OR(ЦТО!AW670=1),"Инфантильная")))</f>
        <v>0</v>
      </c>
    </row>
    <row r="767" spans="1:9">
      <c r="A767" s="62">
        <f>ЦТО!A671</f>
        <v>0</v>
      </c>
      <c r="B767" s="62">
        <f>ЦТО!B671</f>
        <v>0</v>
      </c>
      <c r="C767" s="67">
        <f>ЦТО!C671</f>
        <v>0</v>
      </c>
      <c r="D767" s="63">
        <f>ЦТО!D671</f>
        <v>0</v>
      </c>
      <c r="E767" s="68">
        <f>SUM(ЦТО!BB671:BI671)</f>
        <v>0</v>
      </c>
      <c r="F767" s="64" t="str">
        <f>IF(E767&lt;10,'вспомогательные данные'!$C$26,IF(E767&lt;19,'вспомогательные данные'!$C$25,'вспомогательные данные'!$C$24))</f>
        <v>положительный</v>
      </c>
      <c r="G767" s="65">
        <f>(18-ЦТО!AM671-ЦТО!AL671)/(18-ЦТО!AL671-ЦТО!AP671)</f>
        <v>1</v>
      </c>
      <c r="H767" s="66" t="str">
        <f>IF(G767&lt;0.51,'вспомогательные данные'!$C$19,IF(G767&lt;0.92,'вспомогательные данные'!$C$20, IF(G767&lt;2,'вспомогательные данные'!$C$21,'вспомогательные данные'!$C$22)))</f>
        <v>оптимальная работоспособность</v>
      </c>
      <c r="I767" s="61" t="b">
        <f>IF(OR(ЦТО!AT671=1,ЦТО!AU671=1,ЦТО!AV671=1,ЦТО!AX671=1),"Положительная",IF(OR(ЦТО!AY671=1,ЦТО!AZ671=1,ЦТО!BA671=1),"Отрицательная",IF(OR(ЦТО!AW671=1),"Инфантильная")))</f>
        <v>0</v>
      </c>
    </row>
    <row r="768" spans="1:9">
      <c r="A768" s="62">
        <f>ЦТО!A672</f>
        <v>0</v>
      </c>
      <c r="B768" s="62">
        <f>ЦТО!B672</f>
        <v>0</v>
      </c>
      <c r="C768" s="67">
        <f>ЦТО!C672</f>
        <v>0</v>
      </c>
      <c r="D768" s="63">
        <f>ЦТО!D672</f>
        <v>0</v>
      </c>
      <c r="E768" s="68">
        <f>SUM(ЦТО!BB672:BI672)</f>
        <v>0</v>
      </c>
      <c r="F768" s="64" t="str">
        <f>IF(E768&lt;10,'вспомогательные данные'!$C$26,IF(E768&lt;19,'вспомогательные данные'!$C$25,'вспомогательные данные'!$C$24))</f>
        <v>положительный</v>
      </c>
      <c r="G768" s="65">
        <f>(18-ЦТО!AM672-ЦТО!AL672)/(18-ЦТО!AL672-ЦТО!AP672)</f>
        <v>1</v>
      </c>
      <c r="H768" s="66" t="str">
        <f>IF(G768&lt;0.51,'вспомогательные данные'!$C$19,IF(G768&lt;0.92,'вспомогательные данные'!$C$20, IF(G768&lt;2,'вспомогательные данные'!$C$21,'вспомогательные данные'!$C$22)))</f>
        <v>оптимальная работоспособность</v>
      </c>
      <c r="I768" s="61" t="b">
        <f>IF(OR(ЦТО!AT672=1,ЦТО!AU672=1,ЦТО!AV672=1,ЦТО!AX672=1),"Положительная",IF(OR(ЦТО!AY672=1,ЦТО!AZ672=1,ЦТО!BA672=1),"Отрицательная",IF(OR(ЦТО!AW672=1),"Инфантильная")))</f>
        <v>0</v>
      </c>
    </row>
    <row r="769" spans="1:9">
      <c r="A769" s="62">
        <f>ЦТО!A673</f>
        <v>0</v>
      </c>
      <c r="B769" s="62">
        <f>ЦТО!B673</f>
        <v>0</v>
      </c>
      <c r="C769" s="67">
        <f>ЦТО!C673</f>
        <v>0</v>
      </c>
      <c r="D769" s="63">
        <f>ЦТО!D673</f>
        <v>0</v>
      </c>
      <c r="E769" s="68">
        <f>SUM(ЦТО!BB673:BI673)</f>
        <v>0</v>
      </c>
      <c r="F769" s="64" t="str">
        <f>IF(E769&lt;10,'вспомогательные данные'!$C$26,IF(E769&lt;19,'вспомогательные данные'!$C$25,'вспомогательные данные'!$C$24))</f>
        <v>положительный</v>
      </c>
      <c r="G769" s="65">
        <f>(18-ЦТО!AM673-ЦТО!AL673)/(18-ЦТО!AL673-ЦТО!AP673)</f>
        <v>1</v>
      </c>
      <c r="H769" s="66" t="str">
        <f>IF(G769&lt;0.51,'вспомогательные данные'!$C$19,IF(G769&lt;0.92,'вспомогательные данные'!$C$20, IF(G769&lt;2,'вспомогательные данные'!$C$21,'вспомогательные данные'!$C$22)))</f>
        <v>оптимальная работоспособность</v>
      </c>
      <c r="I769" s="61" t="b">
        <f>IF(OR(ЦТО!AT673=1,ЦТО!AU673=1,ЦТО!AV673=1,ЦТО!AX673=1),"Положительная",IF(OR(ЦТО!AY673=1,ЦТО!AZ673=1,ЦТО!BA673=1),"Отрицательная",IF(OR(ЦТО!AW673=1),"Инфантильная")))</f>
        <v>0</v>
      </c>
    </row>
    <row r="770" spans="1:9">
      <c r="A770" s="62">
        <f>ЦТО!A674</f>
        <v>0</v>
      </c>
      <c r="B770" s="62">
        <f>ЦТО!B674</f>
        <v>0</v>
      </c>
      <c r="C770" s="67">
        <f>ЦТО!C674</f>
        <v>0</v>
      </c>
      <c r="D770" s="63">
        <f>ЦТО!D674</f>
        <v>0</v>
      </c>
      <c r="E770" s="68">
        <f>SUM(ЦТО!BB674:BI674)</f>
        <v>0</v>
      </c>
      <c r="F770" s="64" t="str">
        <f>IF(E770&lt;10,'вспомогательные данные'!$C$26,IF(E770&lt;19,'вспомогательные данные'!$C$25,'вспомогательные данные'!$C$24))</f>
        <v>положительный</v>
      </c>
      <c r="G770" s="65">
        <f>(18-ЦТО!AM674-ЦТО!AL674)/(18-ЦТО!AL674-ЦТО!AP674)</f>
        <v>1</v>
      </c>
      <c r="H770" s="66" t="str">
        <f>IF(G770&lt;0.51,'вспомогательные данные'!$C$19,IF(G770&lt;0.92,'вспомогательные данные'!$C$20, IF(G770&lt;2,'вспомогательные данные'!$C$21,'вспомогательные данные'!$C$22)))</f>
        <v>оптимальная работоспособность</v>
      </c>
      <c r="I770" s="61" t="b">
        <f>IF(OR(ЦТО!AT674=1,ЦТО!AU674=1,ЦТО!AV674=1,ЦТО!AX674=1),"Положительная",IF(OR(ЦТО!AY674=1,ЦТО!AZ674=1,ЦТО!BA674=1),"Отрицательная",IF(OR(ЦТО!AW674=1),"Инфантильная")))</f>
        <v>0</v>
      </c>
    </row>
    <row r="771" spans="1:9">
      <c r="A771" s="62">
        <f>ЦТО!A675</f>
        <v>0</v>
      </c>
      <c r="B771" s="62">
        <f>ЦТО!B675</f>
        <v>0</v>
      </c>
      <c r="C771" s="67">
        <f>ЦТО!C675</f>
        <v>0</v>
      </c>
      <c r="D771" s="63">
        <f>ЦТО!D675</f>
        <v>0</v>
      </c>
      <c r="E771" s="68">
        <f>SUM(ЦТО!BB675:BI675)</f>
        <v>0</v>
      </c>
      <c r="F771" s="64" t="str">
        <f>IF(E771&lt;10,'вспомогательные данные'!$C$26,IF(E771&lt;19,'вспомогательные данные'!$C$25,'вспомогательные данные'!$C$24))</f>
        <v>положительный</v>
      </c>
      <c r="G771" s="65">
        <f>(18-ЦТО!AM675-ЦТО!AL675)/(18-ЦТО!AL675-ЦТО!AP675)</f>
        <v>1</v>
      </c>
      <c r="H771" s="66" t="str">
        <f>IF(G771&lt;0.51,'вспомогательные данные'!$C$19,IF(G771&lt;0.92,'вспомогательные данные'!$C$20, IF(G771&lt;2,'вспомогательные данные'!$C$21,'вспомогательные данные'!$C$22)))</f>
        <v>оптимальная работоспособность</v>
      </c>
      <c r="I771" s="61" t="b">
        <f>IF(OR(ЦТО!AT675=1,ЦТО!AU675=1,ЦТО!AV675=1,ЦТО!AX675=1),"Положительная",IF(OR(ЦТО!AY675=1,ЦТО!AZ675=1,ЦТО!BA675=1),"Отрицательная",IF(OR(ЦТО!AW675=1),"Инфантильная")))</f>
        <v>0</v>
      </c>
    </row>
    <row r="772" spans="1:9">
      <c r="A772" s="62">
        <f>ЦТО!A676</f>
        <v>0</v>
      </c>
      <c r="B772" s="62">
        <f>ЦТО!B676</f>
        <v>0</v>
      </c>
      <c r="C772" s="67">
        <f>ЦТО!C676</f>
        <v>0</v>
      </c>
      <c r="D772" s="63">
        <f>ЦТО!D676</f>
        <v>0</v>
      </c>
      <c r="E772" s="68">
        <f>SUM(ЦТО!BB676:BI676)</f>
        <v>0</v>
      </c>
      <c r="F772" s="64" t="str">
        <f>IF(E772&lt;10,'вспомогательные данные'!$C$26,IF(E772&lt;19,'вспомогательные данные'!$C$25,'вспомогательные данные'!$C$24))</f>
        <v>положительный</v>
      </c>
      <c r="G772" s="65">
        <f>(18-ЦТО!AM676-ЦТО!AL676)/(18-ЦТО!AL676-ЦТО!AP676)</f>
        <v>1</v>
      </c>
      <c r="H772" s="66" t="str">
        <f>IF(G772&lt;0.51,'вспомогательные данные'!$C$19,IF(G772&lt;0.92,'вспомогательные данные'!$C$20, IF(G772&lt;2,'вспомогательные данные'!$C$21,'вспомогательные данные'!$C$22)))</f>
        <v>оптимальная работоспособность</v>
      </c>
      <c r="I772" s="61" t="b">
        <f>IF(OR(ЦТО!AT676=1,ЦТО!AU676=1,ЦТО!AV676=1,ЦТО!AX676=1),"Положительная",IF(OR(ЦТО!AY676=1,ЦТО!AZ676=1,ЦТО!BA676=1),"Отрицательная",IF(OR(ЦТО!AW676=1),"Инфантильная")))</f>
        <v>0</v>
      </c>
    </row>
    <row r="773" spans="1:9">
      <c r="A773" s="62">
        <f>ЦТО!A677</f>
        <v>0</v>
      </c>
      <c r="B773" s="62">
        <f>ЦТО!B677</f>
        <v>0</v>
      </c>
      <c r="C773" s="67">
        <f>ЦТО!C677</f>
        <v>0</v>
      </c>
      <c r="D773" s="63">
        <f>ЦТО!D677</f>
        <v>0</v>
      </c>
      <c r="E773" s="68">
        <f>SUM(ЦТО!BB677:BI677)</f>
        <v>0</v>
      </c>
      <c r="F773" s="64" t="str">
        <f>IF(E773&lt;10,'вспомогательные данные'!$C$26,IF(E773&lt;19,'вспомогательные данные'!$C$25,'вспомогательные данные'!$C$24))</f>
        <v>положительный</v>
      </c>
      <c r="G773" s="65">
        <f>(18-ЦТО!AM677-ЦТО!AL677)/(18-ЦТО!AL677-ЦТО!AP677)</f>
        <v>1</v>
      </c>
      <c r="H773" s="66" t="str">
        <f>IF(G773&lt;0.51,'вспомогательные данные'!$C$19,IF(G773&lt;0.92,'вспомогательные данные'!$C$20, IF(G773&lt;2,'вспомогательные данные'!$C$21,'вспомогательные данные'!$C$22)))</f>
        <v>оптимальная работоспособность</v>
      </c>
      <c r="I773" s="61" t="b">
        <f>IF(OR(ЦТО!AT677=1,ЦТО!AU677=1,ЦТО!AV677=1,ЦТО!AX677=1),"Положительная",IF(OR(ЦТО!AY677=1,ЦТО!AZ677=1,ЦТО!BA677=1),"Отрицательная",IF(OR(ЦТО!AW677=1),"Инфантильная")))</f>
        <v>0</v>
      </c>
    </row>
    <row r="774" spans="1:9">
      <c r="A774" s="62">
        <f>ЦТО!A678</f>
        <v>0</v>
      </c>
      <c r="B774" s="62">
        <f>ЦТО!B678</f>
        <v>0</v>
      </c>
      <c r="C774" s="67">
        <f>ЦТО!C678</f>
        <v>0</v>
      </c>
      <c r="D774" s="63">
        <f>ЦТО!D678</f>
        <v>0</v>
      </c>
      <c r="E774" s="68">
        <f>SUM(ЦТО!BB678:BI678)</f>
        <v>0</v>
      </c>
      <c r="F774" s="64" t="str">
        <f>IF(E774&lt;10,'вспомогательные данные'!$C$26,IF(E774&lt;19,'вспомогательные данные'!$C$25,'вспомогательные данные'!$C$24))</f>
        <v>положительный</v>
      </c>
      <c r="G774" s="65">
        <f>(18-ЦТО!AM678-ЦТО!AL678)/(18-ЦТО!AL678-ЦТО!AP678)</f>
        <v>1</v>
      </c>
      <c r="H774" s="66" t="str">
        <f>IF(G774&lt;0.51,'вспомогательные данные'!$C$19,IF(G774&lt;0.92,'вспомогательные данные'!$C$20, IF(G774&lt;2,'вспомогательные данные'!$C$21,'вспомогательные данные'!$C$22)))</f>
        <v>оптимальная работоспособность</v>
      </c>
      <c r="I774" s="61" t="b">
        <f>IF(OR(ЦТО!AT678=1,ЦТО!AU678=1,ЦТО!AV678=1,ЦТО!AX678=1),"Положительная",IF(OR(ЦТО!AY678=1,ЦТО!AZ678=1,ЦТО!BA678=1),"Отрицательная",IF(OR(ЦТО!AW678=1),"Инфантильная")))</f>
        <v>0</v>
      </c>
    </row>
    <row r="775" spans="1:9">
      <c r="A775" s="62">
        <f>ЦТО!A679</f>
        <v>0</v>
      </c>
      <c r="B775" s="62">
        <f>ЦТО!B679</f>
        <v>0</v>
      </c>
      <c r="C775" s="67">
        <f>ЦТО!C679</f>
        <v>0</v>
      </c>
      <c r="D775" s="63">
        <f>ЦТО!D679</f>
        <v>0</v>
      </c>
      <c r="E775" s="68">
        <f>SUM(ЦТО!BB679:BI679)</f>
        <v>0</v>
      </c>
      <c r="F775" s="64" t="str">
        <f>IF(E775&lt;10,'вспомогательные данные'!$C$26,IF(E775&lt;19,'вспомогательные данные'!$C$25,'вспомогательные данные'!$C$24))</f>
        <v>положительный</v>
      </c>
      <c r="G775" s="65">
        <f>(18-ЦТО!AM679-ЦТО!AL679)/(18-ЦТО!AL679-ЦТО!AP679)</f>
        <v>1</v>
      </c>
      <c r="H775" s="66" t="str">
        <f>IF(G775&lt;0.51,'вспомогательные данные'!$C$19,IF(G775&lt;0.92,'вспомогательные данные'!$C$20, IF(G775&lt;2,'вспомогательные данные'!$C$21,'вспомогательные данные'!$C$22)))</f>
        <v>оптимальная работоспособность</v>
      </c>
      <c r="I775" s="61" t="b">
        <f>IF(OR(ЦТО!AT679=1,ЦТО!AU679=1,ЦТО!AV679=1,ЦТО!AX679=1),"Положительная",IF(OR(ЦТО!AY679=1,ЦТО!AZ679=1,ЦТО!BA679=1),"Отрицательная",IF(OR(ЦТО!AW679=1),"Инфантильная")))</f>
        <v>0</v>
      </c>
    </row>
    <row r="776" spans="1:9">
      <c r="A776" s="62">
        <f>ЦТО!A680</f>
        <v>0</v>
      </c>
      <c r="B776" s="62">
        <f>ЦТО!B680</f>
        <v>0</v>
      </c>
      <c r="C776" s="67">
        <f>ЦТО!C680</f>
        <v>0</v>
      </c>
      <c r="D776" s="63">
        <f>ЦТО!D680</f>
        <v>0</v>
      </c>
      <c r="E776" s="68">
        <f>SUM(ЦТО!BB680:BI680)</f>
        <v>0</v>
      </c>
      <c r="F776" s="64" t="str">
        <f>IF(E776&lt;10,'вспомогательные данные'!$C$26,IF(E776&lt;19,'вспомогательные данные'!$C$25,'вспомогательные данные'!$C$24))</f>
        <v>положительный</v>
      </c>
      <c r="G776" s="65">
        <f>(18-ЦТО!AM680-ЦТО!AL680)/(18-ЦТО!AL680-ЦТО!AP680)</f>
        <v>1</v>
      </c>
      <c r="H776" s="66" t="str">
        <f>IF(G776&lt;0.51,'вспомогательные данные'!$C$19,IF(G776&lt;0.92,'вспомогательные данные'!$C$20, IF(G776&lt;2,'вспомогательные данные'!$C$21,'вспомогательные данные'!$C$22)))</f>
        <v>оптимальная работоспособность</v>
      </c>
      <c r="I776" s="61" t="b">
        <f>IF(OR(ЦТО!AT680=1,ЦТО!AU680=1,ЦТО!AV680=1,ЦТО!AX680=1),"Положительная",IF(OR(ЦТО!AY680=1,ЦТО!AZ680=1,ЦТО!BA680=1),"Отрицательная",IF(OR(ЦТО!AW680=1),"Инфантильная")))</f>
        <v>0</v>
      </c>
    </row>
    <row r="777" spans="1:9">
      <c r="A777" s="62">
        <f>ЦТО!A681</f>
        <v>0</v>
      </c>
      <c r="B777" s="62">
        <f>ЦТО!B681</f>
        <v>0</v>
      </c>
      <c r="C777" s="67">
        <f>ЦТО!C681</f>
        <v>0</v>
      </c>
      <c r="D777" s="63">
        <f>ЦТО!D681</f>
        <v>0</v>
      </c>
      <c r="E777" s="68">
        <f>SUM(ЦТО!BB681:BI681)</f>
        <v>0</v>
      </c>
      <c r="F777" s="64" t="str">
        <f>IF(E777&lt;10,'вспомогательные данные'!$C$26,IF(E777&lt;19,'вспомогательные данные'!$C$25,'вспомогательные данные'!$C$24))</f>
        <v>положительный</v>
      </c>
      <c r="G777" s="65">
        <f>(18-ЦТО!AM681-ЦТО!AL681)/(18-ЦТО!AL681-ЦТО!AP681)</f>
        <v>1</v>
      </c>
      <c r="H777" s="66" t="str">
        <f>IF(G777&lt;0.51,'вспомогательные данные'!$C$19,IF(G777&lt;0.92,'вспомогательные данные'!$C$20, IF(G777&lt;2,'вспомогательные данные'!$C$21,'вспомогательные данные'!$C$22)))</f>
        <v>оптимальная работоспособность</v>
      </c>
      <c r="I777" s="61" t="b">
        <f>IF(OR(ЦТО!AT681=1,ЦТО!AU681=1,ЦТО!AV681=1,ЦТО!AX681=1),"Положительная",IF(OR(ЦТО!AY681=1,ЦТО!AZ681=1,ЦТО!BA681=1),"Отрицательная",IF(OR(ЦТО!AW681=1),"Инфантильная")))</f>
        <v>0</v>
      </c>
    </row>
    <row r="778" spans="1:9">
      <c r="A778" s="62">
        <f>ЦТО!A682</f>
        <v>0</v>
      </c>
      <c r="B778" s="62">
        <f>ЦТО!B682</f>
        <v>0</v>
      </c>
      <c r="C778" s="67">
        <f>ЦТО!C682</f>
        <v>0</v>
      </c>
      <c r="D778" s="63">
        <f>ЦТО!D682</f>
        <v>0</v>
      </c>
      <c r="E778" s="68">
        <f>SUM(ЦТО!BB682:BI682)</f>
        <v>0</v>
      </c>
      <c r="F778" s="64" t="str">
        <f>IF(E778&lt;10,'вспомогательные данные'!$C$26,IF(E778&lt;19,'вспомогательные данные'!$C$25,'вспомогательные данные'!$C$24))</f>
        <v>положительный</v>
      </c>
      <c r="G778" s="65">
        <f>(18-ЦТО!AM682-ЦТО!AL682)/(18-ЦТО!AL682-ЦТО!AP682)</f>
        <v>1</v>
      </c>
      <c r="H778" s="66" t="str">
        <f>IF(G778&lt;0.51,'вспомогательные данные'!$C$19,IF(G778&lt;0.92,'вспомогательные данные'!$C$20, IF(G778&lt;2,'вспомогательные данные'!$C$21,'вспомогательные данные'!$C$22)))</f>
        <v>оптимальная работоспособность</v>
      </c>
      <c r="I778" s="61" t="b">
        <f>IF(OR(ЦТО!AT682=1,ЦТО!AU682=1,ЦТО!AV682=1,ЦТО!AX682=1),"Положительная",IF(OR(ЦТО!AY682=1,ЦТО!AZ682=1,ЦТО!BA682=1),"Отрицательная",IF(OR(ЦТО!AW682=1),"Инфантильная")))</f>
        <v>0</v>
      </c>
    </row>
    <row r="779" spans="1:9">
      <c r="A779" s="62">
        <f>ЦТО!A683</f>
        <v>0</v>
      </c>
      <c r="B779" s="62">
        <f>ЦТО!B683</f>
        <v>0</v>
      </c>
      <c r="C779" s="67">
        <f>ЦТО!C683</f>
        <v>0</v>
      </c>
      <c r="D779" s="63">
        <f>ЦТО!D683</f>
        <v>0</v>
      </c>
      <c r="E779" s="68">
        <f>SUM(ЦТО!BB683:BI683)</f>
        <v>0</v>
      </c>
      <c r="F779" s="64" t="str">
        <f>IF(E779&lt;10,'вспомогательные данные'!$C$26,IF(E779&lt;19,'вспомогательные данные'!$C$25,'вспомогательные данные'!$C$24))</f>
        <v>положительный</v>
      </c>
      <c r="G779" s="65">
        <f>(18-ЦТО!AM683-ЦТО!AL683)/(18-ЦТО!AL683-ЦТО!AP683)</f>
        <v>1</v>
      </c>
      <c r="H779" s="66" t="str">
        <f>IF(G779&lt;0.51,'вспомогательные данные'!$C$19,IF(G779&lt;0.92,'вспомогательные данные'!$C$20, IF(G779&lt;2,'вспомогательные данные'!$C$21,'вспомогательные данные'!$C$22)))</f>
        <v>оптимальная работоспособность</v>
      </c>
      <c r="I779" s="61" t="b">
        <f>IF(OR(ЦТО!AT683=1,ЦТО!AU683=1,ЦТО!AV683=1,ЦТО!AX683=1),"Положительная",IF(OR(ЦТО!AY683=1,ЦТО!AZ683=1,ЦТО!BA683=1),"Отрицательная",IF(OR(ЦТО!AW683=1),"Инфантильная")))</f>
        <v>0</v>
      </c>
    </row>
    <row r="780" spans="1:9">
      <c r="A780" s="62">
        <f>ЦТО!A684</f>
        <v>0</v>
      </c>
      <c r="B780" s="62">
        <f>ЦТО!B684</f>
        <v>0</v>
      </c>
      <c r="C780" s="67">
        <f>ЦТО!C684</f>
        <v>0</v>
      </c>
      <c r="D780" s="63">
        <f>ЦТО!D684</f>
        <v>0</v>
      </c>
      <c r="E780" s="68">
        <f>SUM(ЦТО!BB684:BI684)</f>
        <v>0</v>
      </c>
      <c r="F780" s="64" t="str">
        <f>IF(E780&lt;10,'вспомогательные данные'!$C$26,IF(E780&lt;19,'вспомогательные данные'!$C$25,'вспомогательные данные'!$C$24))</f>
        <v>положительный</v>
      </c>
      <c r="G780" s="65">
        <f>(18-ЦТО!AM684-ЦТО!AL684)/(18-ЦТО!AL684-ЦТО!AP684)</f>
        <v>1</v>
      </c>
      <c r="H780" s="66" t="str">
        <f>IF(G780&lt;0.51,'вспомогательные данные'!$C$19,IF(G780&lt;0.92,'вспомогательные данные'!$C$20, IF(G780&lt;2,'вспомогательные данные'!$C$21,'вспомогательные данные'!$C$22)))</f>
        <v>оптимальная работоспособность</v>
      </c>
      <c r="I780" s="61" t="b">
        <f>IF(OR(ЦТО!AT684=1,ЦТО!AU684=1,ЦТО!AV684=1,ЦТО!AX684=1),"Положительная",IF(OR(ЦТО!AY684=1,ЦТО!AZ684=1,ЦТО!BA684=1),"Отрицательная",IF(OR(ЦТО!AW684=1),"Инфантильная")))</f>
        <v>0</v>
      </c>
    </row>
    <row r="781" spans="1:9">
      <c r="A781" s="62">
        <f>ЦТО!A685</f>
        <v>0</v>
      </c>
      <c r="B781" s="62">
        <f>ЦТО!B685</f>
        <v>0</v>
      </c>
      <c r="C781" s="67">
        <f>ЦТО!C685</f>
        <v>0</v>
      </c>
      <c r="D781" s="63">
        <f>ЦТО!D685</f>
        <v>0</v>
      </c>
      <c r="E781" s="68">
        <f>SUM(ЦТО!BB685:BI685)</f>
        <v>0</v>
      </c>
      <c r="F781" s="64" t="str">
        <f>IF(E781&lt;10,'вспомогательные данные'!$C$26,IF(E781&lt;19,'вспомогательные данные'!$C$25,'вспомогательные данные'!$C$24))</f>
        <v>положительный</v>
      </c>
      <c r="G781" s="65">
        <f>(18-ЦТО!AM685-ЦТО!AL685)/(18-ЦТО!AL685-ЦТО!AP685)</f>
        <v>1</v>
      </c>
      <c r="H781" s="66" t="str">
        <f>IF(G781&lt;0.51,'вспомогательные данные'!$C$19,IF(G781&lt;0.92,'вспомогательные данные'!$C$20, IF(G781&lt;2,'вспомогательные данные'!$C$21,'вспомогательные данные'!$C$22)))</f>
        <v>оптимальная работоспособность</v>
      </c>
      <c r="I781" s="61" t="b">
        <f>IF(OR(ЦТО!AT685=1,ЦТО!AU685=1,ЦТО!AV685=1,ЦТО!AX685=1),"Положительная",IF(OR(ЦТО!AY685=1,ЦТО!AZ685=1,ЦТО!BA685=1),"Отрицательная",IF(OR(ЦТО!AW685=1),"Инфантильная")))</f>
        <v>0</v>
      </c>
    </row>
    <row r="782" spans="1:9">
      <c r="A782" s="62">
        <f>ЦТО!A686</f>
        <v>0</v>
      </c>
      <c r="B782" s="62">
        <f>ЦТО!B686</f>
        <v>0</v>
      </c>
      <c r="C782" s="67">
        <f>ЦТО!C686</f>
        <v>0</v>
      </c>
      <c r="D782" s="63">
        <f>ЦТО!D686</f>
        <v>0</v>
      </c>
      <c r="E782" s="68">
        <f>SUM(ЦТО!BB686:BI686)</f>
        <v>0</v>
      </c>
      <c r="F782" s="64" t="str">
        <f>IF(E782&lt;10,'вспомогательные данные'!$C$26,IF(E782&lt;19,'вспомогательные данные'!$C$25,'вспомогательные данные'!$C$24))</f>
        <v>положительный</v>
      </c>
      <c r="G782" s="65">
        <f>(18-ЦТО!AM686-ЦТО!AL686)/(18-ЦТО!AL686-ЦТО!AP686)</f>
        <v>1</v>
      </c>
      <c r="H782" s="66" t="str">
        <f>IF(G782&lt;0.51,'вспомогательные данные'!$C$19,IF(G782&lt;0.92,'вспомогательные данные'!$C$20, IF(G782&lt;2,'вспомогательные данные'!$C$21,'вспомогательные данные'!$C$22)))</f>
        <v>оптимальная работоспособность</v>
      </c>
      <c r="I782" s="61" t="b">
        <f>IF(OR(ЦТО!AT686=1,ЦТО!AU686=1,ЦТО!AV686=1,ЦТО!AX686=1),"Положительная",IF(OR(ЦТО!AY686=1,ЦТО!AZ686=1,ЦТО!BA686=1),"Отрицательная",IF(OR(ЦТО!AW686=1),"Инфантильная")))</f>
        <v>0</v>
      </c>
    </row>
    <row r="783" spans="1:9">
      <c r="A783" s="62">
        <f>ЦТО!A687</f>
        <v>0</v>
      </c>
      <c r="B783" s="62">
        <f>ЦТО!B687</f>
        <v>0</v>
      </c>
      <c r="C783" s="67">
        <f>ЦТО!C687</f>
        <v>0</v>
      </c>
      <c r="D783" s="63">
        <f>ЦТО!D687</f>
        <v>0</v>
      </c>
      <c r="E783" s="68">
        <f>SUM(ЦТО!BB687:BI687)</f>
        <v>0</v>
      </c>
      <c r="F783" s="64" t="str">
        <f>IF(E783&lt;10,'вспомогательные данные'!$C$26,IF(E783&lt;19,'вспомогательные данные'!$C$25,'вспомогательные данные'!$C$24))</f>
        <v>положительный</v>
      </c>
      <c r="G783" s="65">
        <f>(18-ЦТО!AM687-ЦТО!AL687)/(18-ЦТО!AL687-ЦТО!AP687)</f>
        <v>1</v>
      </c>
      <c r="H783" s="66" t="str">
        <f>IF(G783&lt;0.51,'вспомогательные данные'!$C$19,IF(G783&lt;0.92,'вспомогательные данные'!$C$20, IF(G783&lt;2,'вспомогательные данные'!$C$21,'вспомогательные данные'!$C$22)))</f>
        <v>оптимальная работоспособность</v>
      </c>
      <c r="I783" s="61" t="b">
        <f>IF(OR(ЦТО!AT687=1,ЦТО!AU687=1,ЦТО!AV687=1,ЦТО!AX687=1),"Положительная",IF(OR(ЦТО!AY687=1,ЦТО!AZ687=1,ЦТО!BA687=1),"Отрицательная",IF(OR(ЦТО!AW687=1),"Инфантильная")))</f>
        <v>0</v>
      </c>
    </row>
    <row r="784" spans="1:9">
      <c r="A784" s="62">
        <f>ЦТО!A688</f>
        <v>0</v>
      </c>
      <c r="B784" s="62">
        <f>ЦТО!B688</f>
        <v>0</v>
      </c>
      <c r="C784" s="67">
        <f>ЦТО!C688</f>
        <v>0</v>
      </c>
      <c r="D784" s="63">
        <f>ЦТО!D688</f>
        <v>0</v>
      </c>
      <c r="E784" s="68">
        <f>SUM(ЦТО!BB688:BI688)</f>
        <v>0</v>
      </c>
      <c r="F784" s="64" t="str">
        <f>IF(E784&lt;10,'вспомогательные данные'!$C$26,IF(E784&lt;19,'вспомогательные данные'!$C$25,'вспомогательные данные'!$C$24))</f>
        <v>положительный</v>
      </c>
      <c r="G784" s="65">
        <f>(18-ЦТО!AM688-ЦТО!AL688)/(18-ЦТО!AL688-ЦТО!AP688)</f>
        <v>1</v>
      </c>
      <c r="H784" s="66" t="str">
        <f>IF(G784&lt;0.51,'вспомогательные данные'!$C$19,IF(G784&lt;0.92,'вспомогательные данные'!$C$20, IF(G784&lt;2,'вспомогательные данные'!$C$21,'вспомогательные данные'!$C$22)))</f>
        <v>оптимальная работоспособность</v>
      </c>
      <c r="I784" s="61" t="b">
        <f>IF(OR(ЦТО!AT688=1,ЦТО!AU688=1,ЦТО!AV688=1,ЦТО!AX688=1),"Положительная",IF(OR(ЦТО!AY688=1,ЦТО!AZ688=1,ЦТО!BA688=1),"Отрицательная",IF(OR(ЦТО!AW688=1),"Инфантильная")))</f>
        <v>0</v>
      </c>
    </row>
    <row r="785" spans="1:9">
      <c r="A785" s="62">
        <f>ЦТО!A689</f>
        <v>0</v>
      </c>
      <c r="B785" s="62">
        <f>ЦТО!B689</f>
        <v>0</v>
      </c>
      <c r="C785" s="67">
        <f>ЦТО!C689</f>
        <v>0</v>
      </c>
      <c r="D785" s="63">
        <f>ЦТО!D689</f>
        <v>0</v>
      </c>
      <c r="E785" s="68">
        <f>SUM(ЦТО!BB689:BI689)</f>
        <v>0</v>
      </c>
      <c r="F785" s="64" t="str">
        <f>IF(E785&lt;10,'вспомогательные данные'!$C$26,IF(E785&lt;19,'вспомогательные данные'!$C$25,'вспомогательные данные'!$C$24))</f>
        <v>положительный</v>
      </c>
      <c r="G785" s="65">
        <f>(18-ЦТО!AM689-ЦТО!AL689)/(18-ЦТО!AL689-ЦТО!AP689)</f>
        <v>1</v>
      </c>
      <c r="H785" s="66" t="str">
        <f>IF(G785&lt;0.51,'вспомогательные данные'!$C$19,IF(G785&lt;0.92,'вспомогательные данные'!$C$20, IF(G785&lt;2,'вспомогательные данные'!$C$21,'вспомогательные данные'!$C$22)))</f>
        <v>оптимальная работоспособность</v>
      </c>
      <c r="I785" s="61" t="b">
        <f>IF(OR(ЦТО!AT689=1,ЦТО!AU689=1,ЦТО!AV689=1,ЦТО!AX689=1),"Положительная",IF(OR(ЦТО!AY689=1,ЦТО!AZ689=1,ЦТО!BA689=1),"Отрицательная",IF(OR(ЦТО!AW689=1),"Инфантильная")))</f>
        <v>0</v>
      </c>
    </row>
    <row r="786" spans="1:9">
      <c r="A786" s="62">
        <f>ЦТО!A690</f>
        <v>0</v>
      </c>
      <c r="B786" s="62">
        <f>ЦТО!B690</f>
        <v>0</v>
      </c>
      <c r="C786" s="67">
        <f>ЦТО!C690</f>
        <v>0</v>
      </c>
      <c r="D786" s="63">
        <f>ЦТО!D690</f>
        <v>0</v>
      </c>
      <c r="E786" s="68">
        <f>SUM(ЦТО!BB690:BI690)</f>
        <v>0</v>
      </c>
      <c r="F786" s="64" t="str">
        <f>IF(E786&lt;10,'вспомогательные данные'!$C$26,IF(E786&lt;19,'вспомогательные данные'!$C$25,'вспомогательные данные'!$C$24))</f>
        <v>положительный</v>
      </c>
      <c r="G786" s="65">
        <f>(18-ЦТО!AM690-ЦТО!AL690)/(18-ЦТО!AL690-ЦТО!AP690)</f>
        <v>1</v>
      </c>
      <c r="H786" s="66" t="str">
        <f>IF(G786&lt;0.51,'вспомогательные данные'!$C$19,IF(G786&lt;0.92,'вспомогательные данные'!$C$20, IF(G786&lt;2,'вспомогательные данные'!$C$21,'вспомогательные данные'!$C$22)))</f>
        <v>оптимальная работоспособность</v>
      </c>
      <c r="I786" s="61" t="b">
        <f>IF(OR(ЦТО!AT690=1,ЦТО!AU690=1,ЦТО!AV690=1,ЦТО!AX690=1),"Положительная",IF(OR(ЦТО!AY690=1,ЦТО!AZ690=1,ЦТО!BA690=1),"Отрицательная",IF(OR(ЦТО!AW690=1),"Инфантильная")))</f>
        <v>0</v>
      </c>
    </row>
    <row r="787" spans="1:9">
      <c r="A787" s="62">
        <f>ЦТО!A691</f>
        <v>0</v>
      </c>
      <c r="B787" s="62">
        <f>ЦТО!B691</f>
        <v>0</v>
      </c>
      <c r="C787" s="67">
        <f>ЦТО!C691</f>
        <v>0</v>
      </c>
      <c r="D787" s="63">
        <f>ЦТО!D691</f>
        <v>0</v>
      </c>
      <c r="E787" s="68">
        <f>SUM(ЦТО!BB691:BI691)</f>
        <v>0</v>
      </c>
      <c r="F787" s="64" t="str">
        <f>IF(E787&lt;10,'вспомогательные данные'!$C$26,IF(E787&lt;19,'вспомогательные данные'!$C$25,'вспомогательные данные'!$C$24))</f>
        <v>положительный</v>
      </c>
      <c r="G787" s="65">
        <f>(18-ЦТО!AM691-ЦТО!AL691)/(18-ЦТО!AL691-ЦТО!AP691)</f>
        <v>1</v>
      </c>
      <c r="H787" s="66" t="str">
        <f>IF(G787&lt;0.51,'вспомогательные данные'!$C$19,IF(G787&lt;0.92,'вспомогательные данные'!$C$20, IF(G787&lt;2,'вспомогательные данные'!$C$21,'вспомогательные данные'!$C$22)))</f>
        <v>оптимальная работоспособность</v>
      </c>
      <c r="I787" s="61" t="b">
        <f>IF(OR(ЦТО!AT691=1,ЦТО!AU691=1,ЦТО!AV691=1,ЦТО!AX691=1),"Положительная",IF(OR(ЦТО!AY691=1,ЦТО!AZ691=1,ЦТО!BA691=1),"Отрицательная",IF(OR(ЦТО!AW691=1),"Инфантильная")))</f>
        <v>0</v>
      </c>
    </row>
    <row r="788" spans="1:9">
      <c r="A788" s="62">
        <f>ЦТО!A692</f>
        <v>0</v>
      </c>
      <c r="B788" s="62">
        <f>ЦТО!B692</f>
        <v>0</v>
      </c>
      <c r="C788" s="67">
        <f>ЦТО!C692</f>
        <v>0</v>
      </c>
      <c r="D788" s="63">
        <f>ЦТО!D692</f>
        <v>0</v>
      </c>
      <c r="E788" s="68">
        <f>SUM(ЦТО!BB692:BI692)</f>
        <v>0</v>
      </c>
      <c r="F788" s="64" t="str">
        <f>IF(E788&lt;10,'вспомогательные данные'!$C$26,IF(E788&lt;19,'вспомогательные данные'!$C$25,'вспомогательные данные'!$C$24))</f>
        <v>положительный</v>
      </c>
      <c r="G788" s="65">
        <f>(18-ЦТО!AM692-ЦТО!AL692)/(18-ЦТО!AL692-ЦТО!AP692)</f>
        <v>1</v>
      </c>
      <c r="H788" s="66" t="str">
        <f>IF(G788&lt;0.51,'вспомогательные данные'!$C$19,IF(G788&lt;0.92,'вспомогательные данные'!$C$20, IF(G788&lt;2,'вспомогательные данные'!$C$21,'вспомогательные данные'!$C$22)))</f>
        <v>оптимальная работоспособность</v>
      </c>
      <c r="I788" s="61" t="b">
        <f>IF(OR(ЦТО!AT692=1,ЦТО!AU692=1,ЦТО!AV692=1,ЦТО!AX692=1),"Положительная",IF(OR(ЦТО!AY692=1,ЦТО!AZ692=1,ЦТО!BA692=1),"Отрицательная",IF(OR(ЦТО!AW692=1),"Инфантильная")))</f>
        <v>0</v>
      </c>
    </row>
    <row r="789" spans="1:9">
      <c r="A789" s="62">
        <f>ЦТО!A693</f>
        <v>0</v>
      </c>
      <c r="B789" s="62">
        <f>ЦТО!B693</f>
        <v>0</v>
      </c>
      <c r="C789" s="67">
        <f>ЦТО!C693</f>
        <v>0</v>
      </c>
      <c r="D789" s="63">
        <f>ЦТО!D693</f>
        <v>0</v>
      </c>
      <c r="E789" s="68">
        <f>SUM(ЦТО!BB693:BI693)</f>
        <v>0</v>
      </c>
      <c r="F789" s="64" t="str">
        <f>IF(E789&lt;10,'вспомогательные данные'!$C$26,IF(E789&lt;19,'вспомогательные данные'!$C$25,'вспомогательные данные'!$C$24))</f>
        <v>положительный</v>
      </c>
      <c r="G789" s="65">
        <f>(18-ЦТО!AM693-ЦТО!AL693)/(18-ЦТО!AL693-ЦТО!AP693)</f>
        <v>1</v>
      </c>
      <c r="H789" s="66" t="str">
        <f>IF(G789&lt;0.51,'вспомогательные данные'!$C$19,IF(G789&lt;0.92,'вспомогательные данные'!$C$20, IF(G789&lt;2,'вспомогательные данные'!$C$21,'вспомогательные данные'!$C$22)))</f>
        <v>оптимальная работоспособность</v>
      </c>
      <c r="I789" s="61" t="b">
        <f>IF(OR(ЦТО!AT693=1,ЦТО!AU693=1,ЦТО!AV693=1,ЦТО!AX693=1),"Положительная",IF(OR(ЦТО!AY693=1,ЦТО!AZ693=1,ЦТО!BA693=1),"Отрицательная",IF(OR(ЦТО!AW693=1),"Инфантильная")))</f>
        <v>0</v>
      </c>
    </row>
    <row r="790" spans="1:9">
      <c r="A790" s="62">
        <f>ЦТО!A694</f>
        <v>0</v>
      </c>
      <c r="B790" s="62">
        <f>ЦТО!B694</f>
        <v>0</v>
      </c>
      <c r="C790" s="67">
        <f>ЦТО!C694</f>
        <v>0</v>
      </c>
      <c r="D790" s="63">
        <f>ЦТО!D694</f>
        <v>0</v>
      </c>
      <c r="E790" s="68">
        <f>SUM(ЦТО!BB694:BI694)</f>
        <v>0</v>
      </c>
      <c r="F790" s="64" t="str">
        <f>IF(E790&lt;10,'вспомогательные данные'!$C$26,IF(E790&lt;19,'вспомогательные данные'!$C$25,'вспомогательные данные'!$C$24))</f>
        <v>положительный</v>
      </c>
      <c r="G790" s="65">
        <f>(18-ЦТО!AM694-ЦТО!AL694)/(18-ЦТО!AL694-ЦТО!AP694)</f>
        <v>1</v>
      </c>
      <c r="H790" s="66" t="str">
        <f>IF(G790&lt;0.51,'вспомогательные данные'!$C$19,IF(G790&lt;0.92,'вспомогательные данные'!$C$20, IF(G790&lt;2,'вспомогательные данные'!$C$21,'вспомогательные данные'!$C$22)))</f>
        <v>оптимальная работоспособность</v>
      </c>
      <c r="I790" s="61" t="b">
        <f>IF(OR(ЦТО!AT694=1,ЦТО!AU694=1,ЦТО!AV694=1,ЦТО!AX694=1),"Положительная",IF(OR(ЦТО!AY694=1,ЦТО!AZ694=1,ЦТО!BA694=1),"Отрицательная",IF(OR(ЦТО!AW694=1),"Инфантильная")))</f>
        <v>0</v>
      </c>
    </row>
    <row r="791" spans="1:9">
      <c r="A791" s="62">
        <f>ЦТО!A695</f>
        <v>0</v>
      </c>
      <c r="B791" s="62">
        <f>ЦТО!B695</f>
        <v>0</v>
      </c>
      <c r="C791" s="67">
        <f>ЦТО!C695</f>
        <v>0</v>
      </c>
      <c r="D791" s="63">
        <f>ЦТО!D695</f>
        <v>0</v>
      </c>
      <c r="E791" s="68">
        <f>SUM(ЦТО!BB695:BI695)</f>
        <v>0</v>
      </c>
      <c r="F791" s="64" t="str">
        <f>IF(E791&lt;10,'вспомогательные данные'!$C$26,IF(E791&lt;19,'вспомогательные данные'!$C$25,'вспомогательные данные'!$C$24))</f>
        <v>положительный</v>
      </c>
      <c r="G791" s="65">
        <f>(18-ЦТО!AM695-ЦТО!AL695)/(18-ЦТО!AL695-ЦТО!AP695)</f>
        <v>1</v>
      </c>
      <c r="H791" s="66" t="str">
        <f>IF(G791&lt;0.51,'вспомогательные данные'!$C$19,IF(G791&lt;0.92,'вспомогательные данные'!$C$20, IF(G791&lt;2,'вспомогательные данные'!$C$21,'вспомогательные данные'!$C$22)))</f>
        <v>оптимальная работоспособность</v>
      </c>
      <c r="I791" s="61" t="b">
        <f>IF(OR(ЦТО!AT695=1,ЦТО!AU695=1,ЦТО!AV695=1,ЦТО!AX695=1),"Положительная",IF(OR(ЦТО!AY695=1,ЦТО!AZ695=1,ЦТО!BA695=1),"Отрицательная",IF(OR(ЦТО!AW695=1),"Инфантильная")))</f>
        <v>0</v>
      </c>
    </row>
    <row r="792" spans="1:9">
      <c r="A792" s="62">
        <f>ЦТО!A696</f>
        <v>0</v>
      </c>
      <c r="B792" s="62">
        <f>ЦТО!B696</f>
        <v>0</v>
      </c>
      <c r="C792" s="67">
        <f>ЦТО!C696</f>
        <v>0</v>
      </c>
      <c r="D792" s="63">
        <f>ЦТО!D696</f>
        <v>0</v>
      </c>
      <c r="E792" s="68">
        <f>SUM(ЦТО!BB696:BI696)</f>
        <v>0</v>
      </c>
      <c r="F792" s="64" t="str">
        <f>IF(E792&lt;10,'вспомогательные данные'!$C$26,IF(E792&lt;19,'вспомогательные данные'!$C$25,'вспомогательные данные'!$C$24))</f>
        <v>положительный</v>
      </c>
      <c r="G792" s="65">
        <f>(18-ЦТО!AM696-ЦТО!AL696)/(18-ЦТО!AL696-ЦТО!AP696)</f>
        <v>1</v>
      </c>
      <c r="H792" s="66" t="str">
        <f>IF(G792&lt;0.51,'вспомогательные данные'!$C$19,IF(G792&lt;0.92,'вспомогательные данные'!$C$20, IF(G792&lt;2,'вспомогательные данные'!$C$21,'вспомогательные данные'!$C$22)))</f>
        <v>оптимальная работоспособность</v>
      </c>
      <c r="I792" s="61" t="b">
        <f>IF(OR(ЦТО!AT696=1,ЦТО!AU696=1,ЦТО!AV696=1,ЦТО!AX696=1),"Положительная",IF(OR(ЦТО!AY696=1,ЦТО!AZ696=1,ЦТО!BA696=1),"Отрицательная",IF(OR(ЦТО!AW696=1),"Инфантильная")))</f>
        <v>0</v>
      </c>
    </row>
    <row r="793" spans="1:9">
      <c r="A793" s="62">
        <f>ЦТО!A697</f>
        <v>0</v>
      </c>
      <c r="B793" s="62">
        <f>ЦТО!B697</f>
        <v>0</v>
      </c>
      <c r="C793" s="67">
        <f>ЦТО!C697</f>
        <v>0</v>
      </c>
      <c r="D793" s="63">
        <f>ЦТО!D697</f>
        <v>0</v>
      </c>
      <c r="E793" s="68">
        <f>SUM(ЦТО!BB697:BI697)</f>
        <v>0</v>
      </c>
      <c r="F793" s="64" t="str">
        <f>IF(E793&lt;10,'вспомогательные данные'!$C$26,IF(E793&lt;19,'вспомогательные данные'!$C$25,'вспомогательные данные'!$C$24))</f>
        <v>положительный</v>
      </c>
      <c r="G793" s="65">
        <f>(18-ЦТО!AM697-ЦТО!AL697)/(18-ЦТО!AL697-ЦТО!AP697)</f>
        <v>1</v>
      </c>
      <c r="H793" s="66" t="str">
        <f>IF(G793&lt;0.51,'вспомогательные данные'!$C$19,IF(G793&lt;0.92,'вспомогательные данные'!$C$20, IF(G793&lt;2,'вспомогательные данные'!$C$21,'вспомогательные данные'!$C$22)))</f>
        <v>оптимальная работоспособность</v>
      </c>
      <c r="I793" s="61" t="b">
        <f>IF(OR(ЦТО!AT697=1,ЦТО!AU697=1,ЦТО!AV697=1,ЦТО!AX697=1),"Положительная",IF(OR(ЦТО!AY697=1,ЦТО!AZ697=1,ЦТО!BA697=1),"Отрицательная",IF(OR(ЦТО!AW697=1),"Инфантильная")))</f>
        <v>0</v>
      </c>
    </row>
    <row r="794" spans="1:9">
      <c r="A794" s="62">
        <f>ЦТО!A698</f>
        <v>0</v>
      </c>
      <c r="B794" s="62">
        <f>ЦТО!B698</f>
        <v>0</v>
      </c>
      <c r="C794" s="67">
        <f>ЦТО!C698</f>
        <v>0</v>
      </c>
      <c r="D794" s="63">
        <f>ЦТО!D698</f>
        <v>0</v>
      </c>
      <c r="E794" s="68">
        <f>SUM(ЦТО!BB698:BI698)</f>
        <v>0</v>
      </c>
      <c r="F794" s="64" t="str">
        <f>IF(E794&lt;10,'вспомогательные данные'!$C$26,IF(E794&lt;19,'вспомогательные данные'!$C$25,'вспомогательные данные'!$C$24))</f>
        <v>положительный</v>
      </c>
      <c r="G794" s="65">
        <f>(18-ЦТО!AM698-ЦТО!AL698)/(18-ЦТО!AL698-ЦТО!AP698)</f>
        <v>1</v>
      </c>
      <c r="H794" s="66" t="str">
        <f>IF(G794&lt;0.51,'вспомогательные данные'!$C$19,IF(G794&lt;0.92,'вспомогательные данные'!$C$20, IF(G794&lt;2,'вспомогательные данные'!$C$21,'вспомогательные данные'!$C$22)))</f>
        <v>оптимальная работоспособность</v>
      </c>
      <c r="I794" s="61" t="b">
        <f>IF(OR(ЦТО!AT698=1,ЦТО!AU698=1,ЦТО!AV698=1,ЦТО!AX698=1),"Положительная",IF(OR(ЦТО!AY698=1,ЦТО!AZ698=1,ЦТО!BA698=1),"Отрицательная",IF(OR(ЦТО!AW698=1),"Инфантильная")))</f>
        <v>0</v>
      </c>
    </row>
    <row r="795" spans="1:9">
      <c r="A795" s="62">
        <f>ЦТО!A699</f>
        <v>0</v>
      </c>
      <c r="B795" s="62">
        <f>ЦТО!B699</f>
        <v>0</v>
      </c>
      <c r="C795" s="67">
        <f>ЦТО!C699</f>
        <v>0</v>
      </c>
      <c r="D795" s="63">
        <f>ЦТО!D699</f>
        <v>0</v>
      </c>
      <c r="E795" s="68">
        <f>SUM(ЦТО!BB699:BI699)</f>
        <v>0</v>
      </c>
      <c r="F795" s="64" t="str">
        <f>IF(E795&lt;10,'вспомогательные данные'!$C$26,IF(E795&lt;19,'вспомогательные данные'!$C$25,'вспомогательные данные'!$C$24))</f>
        <v>положительный</v>
      </c>
      <c r="G795" s="65">
        <f>(18-ЦТО!AM699-ЦТО!AL699)/(18-ЦТО!AL699-ЦТО!AP699)</f>
        <v>1</v>
      </c>
      <c r="H795" s="66" t="str">
        <f>IF(G795&lt;0.51,'вспомогательные данные'!$C$19,IF(G795&lt;0.92,'вспомогательные данные'!$C$20, IF(G795&lt;2,'вспомогательные данные'!$C$21,'вспомогательные данные'!$C$22)))</f>
        <v>оптимальная работоспособность</v>
      </c>
      <c r="I795" s="61" t="b">
        <f>IF(OR(ЦТО!AT699=1,ЦТО!AU699=1,ЦТО!AV699=1,ЦТО!AX699=1),"Положительная",IF(OR(ЦТО!AY699=1,ЦТО!AZ699=1,ЦТО!BA699=1),"Отрицательная",IF(OR(ЦТО!AW699=1),"Инфантильная")))</f>
        <v>0</v>
      </c>
    </row>
    <row r="796" spans="1:9">
      <c r="A796" s="62">
        <f>ЦТО!A700</f>
        <v>0</v>
      </c>
      <c r="B796" s="62">
        <f>ЦТО!B700</f>
        <v>0</v>
      </c>
      <c r="C796" s="67">
        <f>ЦТО!C700</f>
        <v>0</v>
      </c>
      <c r="D796" s="63">
        <f>ЦТО!D700</f>
        <v>0</v>
      </c>
      <c r="E796" s="68">
        <f>SUM(ЦТО!BB700:BI700)</f>
        <v>0</v>
      </c>
      <c r="F796" s="64" t="str">
        <f>IF(E796&lt;10,'вспомогательные данные'!$C$26,IF(E796&lt;19,'вспомогательные данные'!$C$25,'вспомогательные данные'!$C$24))</f>
        <v>положительный</v>
      </c>
      <c r="G796" s="65">
        <f>(18-ЦТО!AM700-ЦТО!AL700)/(18-ЦТО!AL700-ЦТО!AP700)</f>
        <v>1</v>
      </c>
      <c r="H796" s="66" t="str">
        <f>IF(G796&lt;0.51,'вспомогательные данные'!$C$19,IF(G796&lt;0.92,'вспомогательные данные'!$C$20, IF(G796&lt;2,'вспомогательные данные'!$C$21,'вспомогательные данные'!$C$22)))</f>
        <v>оптимальная работоспособность</v>
      </c>
      <c r="I796" s="61" t="b">
        <f>IF(OR(ЦТО!AT700=1,ЦТО!AU700=1,ЦТО!AV700=1,ЦТО!AX700=1),"Положительная",IF(OR(ЦТО!AY700=1,ЦТО!AZ700=1,ЦТО!BA700=1),"Отрицательная",IF(OR(ЦТО!AW700=1),"Инфантильная")))</f>
        <v>0</v>
      </c>
    </row>
    <row r="797" spans="1:9">
      <c r="A797" s="62">
        <f>ЦТО!A701</f>
        <v>0</v>
      </c>
      <c r="B797" s="62">
        <f>ЦТО!B701</f>
        <v>0</v>
      </c>
      <c r="C797" s="67">
        <f>ЦТО!C701</f>
        <v>0</v>
      </c>
      <c r="D797" s="63">
        <f>ЦТО!D701</f>
        <v>0</v>
      </c>
      <c r="E797" s="68">
        <f>SUM(ЦТО!BB701:BI701)</f>
        <v>0</v>
      </c>
      <c r="F797" s="64" t="str">
        <f>IF(E797&lt;10,'вспомогательные данные'!$C$26,IF(E797&lt;19,'вспомогательные данные'!$C$25,'вспомогательные данные'!$C$24))</f>
        <v>положительный</v>
      </c>
      <c r="G797" s="65">
        <f>(18-ЦТО!AM701-ЦТО!AL701)/(18-ЦТО!AL701-ЦТО!AP701)</f>
        <v>1</v>
      </c>
      <c r="H797" s="66" t="str">
        <f>IF(G797&lt;0.51,'вспомогательные данные'!$C$19,IF(G797&lt;0.92,'вспомогательные данные'!$C$20, IF(G797&lt;2,'вспомогательные данные'!$C$21,'вспомогательные данные'!$C$22)))</f>
        <v>оптимальная работоспособность</v>
      </c>
      <c r="I797" s="61" t="b">
        <f>IF(OR(ЦТО!AT701=1,ЦТО!AU701=1,ЦТО!AV701=1,ЦТО!AX701=1),"Положительная",IF(OR(ЦТО!AY701=1,ЦТО!AZ701=1,ЦТО!BA701=1),"Отрицательная",IF(OR(ЦТО!AW701=1),"Инфантильная")))</f>
        <v>0</v>
      </c>
    </row>
    <row r="798" spans="1:9">
      <c r="A798" s="62">
        <f>ЦТО!A702</f>
        <v>0</v>
      </c>
      <c r="B798" s="62">
        <f>ЦТО!B702</f>
        <v>0</v>
      </c>
      <c r="C798" s="67">
        <f>ЦТО!C702</f>
        <v>0</v>
      </c>
      <c r="D798" s="63">
        <f>ЦТО!D702</f>
        <v>0</v>
      </c>
      <c r="E798" s="68">
        <f>SUM(ЦТО!BB702:BI702)</f>
        <v>0</v>
      </c>
      <c r="F798" s="64" t="str">
        <f>IF(E798&lt;10,'вспомогательные данные'!$C$26,IF(E798&lt;19,'вспомогательные данные'!$C$25,'вспомогательные данные'!$C$24))</f>
        <v>положительный</v>
      </c>
      <c r="G798" s="65">
        <f>(18-ЦТО!AM702-ЦТО!AL702)/(18-ЦТО!AL702-ЦТО!AP702)</f>
        <v>1</v>
      </c>
      <c r="H798" s="66" t="str">
        <f>IF(G798&lt;0.51,'вспомогательные данные'!$C$19,IF(G798&lt;0.92,'вспомогательные данные'!$C$20, IF(G798&lt;2,'вспомогательные данные'!$C$21,'вспомогательные данные'!$C$22)))</f>
        <v>оптимальная работоспособность</v>
      </c>
      <c r="I798" s="61" t="b">
        <f>IF(OR(ЦТО!AT702=1,ЦТО!AU702=1,ЦТО!AV702=1,ЦТО!AX702=1),"Положительная",IF(OR(ЦТО!AY702=1,ЦТО!AZ702=1,ЦТО!BA702=1),"Отрицательная",IF(OR(ЦТО!AW702=1),"Инфантильная")))</f>
        <v>0</v>
      </c>
    </row>
    <row r="799" spans="1:9">
      <c r="A799" s="62">
        <f>ЦТО!A703</f>
        <v>0</v>
      </c>
      <c r="B799" s="62">
        <f>ЦТО!B703</f>
        <v>0</v>
      </c>
      <c r="C799" s="67">
        <f>ЦТО!C703</f>
        <v>0</v>
      </c>
      <c r="D799" s="63">
        <f>ЦТО!D703</f>
        <v>0</v>
      </c>
      <c r="E799" s="68">
        <f>SUM(ЦТО!BB703:BI703)</f>
        <v>0</v>
      </c>
      <c r="F799" s="64" t="str">
        <f>IF(E799&lt;10,'вспомогательные данные'!$C$26,IF(E799&lt;19,'вспомогательные данные'!$C$25,'вспомогательные данные'!$C$24))</f>
        <v>положительный</v>
      </c>
      <c r="G799" s="65">
        <f>(18-ЦТО!AM703-ЦТО!AL703)/(18-ЦТО!AL703-ЦТО!AP703)</f>
        <v>1</v>
      </c>
      <c r="H799" s="66" t="str">
        <f>IF(G799&lt;0.51,'вспомогательные данные'!$C$19,IF(G799&lt;0.92,'вспомогательные данные'!$C$20, IF(G799&lt;2,'вспомогательные данные'!$C$21,'вспомогательные данные'!$C$22)))</f>
        <v>оптимальная работоспособность</v>
      </c>
      <c r="I799" s="61" t="b">
        <f>IF(OR(ЦТО!AT703=1,ЦТО!AU703=1,ЦТО!AV703=1,ЦТО!AX703=1),"Положительная",IF(OR(ЦТО!AY703=1,ЦТО!AZ703=1,ЦТО!BA703=1),"Отрицательная",IF(OR(ЦТО!AW703=1),"Инфантильная")))</f>
        <v>0</v>
      </c>
    </row>
    <row r="800" spans="1:9">
      <c r="A800" s="62">
        <f>ЦТО!A704</f>
        <v>0</v>
      </c>
      <c r="B800" s="62">
        <f>ЦТО!B704</f>
        <v>0</v>
      </c>
      <c r="C800" s="67">
        <f>ЦТО!C704</f>
        <v>0</v>
      </c>
      <c r="D800" s="63">
        <f>ЦТО!D704</f>
        <v>0</v>
      </c>
      <c r="E800" s="68">
        <f>SUM(ЦТО!BB704:BI704)</f>
        <v>0</v>
      </c>
      <c r="F800" s="64" t="str">
        <f>IF(E800&lt;10,'вспомогательные данные'!$C$26,IF(E800&lt;19,'вспомогательные данные'!$C$25,'вспомогательные данные'!$C$24))</f>
        <v>положительный</v>
      </c>
      <c r="G800" s="65">
        <f>(18-ЦТО!AM704-ЦТО!AL704)/(18-ЦТО!AL704-ЦТО!AP704)</f>
        <v>1</v>
      </c>
      <c r="H800" s="66" t="str">
        <f>IF(G800&lt;0.51,'вспомогательные данные'!$C$19,IF(G800&lt;0.92,'вспомогательные данные'!$C$20, IF(G800&lt;2,'вспомогательные данные'!$C$21,'вспомогательные данные'!$C$22)))</f>
        <v>оптимальная работоспособность</v>
      </c>
      <c r="I800" s="61" t="b">
        <f>IF(OR(ЦТО!AT704=1,ЦТО!AU704=1,ЦТО!AV704=1,ЦТО!AX704=1),"Положительная",IF(OR(ЦТО!AY704=1,ЦТО!AZ704=1,ЦТО!BA704=1),"Отрицательная",IF(OR(ЦТО!AW704=1),"Инфантильная")))</f>
        <v>0</v>
      </c>
    </row>
    <row r="801" spans="1:9">
      <c r="A801" s="62">
        <f>ЦТО!A705</f>
        <v>0</v>
      </c>
      <c r="B801" s="62">
        <f>ЦТО!B705</f>
        <v>0</v>
      </c>
      <c r="C801" s="67">
        <f>ЦТО!C705</f>
        <v>0</v>
      </c>
      <c r="D801" s="63">
        <f>ЦТО!D705</f>
        <v>0</v>
      </c>
      <c r="E801" s="68">
        <f>SUM(ЦТО!BB705:BI705)</f>
        <v>0</v>
      </c>
      <c r="F801" s="64" t="str">
        <f>IF(E801&lt;10,'вспомогательные данные'!$C$26,IF(E801&lt;19,'вспомогательные данные'!$C$25,'вспомогательные данные'!$C$24))</f>
        <v>положительный</v>
      </c>
      <c r="G801" s="65">
        <f>(18-ЦТО!AM705-ЦТО!AL705)/(18-ЦТО!AL705-ЦТО!AP705)</f>
        <v>1</v>
      </c>
      <c r="H801" s="66" t="str">
        <f>IF(G801&lt;0.51,'вспомогательные данные'!$C$19,IF(G801&lt;0.92,'вспомогательные данные'!$C$20, IF(G801&lt;2,'вспомогательные данные'!$C$21,'вспомогательные данные'!$C$22)))</f>
        <v>оптимальная работоспособность</v>
      </c>
      <c r="I801" s="61" t="b">
        <f>IF(OR(ЦТО!AT705=1,ЦТО!AU705=1,ЦТО!AV705=1,ЦТО!AX705=1),"Положительная",IF(OR(ЦТО!AY705=1,ЦТО!AZ705=1,ЦТО!BA705=1),"Отрицательная",IF(OR(ЦТО!AW705=1),"Инфантильная")))</f>
        <v>0</v>
      </c>
    </row>
    <row r="802" spans="1:9">
      <c r="A802" s="62">
        <f>ЦТО!A706</f>
        <v>0</v>
      </c>
      <c r="B802" s="62">
        <f>ЦТО!B706</f>
        <v>0</v>
      </c>
      <c r="C802" s="67">
        <f>ЦТО!C706</f>
        <v>0</v>
      </c>
      <c r="D802" s="63">
        <f>ЦТО!D706</f>
        <v>0</v>
      </c>
      <c r="E802" s="68">
        <f>SUM(ЦТО!BB706:BI706)</f>
        <v>0</v>
      </c>
      <c r="F802" s="64" t="str">
        <f>IF(E802&lt;10,'вспомогательные данные'!$C$26,IF(E802&lt;19,'вспомогательные данные'!$C$25,'вспомогательные данные'!$C$24))</f>
        <v>положительный</v>
      </c>
      <c r="G802" s="65">
        <f>(18-ЦТО!AM706-ЦТО!AL706)/(18-ЦТО!AL706-ЦТО!AP706)</f>
        <v>1</v>
      </c>
      <c r="H802" s="66" t="str">
        <f>IF(G802&lt;0.51,'вспомогательные данные'!$C$19,IF(G802&lt;0.92,'вспомогательные данные'!$C$20, IF(G802&lt;2,'вспомогательные данные'!$C$21,'вспомогательные данные'!$C$22)))</f>
        <v>оптимальная работоспособность</v>
      </c>
      <c r="I802" s="61" t="b">
        <f>IF(OR(ЦТО!AT706=1,ЦТО!AU706=1,ЦТО!AV706=1,ЦТО!AX706=1),"Положительная",IF(OR(ЦТО!AY706=1,ЦТО!AZ706=1,ЦТО!BA706=1),"Отрицательная",IF(OR(ЦТО!AW706=1),"Инфантильная")))</f>
        <v>0</v>
      </c>
    </row>
    <row r="803" spans="1:9">
      <c r="A803" s="62">
        <f>ЦТО!A707</f>
        <v>0</v>
      </c>
      <c r="B803" s="62">
        <f>ЦТО!B707</f>
        <v>0</v>
      </c>
      <c r="C803" s="67">
        <f>ЦТО!C707</f>
        <v>0</v>
      </c>
      <c r="D803" s="63">
        <f>ЦТО!D707</f>
        <v>0</v>
      </c>
      <c r="E803" s="68">
        <f>SUM(ЦТО!BB707:BI707)</f>
        <v>0</v>
      </c>
      <c r="F803" s="64" t="str">
        <f>IF(E803&lt;10,'вспомогательные данные'!$C$26,IF(E803&lt;19,'вспомогательные данные'!$C$25,'вспомогательные данные'!$C$24))</f>
        <v>положительный</v>
      </c>
      <c r="G803" s="65">
        <f>(18-ЦТО!AM707-ЦТО!AL707)/(18-ЦТО!AL707-ЦТО!AP707)</f>
        <v>1</v>
      </c>
      <c r="H803" s="66" t="str">
        <f>IF(G803&lt;0.51,'вспомогательные данные'!$C$19,IF(G803&lt;0.92,'вспомогательные данные'!$C$20, IF(G803&lt;2,'вспомогательные данные'!$C$21,'вспомогательные данные'!$C$22)))</f>
        <v>оптимальная работоспособность</v>
      </c>
      <c r="I803" s="61" t="b">
        <f>IF(OR(ЦТО!AT707=1,ЦТО!AU707=1,ЦТО!AV707=1,ЦТО!AX707=1),"Положительная",IF(OR(ЦТО!AY707=1,ЦТО!AZ707=1,ЦТО!BA707=1),"Отрицательная",IF(OR(ЦТО!AW707=1),"Инфантильная")))</f>
        <v>0</v>
      </c>
    </row>
    <row r="804" spans="1:9">
      <c r="A804" s="62">
        <f>ЦТО!A708</f>
        <v>0</v>
      </c>
      <c r="B804" s="62">
        <f>ЦТО!B708</f>
        <v>0</v>
      </c>
      <c r="C804" s="67">
        <f>ЦТО!C708</f>
        <v>0</v>
      </c>
      <c r="D804" s="63">
        <f>ЦТО!D708</f>
        <v>0</v>
      </c>
      <c r="E804" s="68">
        <f>SUM(ЦТО!BB708:BI708)</f>
        <v>0</v>
      </c>
      <c r="F804" s="64" t="str">
        <f>IF(E804&lt;10,'вспомогательные данные'!$C$26,IF(E804&lt;19,'вспомогательные данные'!$C$25,'вспомогательные данные'!$C$24))</f>
        <v>положительный</v>
      </c>
      <c r="G804" s="65">
        <f>(18-ЦТО!AM708-ЦТО!AL708)/(18-ЦТО!AL708-ЦТО!AP708)</f>
        <v>1</v>
      </c>
      <c r="H804" s="66" t="str">
        <f>IF(G804&lt;0.51,'вспомогательные данные'!$C$19,IF(G804&lt;0.92,'вспомогательные данные'!$C$20, IF(G804&lt;2,'вспомогательные данные'!$C$21,'вспомогательные данные'!$C$22)))</f>
        <v>оптимальная работоспособность</v>
      </c>
      <c r="I804" s="61" t="b">
        <f>IF(OR(ЦТО!AT708=1,ЦТО!AU708=1,ЦТО!AV708=1,ЦТО!AX708=1),"Положительная",IF(OR(ЦТО!AY708=1,ЦТО!AZ708=1,ЦТО!BA708=1),"Отрицательная",IF(OR(ЦТО!AW708=1),"Инфантильная")))</f>
        <v>0</v>
      </c>
    </row>
    <row r="805" spans="1:9">
      <c r="A805" s="62">
        <f>ЦТО!A709</f>
        <v>0</v>
      </c>
      <c r="B805" s="62">
        <f>ЦТО!B709</f>
        <v>0</v>
      </c>
      <c r="C805" s="67">
        <f>ЦТО!C709</f>
        <v>0</v>
      </c>
      <c r="D805" s="63">
        <f>ЦТО!D709</f>
        <v>0</v>
      </c>
      <c r="E805" s="68">
        <f>SUM(ЦТО!BB709:BI709)</f>
        <v>0</v>
      </c>
      <c r="F805" s="64" t="str">
        <f>IF(E805&lt;10,'вспомогательные данные'!$C$26,IF(E805&lt;19,'вспомогательные данные'!$C$25,'вспомогательные данные'!$C$24))</f>
        <v>положительный</v>
      </c>
      <c r="G805" s="65">
        <f>(18-ЦТО!AM709-ЦТО!AL709)/(18-ЦТО!AL709-ЦТО!AP709)</f>
        <v>1</v>
      </c>
      <c r="H805" s="66" t="str">
        <f>IF(G805&lt;0.51,'вспомогательные данные'!$C$19,IF(G805&lt;0.92,'вспомогательные данные'!$C$20, IF(G805&lt;2,'вспомогательные данные'!$C$21,'вспомогательные данные'!$C$22)))</f>
        <v>оптимальная работоспособность</v>
      </c>
      <c r="I805" s="61" t="b">
        <f>IF(OR(ЦТО!AT709=1,ЦТО!AU709=1,ЦТО!AV709=1,ЦТО!AX709=1),"Положительная",IF(OR(ЦТО!AY709=1,ЦТО!AZ709=1,ЦТО!BA709=1),"Отрицательная",IF(OR(ЦТО!AW709=1),"Инфантильная")))</f>
        <v>0</v>
      </c>
    </row>
    <row r="806" spans="1:9">
      <c r="A806" s="62">
        <f>ЦТО!A710</f>
        <v>0</v>
      </c>
      <c r="B806" s="62">
        <f>ЦТО!B710</f>
        <v>0</v>
      </c>
      <c r="C806" s="67">
        <f>ЦТО!C710</f>
        <v>0</v>
      </c>
      <c r="D806" s="63">
        <f>ЦТО!D710</f>
        <v>0</v>
      </c>
      <c r="E806" s="68">
        <f>SUM(ЦТО!BB710:BI710)</f>
        <v>0</v>
      </c>
      <c r="F806" s="64" t="str">
        <f>IF(E806&lt;10,'вспомогательные данные'!$C$26,IF(E806&lt;19,'вспомогательные данные'!$C$25,'вспомогательные данные'!$C$24))</f>
        <v>положительный</v>
      </c>
      <c r="G806" s="65">
        <f>(18-ЦТО!AM710-ЦТО!AL710)/(18-ЦТО!AL710-ЦТО!AP710)</f>
        <v>1</v>
      </c>
      <c r="H806" s="66" t="str">
        <f>IF(G806&lt;0.51,'вспомогательные данные'!$C$19,IF(G806&lt;0.92,'вспомогательные данные'!$C$20, IF(G806&lt;2,'вспомогательные данные'!$C$21,'вспомогательные данные'!$C$22)))</f>
        <v>оптимальная работоспособность</v>
      </c>
      <c r="I806" s="61" t="b">
        <f>IF(OR(ЦТО!AT710=1,ЦТО!AU710=1,ЦТО!AV710=1,ЦТО!AX710=1),"Положительная",IF(OR(ЦТО!AY710=1,ЦТО!AZ710=1,ЦТО!BA710=1),"Отрицательная",IF(OR(ЦТО!AW710=1),"Инфантильная")))</f>
        <v>0</v>
      </c>
    </row>
    <row r="807" spans="1:9">
      <c r="A807" s="62">
        <f>ЦТО!A711</f>
        <v>0</v>
      </c>
      <c r="B807" s="62">
        <f>ЦТО!B711</f>
        <v>0</v>
      </c>
      <c r="C807" s="67">
        <f>ЦТО!C711</f>
        <v>0</v>
      </c>
      <c r="D807" s="63">
        <f>ЦТО!D711</f>
        <v>0</v>
      </c>
      <c r="E807" s="68">
        <f>SUM(ЦТО!BB711:BI711)</f>
        <v>0</v>
      </c>
      <c r="F807" s="64" t="str">
        <f>IF(E807&lt;10,'вспомогательные данные'!$C$26,IF(E807&lt;19,'вспомогательные данные'!$C$25,'вспомогательные данные'!$C$24))</f>
        <v>положительный</v>
      </c>
      <c r="G807" s="65">
        <f>(18-ЦТО!AM711-ЦТО!AL711)/(18-ЦТО!AL711-ЦТО!AP711)</f>
        <v>1</v>
      </c>
      <c r="H807" s="66" t="str">
        <f>IF(G807&lt;0.51,'вспомогательные данные'!$C$19,IF(G807&lt;0.92,'вспомогательные данные'!$C$20, IF(G807&lt;2,'вспомогательные данные'!$C$21,'вспомогательные данные'!$C$22)))</f>
        <v>оптимальная работоспособность</v>
      </c>
      <c r="I807" s="61" t="b">
        <f>IF(OR(ЦТО!AT711=1,ЦТО!AU711=1,ЦТО!AV711=1,ЦТО!AX711=1),"Положительная",IF(OR(ЦТО!AY711=1,ЦТО!AZ711=1,ЦТО!BA711=1),"Отрицательная",IF(OR(ЦТО!AW711=1),"Инфантильная")))</f>
        <v>0</v>
      </c>
    </row>
    <row r="808" spans="1:9">
      <c r="A808" s="62">
        <f>ЦТО!A712</f>
        <v>0</v>
      </c>
      <c r="B808" s="62">
        <f>ЦТО!B712</f>
        <v>0</v>
      </c>
      <c r="C808" s="67">
        <f>ЦТО!C712</f>
        <v>0</v>
      </c>
      <c r="D808" s="63">
        <f>ЦТО!D712</f>
        <v>0</v>
      </c>
      <c r="E808" s="68">
        <f>SUM(ЦТО!BB712:BI712)</f>
        <v>0</v>
      </c>
      <c r="F808" s="64" t="str">
        <f>IF(E808&lt;10,'вспомогательные данные'!$C$26,IF(E808&lt;19,'вспомогательные данные'!$C$25,'вспомогательные данные'!$C$24))</f>
        <v>положительный</v>
      </c>
      <c r="G808" s="65">
        <f>(18-ЦТО!AM712-ЦТО!AL712)/(18-ЦТО!AL712-ЦТО!AP712)</f>
        <v>1</v>
      </c>
      <c r="H808" s="66" t="str">
        <f>IF(G808&lt;0.51,'вспомогательные данные'!$C$19,IF(G808&lt;0.92,'вспомогательные данные'!$C$20, IF(G808&lt;2,'вспомогательные данные'!$C$21,'вспомогательные данные'!$C$22)))</f>
        <v>оптимальная работоспособность</v>
      </c>
      <c r="I808" s="61" t="b">
        <f>IF(OR(ЦТО!AT712=1,ЦТО!AU712=1,ЦТО!AV712=1,ЦТО!AX712=1),"Положительная",IF(OR(ЦТО!AY712=1,ЦТО!AZ712=1,ЦТО!BA712=1),"Отрицательная",IF(OR(ЦТО!AW712=1),"Инфантильная")))</f>
        <v>0</v>
      </c>
    </row>
    <row r="809" spans="1:9">
      <c r="A809" s="62">
        <f>ЦТО!A713</f>
        <v>0</v>
      </c>
      <c r="B809" s="62">
        <f>ЦТО!B713</f>
        <v>0</v>
      </c>
      <c r="C809" s="67">
        <f>ЦТО!C713</f>
        <v>0</v>
      </c>
      <c r="D809" s="63">
        <f>ЦТО!D713</f>
        <v>0</v>
      </c>
      <c r="E809" s="68">
        <f>SUM(ЦТО!BB713:BI713)</f>
        <v>0</v>
      </c>
      <c r="F809" s="64" t="str">
        <f>IF(E809&lt;10,'вспомогательные данные'!$C$26,IF(E809&lt;19,'вспомогательные данные'!$C$25,'вспомогательные данные'!$C$24))</f>
        <v>положительный</v>
      </c>
      <c r="G809" s="65">
        <f>(18-ЦТО!AM713-ЦТО!AL713)/(18-ЦТО!AL713-ЦТО!AP713)</f>
        <v>1</v>
      </c>
      <c r="H809" s="66" t="str">
        <f>IF(G809&lt;0.51,'вспомогательные данные'!$C$19,IF(G809&lt;0.92,'вспомогательные данные'!$C$20, IF(G809&lt;2,'вспомогательные данные'!$C$21,'вспомогательные данные'!$C$22)))</f>
        <v>оптимальная работоспособность</v>
      </c>
      <c r="I809" s="61" t="b">
        <f>IF(OR(ЦТО!AT713=1,ЦТО!AU713=1,ЦТО!AV713=1,ЦТО!AX713=1),"Положительная",IF(OR(ЦТО!AY713=1,ЦТО!AZ713=1,ЦТО!BA713=1),"Отрицательная",IF(OR(ЦТО!AW713=1),"Инфантильная")))</f>
        <v>0</v>
      </c>
    </row>
    <row r="810" spans="1:9">
      <c r="A810" s="62">
        <f>ЦТО!A714</f>
        <v>0</v>
      </c>
      <c r="B810" s="62">
        <f>ЦТО!B714</f>
        <v>0</v>
      </c>
      <c r="C810" s="67">
        <f>ЦТО!C714</f>
        <v>0</v>
      </c>
      <c r="D810" s="63">
        <f>ЦТО!D714</f>
        <v>0</v>
      </c>
      <c r="E810" s="68">
        <f>SUM(ЦТО!BB714:BI714)</f>
        <v>0</v>
      </c>
      <c r="F810" s="64" t="str">
        <f>IF(E810&lt;10,'вспомогательные данные'!$C$26,IF(E810&lt;19,'вспомогательные данные'!$C$25,'вспомогательные данные'!$C$24))</f>
        <v>положительный</v>
      </c>
      <c r="G810" s="65">
        <f>(18-ЦТО!AM714-ЦТО!AL714)/(18-ЦТО!AL714-ЦТО!AP714)</f>
        <v>1</v>
      </c>
      <c r="H810" s="66" t="str">
        <f>IF(G810&lt;0.51,'вспомогательные данные'!$C$19,IF(G810&lt;0.92,'вспомогательные данные'!$C$20, IF(G810&lt;2,'вспомогательные данные'!$C$21,'вспомогательные данные'!$C$22)))</f>
        <v>оптимальная работоспособность</v>
      </c>
      <c r="I810" s="61" t="b">
        <f>IF(OR(ЦТО!AT714=1,ЦТО!AU714=1,ЦТО!AV714=1,ЦТО!AX714=1),"Положительная",IF(OR(ЦТО!AY714=1,ЦТО!AZ714=1,ЦТО!BA714=1),"Отрицательная",IF(OR(ЦТО!AW714=1),"Инфантильная")))</f>
        <v>0</v>
      </c>
    </row>
    <row r="811" spans="1:9">
      <c r="A811" s="62">
        <f>ЦТО!A715</f>
        <v>0</v>
      </c>
      <c r="B811" s="62">
        <f>ЦТО!B715</f>
        <v>0</v>
      </c>
      <c r="C811" s="67">
        <f>ЦТО!C715</f>
        <v>0</v>
      </c>
      <c r="D811" s="63">
        <f>ЦТО!D715</f>
        <v>0</v>
      </c>
      <c r="E811" s="68">
        <f>SUM(ЦТО!BB715:BI715)</f>
        <v>0</v>
      </c>
      <c r="F811" s="64" t="str">
        <f>IF(E811&lt;10,'вспомогательные данные'!$C$26,IF(E811&lt;19,'вспомогательные данные'!$C$25,'вспомогательные данные'!$C$24))</f>
        <v>положительный</v>
      </c>
      <c r="G811" s="65">
        <f>(18-ЦТО!AM715-ЦТО!AL715)/(18-ЦТО!AL715-ЦТО!AP715)</f>
        <v>1</v>
      </c>
      <c r="H811" s="66" t="str">
        <f>IF(G811&lt;0.51,'вспомогательные данные'!$C$19,IF(G811&lt;0.92,'вспомогательные данные'!$C$20, IF(G811&lt;2,'вспомогательные данные'!$C$21,'вспомогательные данные'!$C$22)))</f>
        <v>оптимальная работоспособность</v>
      </c>
      <c r="I811" s="61" t="b">
        <f>IF(OR(ЦТО!AT715=1,ЦТО!AU715=1,ЦТО!AV715=1,ЦТО!AX715=1),"Положительная",IF(OR(ЦТО!AY715=1,ЦТО!AZ715=1,ЦТО!BA715=1),"Отрицательная",IF(OR(ЦТО!AW715=1),"Инфантильная")))</f>
        <v>0</v>
      </c>
    </row>
    <row r="812" spans="1:9">
      <c r="A812" s="62">
        <f>ЦТО!A716</f>
        <v>0</v>
      </c>
      <c r="B812" s="62">
        <f>ЦТО!B716</f>
        <v>0</v>
      </c>
      <c r="C812" s="67">
        <f>ЦТО!C716</f>
        <v>0</v>
      </c>
      <c r="D812" s="63">
        <f>ЦТО!D716</f>
        <v>0</v>
      </c>
      <c r="E812" s="68">
        <f>SUM(ЦТО!BB716:BI716)</f>
        <v>0</v>
      </c>
      <c r="F812" s="64" t="str">
        <f>IF(E812&lt;10,'вспомогательные данные'!$C$26,IF(E812&lt;19,'вспомогательные данные'!$C$25,'вспомогательные данные'!$C$24))</f>
        <v>положительный</v>
      </c>
      <c r="G812" s="65">
        <f>(18-ЦТО!AM716-ЦТО!AL716)/(18-ЦТО!AL716-ЦТО!AP716)</f>
        <v>1</v>
      </c>
      <c r="H812" s="66" t="str">
        <f>IF(G812&lt;0.51,'вспомогательные данные'!$C$19,IF(G812&lt;0.92,'вспомогательные данные'!$C$20, IF(G812&lt;2,'вспомогательные данные'!$C$21,'вспомогательные данные'!$C$22)))</f>
        <v>оптимальная работоспособность</v>
      </c>
      <c r="I812" s="61" t="b">
        <f>IF(OR(ЦТО!AT716=1,ЦТО!AU716=1,ЦТО!AV716=1,ЦТО!AX716=1),"Положительная",IF(OR(ЦТО!AY716=1,ЦТО!AZ716=1,ЦТО!BA716=1),"Отрицательная",IF(OR(ЦТО!AW716=1),"Инфантильная")))</f>
        <v>0</v>
      </c>
    </row>
    <row r="813" spans="1:9">
      <c r="A813" s="62">
        <f>ЦТО!A717</f>
        <v>0</v>
      </c>
      <c r="B813" s="62">
        <f>ЦТО!B717</f>
        <v>0</v>
      </c>
      <c r="C813" s="67">
        <f>ЦТО!C717</f>
        <v>0</v>
      </c>
      <c r="D813" s="63">
        <f>ЦТО!D717</f>
        <v>0</v>
      </c>
      <c r="E813" s="68">
        <f>SUM(ЦТО!BB717:BI717)</f>
        <v>0</v>
      </c>
      <c r="F813" s="64" t="str">
        <f>IF(E813&lt;10,'вспомогательные данные'!$C$26,IF(E813&lt;19,'вспомогательные данные'!$C$25,'вспомогательные данные'!$C$24))</f>
        <v>положительный</v>
      </c>
      <c r="G813" s="65">
        <f>(18-ЦТО!AM717-ЦТО!AL717)/(18-ЦТО!AL717-ЦТО!AP717)</f>
        <v>1</v>
      </c>
      <c r="H813" s="66" t="str">
        <f>IF(G813&lt;0.51,'вспомогательные данные'!$C$19,IF(G813&lt;0.92,'вспомогательные данные'!$C$20, IF(G813&lt;2,'вспомогательные данные'!$C$21,'вспомогательные данные'!$C$22)))</f>
        <v>оптимальная работоспособность</v>
      </c>
      <c r="I813" s="61" t="b">
        <f>IF(OR(ЦТО!AT717=1,ЦТО!AU717=1,ЦТО!AV717=1,ЦТО!AX717=1),"Положительная",IF(OR(ЦТО!AY717=1,ЦТО!AZ717=1,ЦТО!BA717=1),"Отрицательная",IF(OR(ЦТО!AW717=1),"Инфантильная")))</f>
        <v>0</v>
      </c>
    </row>
    <row r="814" spans="1:9">
      <c r="A814" s="62">
        <f>ЦТО!A718</f>
        <v>0</v>
      </c>
      <c r="B814" s="62">
        <f>ЦТО!B718</f>
        <v>0</v>
      </c>
      <c r="C814" s="67">
        <f>ЦТО!C718</f>
        <v>0</v>
      </c>
      <c r="D814" s="63">
        <f>ЦТО!D718</f>
        <v>0</v>
      </c>
      <c r="E814" s="68">
        <f>SUM(ЦТО!BB718:BI718)</f>
        <v>0</v>
      </c>
      <c r="F814" s="64" t="str">
        <f>IF(E814&lt;10,'вспомогательные данные'!$C$26,IF(E814&lt;19,'вспомогательные данные'!$C$25,'вспомогательные данные'!$C$24))</f>
        <v>положительный</v>
      </c>
      <c r="G814" s="65">
        <f>(18-ЦТО!AM718-ЦТО!AL718)/(18-ЦТО!AL718-ЦТО!AP718)</f>
        <v>1</v>
      </c>
      <c r="H814" s="66" t="str">
        <f>IF(G814&lt;0.51,'вспомогательные данные'!$C$19,IF(G814&lt;0.92,'вспомогательные данные'!$C$20, IF(G814&lt;2,'вспомогательные данные'!$C$21,'вспомогательные данные'!$C$22)))</f>
        <v>оптимальная работоспособность</v>
      </c>
      <c r="I814" s="61" t="b">
        <f>IF(OR(ЦТО!AT718=1,ЦТО!AU718=1,ЦТО!AV718=1,ЦТО!AX718=1),"Положительная",IF(OR(ЦТО!AY718=1,ЦТО!AZ718=1,ЦТО!BA718=1),"Отрицательная",IF(OR(ЦТО!AW718=1),"Инфантильная")))</f>
        <v>0</v>
      </c>
    </row>
    <row r="815" spans="1:9">
      <c r="A815" s="62">
        <f>ЦТО!A719</f>
        <v>0</v>
      </c>
      <c r="B815" s="62">
        <f>ЦТО!B719</f>
        <v>0</v>
      </c>
      <c r="C815" s="67">
        <f>ЦТО!C719</f>
        <v>0</v>
      </c>
      <c r="D815" s="63">
        <f>ЦТО!D719</f>
        <v>0</v>
      </c>
      <c r="E815" s="68">
        <f>SUM(ЦТО!BB719:BI719)</f>
        <v>0</v>
      </c>
      <c r="F815" s="64" t="str">
        <f>IF(E815&lt;10,'вспомогательные данные'!$C$26,IF(E815&lt;19,'вспомогательные данные'!$C$25,'вспомогательные данные'!$C$24))</f>
        <v>положительный</v>
      </c>
      <c r="G815" s="65">
        <f>(18-ЦТО!AM719-ЦТО!AL719)/(18-ЦТО!AL719-ЦТО!AP719)</f>
        <v>1</v>
      </c>
      <c r="H815" s="66" t="str">
        <f>IF(G815&lt;0.51,'вспомогательные данные'!$C$19,IF(G815&lt;0.92,'вспомогательные данные'!$C$20, IF(G815&lt;2,'вспомогательные данные'!$C$21,'вспомогательные данные'!$C$22)))</f>
        <v>оптимальная работоспособность</v>
      </c>
      <c r="I815" s="61" t="b">
        <f>IF(OR(ЦТО!AT719=1,ЦТО!AU719=1,ЦТО!AV719=1,ЦТО!AX719=1),"Положительная",IF(OR(ЦТО!AY719=1,ЦТО!AZ719=1,ЦТО!BA719=1),"Отрицательная",IF(OR(ЦТО!AW719=1),"Инфантильная")))</f>
        <v>0</v>
      </c>
    </row>
    <row r="816" spans="1:9">
      <c r="A816" s="62">
        <f>ЦТО!A720</f>
        <v>0</v>
      </c>
      <c r="B816" s="62">
        <f>ЦТО!B720</f>
        <v>0</v>
      </c>
      <c r="C816" s="67">
        <f>ЦТО!C720</f>
        <v>0</v>
      </c>
      <c r="D816" s="63">
        <f>ЦТО!D720</f>
        <v>0</v>
      </c>
      <c r="E816" s="68">
        <f>SUM(ЦТО!BB720:BI720)</f>
        <v>0</v>
      </c>
      <c r="F816" s="64" t="str">
        <f>IF(E816&lt;10,'вспомогательные данные'!$C$26,IF(E816&lt;19,'вспомогательные данные'!$C$25,'вспомогательные данные'!$C$24))</f>
        <v>положительный</v>
      </c>
      <c r="G816" s="65">
        <f>(18-ЦТО!AM720-ЦТО!AL720)/(18-ЦТО!AL720-ЦТО!AP720)</f>
        <v>1</v>
      </c>
      <c r="H816" s="66" t="str">
        <f>IF(G816&lt;0.51,'вспомогательные данные'!$C$19,IF(G816&lt;0.92,'вспомогательные данные'!$C$20, IF(G816&lt;2,'вспомогательные данные'!$C$21,'вспомогательные данные'!$C$22)))</f>
        <v>оптимальная работоспособность</v>
      </c>
      <c r="I816" s="61" t="b">
        <f>IF(OR(ЦТО!AT720=1,ЦТО!AU720=1,ЦТО!AV720=1,ЦТО!AX720=1),"Положительная",IF(OR(ЦТО!AY720=1,ЦТО!AZ720=1,ЦТО!BA720=1),"Отрицательная",IF(OR(ЦТО!AW720=1),"Инфантильная")))</f>
        <v>0</v>
      </c>
    </row>
    <row r="817" spans="1:9">
      <c r="A817" s="62">
        <f>ЦТО!A721</f>
        <v>0</v>
      </c>
      <c r="B817" s="62">
        <f>ЦТО!B721</f>
        <v>0</v>
      </c>
      <c r="C817" s="67">
        <f>ЦТО!C721</f>
        <v>0</v>
      </c>
      <c r="D817" s="63">
        <f>ЦТО!D721</f>
        <v>0</v>
      </c>
      <c r="E817" s="68">
        <f>SUM(ЦТО!BB721:BI721)</f>
        <v>0</v>
      </c>
      <c r="F817" s="64" t="str">
        <f>IF(E817&lt;10,'вспомогательные данные'!$C$26,IF(E817&lt;19,'вспомогательные данные'!$C$25,'вспомогательные данные'!$C$24))</f>
        <v>положительный</v>
      </c>
      <c r="G817" s="65">
        <f>(18-ЦТО!AM721-ЦТО!AL721)/(18-ЦТО!AL721-ЦТО!AP721)</f>
        <v>1</v>
      </c>
      <c r="H817" s="66" t="str">
        <f>IF(G817&lt;0.51,'вспомогательные данные'!$C$19,IF(G817&lt;0.92,'вспомогательные данные'!$C$20, IF(G817&lt;2,'вспомогательные данные'!$C$21,'вспомогательные данные'!$C$22)))</f>
        <v>оптимальная работоспособность</v>
      </c>
      <c r="I817" s="61" t="b">
        <f>IF(OR(ЦТО!AT721=1,ЦТО!AU721=1,ЦТО!AV721=1,ЦТО!AX721=1),"Положительная",IF(OR(ЦТО!AY721=1,ЦТО!AZ721=1,ЦТО!BA721=1),"Отрицательная",IF(OR(ЦТО!AW721=1),"Инфантильная")))</f>
        <v>0</v>
      </c>
    </row>
    <row r="818" spans="1:9">
      <c r="A818" s="62">
        <f>ЦТО!A722</f>
        <v>0</v>
      </c>
      <c r="B818" s="62">
        <f>ЦТО!B722</f>
        <v>0</v>
      </c>
      <c r="C818" s="67">
        <f>ЦТО!C722</f>
        <v>0</v>
      </c>
      <c r="D818" s="63">
        <f>ЦТО!D722</f>
        <v>0</v>
      </c>
      <c r="E818" s="68">
        <f>SUM(ЦТО!BB722:BI722)</f>
        <v>0</v>
      </c>
      <c r="F818" s="64" t="str">
        <f>IF(E818&lt;10,'вспомогательные данные'!$C$26,IF(E818&lt;19,'вспомогательные данные'!$C$25,'вспомогательные данные'!$C$24))</f>
        <v>положительный</v>
      </c>
      <c r="G818" s="65">
        <f>(18-ЦТО!AM722-ЦТО!AL722)/(18-ЦТО!AL722-ЦТО!AP722)</f>
        <v>1</v>
      </c>
      <c r="H818" s="66" t="str">
        <f>IF(G818&lt;0.51,'вспомогательные данные'!$C$19,IF(G818&lt;0.92,'вспомогательные данные'!$C$20, IF(G818&lt;2,'вспомогательные данные'!$C$21,'вспомогательные данные'!$C$22)))</f>
        <v>оптимальная работоспособность</v>
      </c>
      <c r="I818" s="61" t="b">
        <f>IF(OR(ЦТО!AT722=1,ЦТО!AU722=1,ЦТО!AV722=1,ЦТО!AX722=1),"Положительная",IF(OR(ЦТО!AY722=1,ЦТО!AZ722=1,ЦТО!BA722=1),"Отрицательная",IF(OR(ЦТО!AW722=1),"Инфантильная")))</f>
        <v>0</v>
      </c>
    </row>
    <row r="819" spans="1:9">
      <c r="A819" s="62">
        <f>ЦТО!A723</f>
        <v>0</v>
      </c>
      <c r="B819" s="62">
        <f>ЦТО!B723</f>
        <v>0</v>
      </c>
      <c r="C819" s="67">
        <f>ЦТО!C723</f>
        <v>0</v>
      </c>
      <c r="D819" s="63">
        <f>ЦТО!D723</f>
        <v>0</v>
      </c>
      <c r="E819" s="68">
        <f>SUM(ЦТО!BB723:BI723)</f>
        <v>0</v>
      </c>
      <c r="F819" s="64" t="str">
        <f>IF(E819&lt;10,'вспомогательные данные'!$C$26,IF(E819&lt;19,'вспомогательные данные'!$C$25,'вспомогательные данные'!$C$24))</f>
        <v>положительный</v>
      </c>
      <c r="G819" s="65">
        <f>(18-ЦТО!AM723-ЦТО!AL723)/(18-ЦТО!AL723-ЦТО!AP723)</f>
        <v>1</v>
      </c>
      <c r="H819" s="66" t="str">
        <f>IF(G819&lt;0.51,'вспомогательные данные'!$C$19,IF(G819&lt;0.92,'вспомогательные данные'!$C$20, IF(G819&lt;2,'вспомогательные данные'!$C$21,'вспомогательные данные'!$C$22)))</f>
        <v>оптимальная работоспособность</v>
      </c>
      <c r="I819" s="61" t="b">
        <f>IF(OR(ЦТО!AT723=1,ЦТО!AU723=1,ЦТО!AV723=1,ЦТО!AX723=1),"Положительная",IF(OR(ЦТО!AY723=1,ЦТО!AZ723=1,ЦТО!BA723=1),"Отрицательная",IF(OR(ЦТО!AW723=1),"Инфантильная")))</f>
        <v>0</v>
      </c>
    </row>
    <row r="820" spans="1:9">
      <c r="A820" s="62">
        <f>ЦТО!A724</f>
        <v>0</v>
      </c>
      <c r="B820" s="62">
        <f>ЦТО!B724</f>
        <v>0</v>
      </c>
      <c r="C820" s="67">
        <f>ЦТО!C724</f>
        <v>0</v>
      </c>
      <c r="D820" s="63">
        <f>ЦТО!D724</f>
        <v>0</v>
      </c>
      <c r="E820" s="68">
        <f>SUM(ЦТО!BB724:BI724)</f>
        <v>0</v>
      </c>
      <c r="F820" s="64" t="str">
        <f>IF(E820&lt;10,'вспомогательные данные'!$C$26,IF(E820&lt;19,'вспомогательные данные'!$C$25,'вспомогательные данные'!$C$24))</f>
        <v>положительный</v>
      </c>
      <c r="G820" s="65">
        <f>(18-ЦТО!AM724-ЦТО!AL724)/(18-ЦТО!AL724-ЦТО!AP724)</f>
        <v>1</v>
      </c>
      <c r="H820" s="66" t="str">
        <f>IF(G820&lt;0.51,'вспомогательные данные'!$C$19,IF(G820&lt;0.92,'вспомогательные данные'!$C$20, IF(G820&lt;2,'вспомогательные данные'!$C$21,'вспомогательные данные'!$C$22)))</f>
        <v>оптимальная работоспособность</v>
      </c>
      <c r="I820" s="61" t="b">
        <f>IF(OR(ЦТО!AT724=1,ЦТО!AU724=1,ЦТО!AV724=1,ЦТО!AX724=1),"Положительная",IF(OR(ЦТО!AY724=1,ЦТО!AZ724=1,ЦТО!BA724=1),"Отрицательная",IF(OR(ЦТО!AW724=1),"Инфантильная")))</f>
        <v>0</v>
      </c>
    </row>
    <row r="821" spans="1:9">
      <c r="A821" s="62">
        <f>ЦТО!A725</f>
        <v>0</v>
      </c>
      <c r="B821" s="62">
        <f>ЦТО!B725</f>
        <v>0</v>
      </c>
      <c r="C821" s="67">
        <f>ЦТО!C725</f>
        <v>0</v>
      </c>
      <c r="D821" s="63">
        <f>ЦТО!D725</f>
        <v>0</v>
      </c>
      <c r="E821" s="68">
        <f>SUM(ЦТО!BB725:BI725)</f>
        <v>0</v>
      </c>
      <c r="F821" s="64" t="str">
        <f>IF(E821&lt;10,'вспомогательные данные'!$C$26,IF(E821&lt;19,'вспомогательные данные'!$C$25,'вспомогательные данные'!$C$24))</f>
        <v>положительный</v>
      </c>
      <c r="G821" s="65">
        <f>(18-ЦТО!AM725-ЦТО!AL725)/(18-ЦТО!AL725-ЦТО!AP725)</f>
        <v>1</v>
      </c>
      <c r="H821" s="66" t="str">
        <f>IF(G821&lt;0.51,'вспомогательные данные'!$C$19,IF(G821&lt;0.92,'вспомогательные данные'!$C$20, IF(G821&lt;2,'вспомогательные данные'!$C$21,'вспомогательные данные'!$C$22)))</f>
        <v>оптимальная работоспособность</v>
      </c>
      <c r="I821" s="61" t="b">
        <f>IF(OR(ЦТО!AT725=1,ЦТО!AU725=1,ЦТО!AV725=1,ЦТО!AX725=1),"Положительная",IF(OR(ЦТО!AY725=1,ЦТО!AZ725=1,ЦТО!BA725=1),"Отрицательная",IF(OR(ЦТО!AW725=1),"Инфантильная")))</f>
        <v>0</v>
      </c>
    </row>
    <row r="822" spans="1:9">
      <c r="A822" s="62">
        <f>ЦТО!A726</f>
        <v>0</v>
      </c>
      <c r="B822" s="62">
        <f>ЦТО!B726</f>
        <v>0</v>
      </c>
      <c r="C822" s="67">
        <f>ЦТО!C726</f>
        <v>0</v>
      </c>
      <c r="D822" s="63">
        <f>ЦТО!D726</f>
        <v>0</v>
      </c>
      <c r="E822" s="68">
        <f>SUM(ЦТО!BB726:BI726)</f>
        <v>0</v>
      </c>
      <c r="F822" s="64" t="str">
        <f>IF(E822&lt;10,'вспомогательные данные'!$C$26,IF(E822&lt;19,'вспомогательные данные'!$C$25,'вспомогательные данные'!$C$24))</f>
        <v>положительный</v>
      </c>
      <c r="G822" s="65">
        <f>(18-ЦТО!AM726-ЦТО!AL726)/(18-ЦТО!AL726-ЦТО!AP726)</f>
        <v>1</v>
      </c>
      <c r="H822" s="66" t="str">
        <f>IF(G822&lt;0.51,'вспомогательные данные'!$C$19,IF(G822&lt;0.92,'вспомогательные данные'!$C$20, IF(G822&lt;2,'вспомогательные данные'!$C$21,'вспомогательные данные'!$C$22)))</f>
        <v>оптимальная работоспособность</v>
      </c>
      <c r="I822" s="61" t="b">
        <f>IF(OR(ЦТО!AT726=1,ЦТО!AU726=1,ЦТО!AV726=1,ЦТО!AX726=1),"Положительная",IF(OR(ЦТО!AY726=1,ЦТО!AZ726=1,ЦТО!BA726=1),"Отрицательная",IF(OR(ЦТО!AW726=1),"Инфантильная")))</f>
        <v>0</v>
      </c>
    </row>
    <row r="823" spans="1:9">
      <c r="A823" s="62">
        <f>ЦТО!A727</f>
        <v>0</v>
      </c>
      <c r="B823" s="62">
        <f>ЦТО!B727</f>
        <v>0</v>
      </c>
      <c r="C823" s="67">
        <f>ЦТО!C727</f>
        <v>0</v>
      </c>
      <c r="D823" s="63">
        <f>ЦТО!D727</f>
        <v>0</v>
      </c>
      <c r="E823" s="68">
        <f>SUM(ЦТО!BB727:BI727)</f>
        <v>0</v>
      </c>
      <c r="F823" s="64" t="str">
        <f>IF(E823&lt;10,'вспомогательные данные'!$C$26,IF(E823&lt;19,'вспомогательные данные'!$C$25,'вспомогательные данные'!$C$24))</f>
        <v>положительный</v>
      </c>
      <c r="G823" s="65">
        <f>(18-ЦТО!AM727-ЦТО!AL727)/(18-ЦТО!AL727-ЦТО!AP727)</f>
        <v>1</v>
      </c>
      <c r="H823" s="66" t="str">
        <f>IF(G823&lt;0.51,'вспомогательные данные'!$C$19,IF(G823&lt;0.92,'вспомогательные данные'!$C$20, IF(G823&lt;2,'вспомогательные данные'!$C$21,'вспомогательные данные'!$C$22)))</f>
        <v>оптимальная работоспособность</v>
      </c>
      <c r="I823" s="61" t="b">
        <f>IF(OR(ЦТО!AT727=1,ЦТО!AU727=1,ЦТО!AV727=1,ЦТО!AX727=1),"Положительная",IF(OR(ЦТО!AY727=1,ЦТО!AZ727=1,ЦТО!BA727=1),"Отрицательная",IF(OR(ЦТО!AW727=1),"Инфантильная")))</f>
        <v>0</v>
      </c>
    </row>
    <row r="824" spans="1:9">
      <c r="A824" s="62">
        <f>ЦТО!A728</f>
        <v>0</v>
      </c>
      <c r="B824" s="62">
        <f>ЦТО!B728</f>
        <v>0</v>
      </c>
      <c r="C824" s="67">
        <f>ЦТО!C728</f>
        <v>0</v>
      </c>
      <c r="D824" s="63">
        <f>ЦТО!D728</f>
        <v>0</v>
      </c>
      <c r="E824" s="68">
        <f>SUM(ЦТО!BB728:BI728)</f>
        <v>0</v>
      </c>
      <c r="F824" s="64" t="str">
        <f>IF(E824&lt;10,'вспомогательные данные'!$C$26,IF(E824&lt;19,'вспомогательные данные'!$C$25,'вспомогательные данные'!$C$24))</f>
        <v>положительный</v>
      </c>
      <c r="G824" s="65">
        <f>(18-ЦТО!AM728-ЦТО!AL728)/(18-ЦТО!AL728-ЦТО!AP728)</f>
        <v>1</v>
      </c>
      <c r="H824" s="66" t="str">
        <f>IF(G824&lt;0.51,'вспомогательные данные'!$C$19,IF(G824&lt;0.92,'вспомогательные данные'!$C$20, IF(G824&lt;2,'вспомогательные данные'!$C$21,'вспомогательные данные'!$C$22)))</f>
        <v>оптимальная работоспособность</v>
      </c>
      <c r="I824" s="61" t="b">
        <f>IF(OR(ЦТО!AT728=1,ЦТО!AU728=1,ЦТО!AV728=1,ЦТО!AX728=1),"Положительная",IF(OR(ЦТО!AY728=1,ЦТО!AZ728=1,ЦТО!BA728=1),"Отрицательная",IF(OR(ЦТО!AW728=1),"Инфантильная")))</f>
        <v>0</v>
      </c>
    </row>
    <row r="825" spans="1:9">
      <c r="A825" s="62">
        <f>ЦТО!A729</f>
        <v>0</v>
      </c>
      <c r="B825" s="62">
        <f>ЦТО!B729</f>
        <v>0</v>
      </c>
      <c r="C825" s="67">
        <f>ЦТО!C729</f>
        <v>0</v>
      </c>
      <c r="D825" s="63">
        <f>ЦТО!D729</f>
        <v>0</v>
      </c>
      <c r="E825" s="68">
        <f>SUM(ЦТО!BB729:BI729)</f>
        <v>0</v>
      </c>
      <c r="F825" s="64" t="str">
        <f>IF(E825&lt;10,'вспомогательные данные'!$C$26,IF(E825&lt;19,'вспомогательные данные'!$C$25,'вспомогательные данные'!$C$24))</f>
        <v>положительный</v>
      </c>
      <c r="G825" s="65">
        <f>(18-ЦТО!AM729-ЦТО!AL729)/(18-ЦТО!AL729-ЦТО!AP729)</f>
        <v>1</v>
      </c>
      <c r="H825" s="66" t="str">
        <f>IF(G825&lt;0.51,'вспомогательные данные'!$C$19,IF(G825&lt;0.92,'вспомогательные данные'!$C$20, IF(G825&lt;2,'вспомогательные данные'!$C$21,'вспомогательные данные'!$C$22)))</f>
        <v>оптимальная работоспособность</v>
      </c>
      <c r="I825" s="61" t="b">
        <f>IF(OR(ЦТО!AT729=1,ЦТО!AU729=1,ЦТО!AV729=1,ЦТО!AX729=1),"Положительная",IF(OR(ЦТО!AY729=1,ЦТО!AZ729=1,ЦТО!BA729=1),"Отрицательная",IF(OR(ЦТО!AW729=1),"Инфантильная")))</f>
        <v>0</v>
      </c>
    </row>
    <row r="826" spans="1:9">
      <c r="A826" s="62">
        <f>ЦТО!A730</f>
        <v>0</v>
      </c>
      <c r="B826" s="62">
        <f>ЦТО!B730</f>
        <v>0</v>
      </c>
      <c r="C826" s="67">
        <f>ЦТО!C730</f>
        <v>0</v>
      </c>
      <c r="D826" s="63">
        <f>ЦТО!D730</f>
        <v>0</v>
      </c>
      <c r="E826" s="68">
        <f>SUM(ЦТО!BB730:BI730)</f>
        <v>0</v>
      </c>
      <c r="F826" s="64" t="str">
        <f>IF(E826&lt;10,'вспомогательные данные'!$C$26,IF(E826&lt;19,'вспомогательные данные'!$C$25,'вспомогательные данные'!$C$24))</f>
        <v>положительный</v>
      </c>
      <c r="G826" s="65">
        <f>(18-ЦТО!AM730-ЦТО!AL730)/(18-ЦТО!AL730-ЦТО!AP730)</f>
        <v>1</v>
      </c>
      <c r="H826" s="66" t="str">
        <f>IF(G826&lt;0.51,'вспомогательные данные'!$C$19,IF(G826&lt;0.92,'вспомогательные данные'!$C$20, IF(G826&lt;2,'вспомогательные данные'!$C$21,'вспомогательные данные'!$C$22)))</f>
        <v>оптимальная работоспособность</v>
      </c>
      <c r="I826" s="61" t="b">
        <f>IF(OR(ЦТО!AT730=1,ЦТО!AU730=1,ЦТО!AV730=1,ЦТО!AX730=1),"Положительная",IF(OR(ЦТО!AY730=1,ЦТО!AZ730=1,ЦТО!BA730=1),"Отрицательная",IF(OR(ЦТО!AW730=1),"Инфантильная")))</f>
        <v>0</v>
      </c>
    </row>
    <row r="827" spans="1:9">
      <c r="A827" s="62">
        <f>ЦТО!A731</f>
        <v>0</v>
      </c>
      <c r="B827" s="62">
        <f>ЦТО!B731</f>
        <v>0</v>
      </c>
      <c r="C827" s="67">
        <f>ЦТО!C731</f>
        <v>0</v>
      </c>
      <c r="D827" s="63">
        <f>ЦТО!D731</f>
        <v>0</v>
      </c>
      <c r="E827" s="68">
        <f>SUM(ЦТО!BB731:BI731)</f>
        <v>0</v>
      </c>
      <c r="F827" s="64" t="str">
        <f>IF(E827&lt;10,'вспомогательные данные'!$C$26,IF(E827&lt;19,'вспомогательные данные'!$C$25,'вспомогательные данные'!$C$24))</f>
        <v>положительный</v>
      </c>
      <c r="G827" s="65">
        <f>(18-ЦТО!AM731-ЦТО!AL731)/(18-ЦТО!AL731-ЦТО!AP731)</f>
        <v>1</v>
      </c>
      <c r="H827" s="66" t="str">
        <f>IF(G827&lt;0.51,'вспомогательные данные'!$C$19,IF(G827&lt;0.92,'вспомогательные данные'!$C$20, IF(G827&lt;2,'вспомогательные данные'!$C$21,'вспомогательные данные'!$C$22)))</f>
        <v>оптимальная работоспособность</v>
      </c>
      <c r="I827" s="61" t="b">
        <f>IF(OR(ЦТО!AT731=1,ЦТО!AU731=1,ЦТО!AV731=1,ЦТО!AX731=1),"Положительная",IF(OR(ЦТО!AY731=1,ЦТО!AZ731=1,ЦТО!BA731=1),"Отрицательная",IF(OR(ЦТО!AW731=1),"Инфантильная")))</f>
        <v>0</v>
      </c>
    </row>
    <row r="828" spans="1:9">
      <c r="A828" s="62">
        <f>ЦТО!A732</f>
        <v>0</v>
      </c>
      <c r="B828" s="62">
        <f>ЦТО!B732</f>
        <v>0</v>
      </c>
      <c r="C828" s="67">
        <f>ЦТО!C732</f>
        <v>0</v>
      </c>
      <c r="D828" s="63">
        <f>ЦТО!D732</f>
        <v>0</v>
      </c>
      <c r="E828" s="68">
        <f>SUM(ЦТО!BB732:BI732)</f>
        <v>0</v>
      </c>
      <c r="F828" s="64" t="str">
        <f>IF(E828&lt;10,'вспомогательные данные'!$C$26,IF(E828&lt;19,'вспомогательные данные'!$C$25,'вспомогательные данные'!$C$24))</f>
        <v>положительный</v>
      </c>
      <c r="G828" s="65">
        <f>(18-ЦТО!AM732-ЦТО!AL732)/(18-ЦТО!AL732-ЦТО!AP732)</f>
        <v>1</v>
      </c>
      <c r="H828" s="66" t="str">
        <f>IF(G828&lt;0.51,'вспомогательные данные'!$C$19,IF(G828&lt;0.92,'вспомогательные данные'!$C$20, IF(G828&lt;2,'вспомогательные данные'!$C$21,'вспомогательные данные'!$C$22)))</f>
        <v>оптимальная работоспособность</v>
      </c>
      <c r="I828" s="61" t="b">
        <f>IF(OR(ЦТО!AT732=1,ЦТО!AU732=1,ЦТО!AV732=1,ЦТО!AX732=1),"Положительная",IF(OR(ЦТО!AY732=1,ЦТО!AZ732=1,ЦТО!BA732=1),"Отрицательная",IF(OR(ЦТО!AW732=1),"Инфантильная")))</f>
        <v>0</v>
      </c>
    </row>
    <row r="829" spans="1:9">
      <c r="A829" s="62">
        <f>ЦТО!A733</f>
        <v>0</v>
      </c>
      <c r="B829" s="62">
        <f>ЦТО!B733</f>
        <v>0</v>
      </c>
      <c r="C829" s="67">
        <f>ЦТО!C733</f>
        <v>0</v>
      </c>
      <c r="D829" s="63">
        <f>ЦТО!D733</f>
        <v>0</v>
      </c>
      <c r="E829" s="68">
        <f>SUM(ЦТО!BB733:BI733)</f>
        <v>0</v>
      </c>
      <c r="F829" s="64" t="str">
        <f>IF(E829&lt;10,'вспомогательные данные'!$C$26,IF(E829&lt;19,'вспомогательные данные'!$C$25,'вспомогательные данные'!$C$24))</f>
        <v>положительный</v>
      </c>
      <c r="G829" s="65">
        <f>(18-ЦТО!AM733-ЦТО!AL733)/(18-ЦТО!AL733-ЦТО!AP733)</f>
        <v>1</v>
      </c>
      <c r="H829" s="66" t="str">
        <f>IF(G829&lt;0.51,'вспомогательные данные'!$C$19,IF(G829&lt;0.92,'вспомогательные данные'!$C$20, IF(G829&lt;2,'вспомогательные данные'!$C$21,'вспомогательные данные'!$C$22)))</f>
        <v>оптимальная работоспособность</v>
      </c>
      <c r="I829" s="61" t="b">
        <f>IF(OR(ЦТО!AT733=1,ЦТО!AU733=1,ЦТО!AV733=1,ЦТО!AX733=1),"Положительная",IF(OR(ЦТО!AY733=1,ЦТО!AZ733=1,ЦТО!BA733=1),"Отрицательная",IF(OR(ЦТО!AW733=1),"Инфантильная")))</f>
        <v>0</v>
      </c>
    </row>
    <row r="830" spans="1:9">
      <c r="A830" s="62">
        <f>ЦТО!A734</f>
        <v>0</v>
      </c>
      <c r="B830" s="62">
        <f>ЦТО!B734</f>
        <v>0</v>
      </c>
      <c r="C830" s="67">
        <f>ЦТО!C734</f>
        <v>0</v>
      </c>
      <c r="D830" s="63">
        <f>ЦТО!D734</f>
        <v>0</v>
      </c>
      <c r="E830" s="68">
        <f>SUM(ЦТО!BB734:BI734)</f>
        <v>0</v>
      </c>
      <c r="F830" s="64" t="str">
        <f>IF(E830&lt;10,'вспомогательные данные'!$C$26,IF(E830&lt;19,'вспомогательные данные'!$C$25,'вспомогательные данные'!$C$24))</f>
        <v>положительный</v>
      </c>
      <c r="G830" s="65">
        <f>(18-ЦТО!AM734-ЦТО!AL734)/(18-ЦТО!AL734-ЦТО!AP734)</f>
        <v>1</v>
      </c>
      <c r="H830" s="66" t="str">
        <f>IF(G830&lt;0.51,'вспомогательные данные'!$C$19,IF(G830&lt;0.92,'вспомогательные данные'!$C$20, IF(G830&lt;2,'вспомогательные данные'!$C$21,'вспомогательные данные'!$C$22)))</f>
        <v>оптимальная работоспособность</v>
      </c>
      <c r="I830" s="61" t="b">
        <f>IF(OR(ЦТО!AT734=1,ЦТО!AU734=1,ЦТО!AV734=1,ЦТО!AX734=1),"Положительная",IF(OR(ЦТО!AY734=1,ЦТО!AZ734=1,ЦТО!BA734=1),"Отрицательная",IF(OR(ЦТО!AW734=1),"Инфантильная")))</f>
        <v>0</v>
      </c>
    </row>
    <row r="831" spans="1:9">
      <c r="A831" s="62">
        <f>ЦТО!A735</f>
        <v>0</v>
      </c>
      <c r="B831" s="62">
        <f>ЦТО!B735</f>
        <v>0</v>
      </c>
      <c r="C831" s="67">
        <f>ЦТО!C735</f>
        <v>0</v>
      </c>
      <c r="D831" s="63">
        <f>ЦТО!D735</f>
        <v>0</v>
      </c>
      <c r="E831" s="68">
        <f>SUM(ЦТО!BB735:BI735)</f>
        <v>0</v>
      </c>
      <c r="F831" s="64" t="str">
        <f>IF(E831&lt;10,'вспомогательные данные'!$C$26,IF(E831&lt;19,'вспомогательные данные'!$C$25,'вспомогательные данные'!$C$24))</f>
        <v>положительный</v>
      </c>
      <c r="G831" s="65">
        <f>(18-ЦТО!AM735-ЦТО!AL735)/(18-ЦТО!AL735-ЦТО!AP735)</f>
        <v>1</v>
      </c>
      <c r="H831" s="66" t="str">
        <f>IF(G831&lt;0.51,'вспомогательные данные'!$C$19,IF(G831&lt;0.92,'вспомогательные данные'!$C$20, IF(G831&lt;2,'вспомогательные данные'!$C$21,'вспомогательные данные'!$C$22)))</f>
        <v>оптимальная работоспособность</v>
      </c>
      <c r="I831" s="61" t="b">
        <f>IF(OR(ЦТО!AT735=1,ЦТО!AU735=1,ЦТО!AV735=1,ЦТО!AX735=1),"Положительная",IF(OR(ЦТО!AY735=1,ЦТО!AZ735=1,ЦТО!BA735=1),"Отрицательная",IF(OR(ЦТО!AW735=1),"Инфантильная")))</f>
        <v>0</v>
      </c>
    </row>
    <row r="832" spans="1:9">
      <c r="A832" s="62">
        <f>ЦТО!A736</f>
        <v>0</v>
      </c>
      <c r="B832" s="62">
        <f>ЦТО!B736</f>
        <v>0</v>
      </c>
      <c r="C832" s="67">
        <f>ЦТО!C736</f>
        <v>0</v>
      </c>
      <c r="D832" s="63">
        <f>ЦТО!D736</f>
        <v>0</v>
      </c>
      <c r="E832" s="68">
        <f>SUM(ЦТО!BB736:BI736)</f>
        <v>0</v>
      </c>
      <c r="F832" s="64" t="str">
        <f>IF(E832&lt;10,'вспомогательные данные'!$C$26,IF(E832&lt;19,'вспомогательные данные'!$C$25,'вспомогательные данные'!$C$24))</f>
        <v>положительный</v>
      </c>
      <c r="G832" s="65">
        <f>(18-ЦТО!AM736-ЦТО!AL736)/(18-ЦТО!AL736-ЦТО!AP736)</f>
        <v>1</v>
      </c>
      <c r="H832" s="66" t="str">
        <f>IF(G832&lt;0.51,'вспомогательные данные'!$C$19,IF(G832&lt;0.92,'вспомогательные данные'!$C$20, IF(G832&lt;2,'вспомогательные данные'!$C$21,'вспомогательные данные'!$C$22)))</f>
        <v>оптимальная работоспособность</v>
      </c>
      <c r="I832" s="61" t="b">
        <f>IF(OR(ЦТО!AT736=1,ЦТО!AU736=1,ЦТО!AV736=1,ЦТО!AX736=1),"Положительная",IF(OR(ЦТО!AY736=1,ЦТО!AZ736=1,ЦТО!BA736=1),"Отрицательная",IF(OR(ЦТО!AW736=1),"Инфантильная")))</f>
        <v>0</v>
      </c>
    </row>
    <row r="833" spans="1:9">
      <c r="A833" s="62">
        <f>ЦТО!A737</f>
        <v>0</v>
      </c>
      <c r="B833" s="62">
        <f>ЦТО!B737</f>
        <v>0</v>
      </c>
      <c r="C833" s="67">
        <f>ЦТО!C737</f>
        <v>0</v>
      </c>
      <c r="D833" s="63">
        <f>ЦТО!D737</f>
        <v>0</v>
      </c>
      <c r="E833" s="68">
        <f>SUM(ЦТО!BB737:BI737)</f>
        <v>0</v>
      </c>
      <c r="F833" s="64" t="str">
        <f>IF(E833&lt;10,'вспомогательные данные'!$C$26,IF(E833&lt;19,'вспомогательные данные'!$C$25,'вспомогательные данные'!$C$24))</f>
        <v>положительный</v>
      </c>
      <c r="G833" s="65">
        <f>(18-ЦТО!AM737-ЦТО!AL737)/(18-ЦТО!AL737-ЦТО!AP737)</f>
        <v>1</v>
      </c>
      <c r="H833" s="66" t="str">
        <f>IF(G833&lt;0.51,'вспомогательные данные'!$C$19,IF(G833&lt;0.92,'вспомогательные данные'!$C$20, IF(G833&lt;2,'вспомогательные данные'!$C$21,'вспомогательные данные'!$C$22)))</f>
        <v>оптимальная работоспособность</v>
      </c>
      <c r="I833" s="61" t="b">
        <f>IF(OR(ЦТО!AT737=1,ЦТО!AU737=1,ЦТО!AV737=1,ЦТО!AX737=1),"Положительная",IF(OR(ЦТО!AY737=1,ЦТО!AZ737=1,ЦТО!BA737=1),"Отрицательная",IF(OR(ЦТО!AW737=1),"Инфантильная")))</f>
        <v>0</v>
      </c>
    </row>
    <row r="834" spans="1:9">
      <c r="A834" s="62">
        <f>ЦТО!A738</f>
        <v>0</v>
      </c>
      <c r="B834" s="62">
        <f>ЦТО!B738</f>
        <v>0</v>
      </c>
      <c r="C834" s="67">
        <f>ЦТО!C738</f>
        <v>0</v>
      </c>
      <c r="D834" s="63">
        <f>ЦТО!D738</f>
        <v>0</v>
      </c>
      <c r="E834" s="68">
        <f>SUM(ЦТО!BB738:BI738)</f>
        <v>0</v>
      </c>
      <c r="F834" s="64" t="str">
        <f>IF(E834&lt;10,'вспомогательные данные'!$C$26,IF(E834&lt;19,'вспомогательные данные'!$C$25,'вспомогательные данные'!$C$24))</f>
        <v>положительный</v>
      </c>
      <c r="G834" s="65">
        <f>(18-ЦТО!AM738-ЦТО!AL738)/(18-ЦТО!AL738-ЦТО!AP738)</f>
        <v>1</v>
      </c>
      <c r="H834" s="66" t="str">
        <f>IF(G834&lt;0.51,'вспомогательные данные'!$C$19,IF(G834&lt;0.92,'вспомогательные данные'!$C$20, IF(G834&lt;2,'вспомогательные данные'!$C$21,'вспомогательные данные'!$C$22)))</f>
        <v>оптимальная работоспособность</v>
      </c>
      <c r="I834" s="61" t="b">
        <f>IF(OR(ЦТО!AT738=1,ЦТО!AU738=1,ЦТО!AV738=1,ЦТО!AX738=1),"Положительная",IF(OR(ЦТО!AY738=1,ЦТО!AZ738=1,ЦТО!BA738=1),"Отрицательная",IF(OR(ЦТО!AW738=1),"Инфантильная")))</f>
        <v>0</v>
      </c>
    </row>
    <row r="835" spans="1:9">
      <c r="A835" s="62">
        <f>ЦТО!A739</f>
        <v>0</v>
      </c>
      <c r="B835" s="62">
        <f>ЦТО!B739</f>
        <v>0</v>
      </c>
      <c r="C835" s="67">
        <f>ЦТО!C739</f>
        <v>0</v>
      </c>
      <c r="D835" s="63">
        <f>ЦТО!D739</f>
        <v>0</v>
      </c>
      <c r="E835" s="68">
        <f>SUM(ЦТО!BB739:BI739)</f>
        <v>0</v>
      </c>
      <c r="F835" s="64" t="str">
        <f>IF(E835&lt;10,'вспомогательные данные'!$C$26,IF(E835&lt;19,'вспомогательные данные'!$C$25,'вспомогательные данные'!$C$24))</f>
        <v>положительный</v>
      </c>
      <c r="G835" s="65">
        <f>(18-ЦТО!AM739-ЦТО!AL739)/(18-ЦТО!AL739-ЦТО!AP739)</f>
        <v>1</v>
      </c>
      <c r="H835" s="66" t="str">
        <f>IF(G835&lt;0.51,'вспомогательные данные'!$C$19,IF(G835&lt;0.92,'вспомогательные данные'!$C$20, IF(G835&lt;2,'вспомогательные данные'!$C$21,'вспомогательные данные'!$C$22)))</f>
        <v>оптимальная работоспособность</v>
      </c>
      <c r="I835" s="61" t="b">
        <f>IF(OR(ЦТО!AT739=1,ЦТО!AU739=1,ЦТО!AV739=1,ЦТО!AX739=1),"Положительная",IF(OR(ЦТО!AY739=1,ЦТО!AZ739=1,ЦТО!BA739=1),"Отрицательная",IF(OR(ЦТО!AW739=1),"Инфантильная")))</f>
        <v>0</v>
      </c>
    </row>
    <row r="836" spans="1:9">
      <c r="A836" s="62">
        <f>ЦТО!A740</f>
        <v>0</v>
      </c>
      <c r="B836" s="62">
        <f>ЦТО!B740</f>
        <v>0</v>
      </c>
      <c r="C836" s="67">
        <f>ЦТО!C740</f>
        <v>0</v>
      </c>
      <c r="D836" s="63">
        <f>ЦТО!D740</f>
        <v>0</v>
      </c>
      <c r="E836" s="68">
        <f>SUM(ЦТО!BB740:BI740)</f>
        <v>0</v>
      </c>
      <c r="F836" s="64" t="str">
        <f>IF(E836&lt;10,'вспомогательные данные'!$C$26,IF(E836&lt;19,'вспомогательные данные'!$C$25,'вспомогательные данные'!$C$24))</f>
        <v>положительный</v>
      </c>
      <c r="G836" s="65">
        <f>(18-ЦТО!AM740-ЦТО!AL740)/(18-ЦТО!AL740-ЦТО!AP740)</f>
        <v>1</v>
      </c>
      <c r="H836" s="66" t="str">
        <f>IF(G836&lt;0.51,'вспомогательные данные'!$C$19,IF(G836&lt;0.92,'вспомогательные данные'!$C$20, IF(G836&lt;2,'вспомогательные данные'!$C$21,'вспомогательные данные'!$C$22)))</f>
        <v>оптимальная работоспособность</v>
      </c>
      <c r="I836" s="61" t="b">
        <f>IF(OR(ЦТО!AT740=1,ЦТО!AU740=1,ЦТО!AV740=1,ЦТО!AX740=1),"Положительная",IF(OR(ЦТО!AY740=1,ЦТО!AZ740=1,ЦТО!BA740=1),"Отрицательная",IF(OR(ЦТО!AW740=1),"Инфантильная")))</f>
        <v>0</v>
      </c>
    </row>
    <row r="837" spans="1:9">
      <c r="A837" s="62">
        <f>ЦТО!A741</f>
        <v>0</v>
      </c>
      <c r="B837" s="62">
        <f>ЦТО!B741</f>
        <v>0</v>
      </c>
      <c r="C837" s="67">
        <f>ЦТО!C741</f>
        <v>0</v>
      </c>
      <c r="D837" s="63">
        <f>ЦТО!D741</f>
        <v>0</v>
      </c>
      <c r="E837" s="68">
        <f>SUM(ЦТО!BB741:BI741)</f>
        <v>0</v>
      </c>
      <c r="F837" s="64" t="str">
        <f>IF(E837&lt;10,'вспомогательные данные'!$C$26,IF(E837&lt;19,'вспомогательные данные'!$C$25,'вспомогательные данные'!$C$24))</f>
        <v>положительный</v>
      </c>
      <c r="G837" s="65">
        <f>(18-ЦТО!AM741-ЦТО!AL741)/(18-ЦТО!AL741-ЦТО!AP741)</f>
        <v>1</v>
      </c>
      <c r="H837" s="66" t="str">
        <f>IF(G837&lt;0.51,'вспомогательные данные'!$C$19,IF(G837&lt;0.92,'вспомогательные данные'!$C$20, IF(G837&lt;2,'вспомогательные данные'!$C$21,'вспомогательные данные'!$C$22)))</f>
        <v>оптимальная работоспособность</v>
      </c>
      <c r="I837" s="61" t="b">
        <f>IF(OR(ЦТО!AT741=1,ЦТО!AU741=1,ЦТО!AV741=1,ЦТО!AX741=1),"Положительная",IF(OR(ЦТО!AY741=1,ЦТО!AZ741=1,ЦТО!BA741=1),"Отрицательная",IF(OR(ЦТО!AW741=1),"Инфантильная")))</f>
        <v>0</v>
      </c>
    </row>
    <row r="838" spans="1:9">
      <c r="A838" s="62">
        <f>ЦТО!A742</f>
        <v>0</v>
      </c>
      <c r="B838" s="62">
        <f>ЦТО!B742</f>
        <v>0</v>
      </c>
      <c r="C838" s="67">
        <f>ЦТО!C742</f>
        <v>0</v>
      </c>
      <c r="D838" s="63">
        <f>ЦТО!D742</f>
        <v>0</v>
      </c>
      <c r="E838" s="68">
        <f>SUM(ЦТО!BB742:BI742)</f>
        <v>0</v>
      </c>
      <c r="F838" s="64" t="str">
        <f>IF(E838&lt;10,'вспомогательные данные'!$C$26,IF(E838&lt;19,'вспомогательные данные'!$C$25,'вспомогательные данные'!$C$24))</f>
        <v>положительный</v>
      </c>
      <c r="G838" s="65">
        <f>(18-ЦТО!AM742-ЦТО!AL742)/(18-ЦТО!AL742-ЦТО!AP742)</f>
        <v>1</v>
      </c>
      <c r="H838" s="66" t="str">
        <f>IF(G838&lt;0.51,'вспомогательные данные'!$C$19,IF(G838&lt;0.92,'вспомогательные данные'!$C$20, IF(G838&lt;2,'вспомогательные данные'!$C$21,'вспомогательные данные'!$C$22)))</f>
        <v>оптимальная работоспособность</v>
      </c>
      <c r="I838" s="61" t="b">
        <f>IF(OR(ЦТО!AT742=1,ЦТО!AU742=1,ЦТО!AV742=1,ЦТО!AX742=1),"Положительная",IF(OR(ЦТО!AY742=1,ЦТО!AZ742=1,ЦТО!BA742=1),"Отрицательная",IF(OR(ЦТО!AW742=1),"Инфантильная")))</f>
        <v>0</v>
      </c>
    </row>
    <row r="839" spans="1:9">
      <c r="A839" s="62">
        <f>ЦТО!A743</f>
        <v>0</v>
      </c>
      <c r="B839" s="62">
        <f>ЦТО!B743</f>
        <v>0</v>
      </c>
      <c r="C839" s="67">
        <f>ЦТО!C743</f>
        <v>0</v>
      </c>
      <c r="D839" s="63">
        <f>ЦТО!D743</f>
        <v>0</v>
      </c>
      <c r="E839" s="68">
        <f>SUM(ЦТО!BB743:BI743)</f>
        <v>0</v>
      </c>
      <c r="F839" s="64" t="str">
        <f>IF(E839&lt;10,'вспомогательные данные'!$C$26,IF(E839&lt;19,'вспомогательные данные'!$C$25,'вспомогательные данные'!$C$24))</f>
        <v>положительный</v>
      </c>
      <c r="G839" s="65">
        <f>(18-ЦТО!AM743-ЦТО!AL743)/(18-ЦТО!AL743-ЦТО!AP743)</f>
        <v>1</v>
      </c>
      <c r="H839" s="66" t="str">
        <f>IF(G839&lt;0.51,'вспомогательные данные'!$C$19,IF(G839&lt;0.92,'вспомогательные данные'!$C$20, IF(G839&lt;2,'вспомогательные данные'!$C$21,'вспомогательные данные'!$C$22)))</f>
        <v>оптимальная работоспособность</v>
      </c>
      <c r="I839" s="61" t="b">
        <f>IF(OR(ЦТО!AT743=1,ЦТО!AU743=1,ЦТО!AV743=1,ЦТО!AX743=1),"Положительная",IF(OR(ЦТО!AY743=1,ЦТО!AZ743=1,ЦТО!BA743=1),"Отрицательная",IF(OR(ЦТО!AW743=1),"Инфантильная")))</f>
        <v>0</v>
      </c>
    </row>
    <row r="840" spans="1:9">
      <c r="A840" s="62">
        <f>ЦТО!A744</f>
        <v>0</v>
      </c>
      <c r="B840" s="62">
        <f>ЦТО!B744</f>
        <v>0</v>
      </c>
      <c r="C840" s="67">
        <f>ЦТО!C744</f>
        <v>0</v>
      </c>
      <c r="D840" s="63">
        <f>ЦТО!D744</f>
        <v>0</v>
      </c>
      <c r="E840" s="68">
        <f>SUM(ЦТО!BB744:BI744)</f>
        <v>0</v>
      </c>
      <c r="F840" s="64" t="str">
        <f>IF(E840&lt;10,'вспомогательные данные'!$C$26,IF(E840&lt;19,'вспомогательные данные'!$C$25,'вспомогательные данные'!$C$24))</f>
        <v>положительный</v>
      </c>
      <c r="G840" s="65">
        <f>(18-ЦТО!AM744-ЦТО!AL744)/(18-ЦТО!AL744-ЦТО!AP744)</f>
        <v>1</v>
      </c>
      <c r="H840" s="66" t="str">
        <f>IF(G840&lt;0.51,'вспомогательные данные'!$C$19,IF(G840&lt;0.92,'вспомогательные данные'!$C$20, IF(G840&lt;2,'вспомогательные данные'!$C$21,'вспомогательные данные'!$C$22)))</f>
        <v>оптимальная работоспособность</v>
      </c>
      <c r="I840" s="61" t="b">
        <f>IF(OR(ЦТО!AT744=1,ЦТО!AU744=1,ЦТО!AV744=1,ЦТО!AX744=1),"Положительная",IF(OR(ЦТО!AY744=1,ЦТО!AZ744=1,ЦТО!BA744=1),"Отрицательная",IF(OR(ЦТО!AW744=1),"Инфантильная")))</f>
        <v>0</v>
      </c>
    </row>
    <row r="841" spans="1:9">
      <c r="A841" s="62">
        <f>ЦТО!A745</f>
        <v>0</v>
      </c>
      <c r="B841" s="62">
        <f>ЦТО!B745</f>
        <v>0</v>
      </c>
      <c r="C841" s="67">
        <f>ЦТО!C745</f>
        <v>0</v>
      </c>
      <c r="D841" s="63">
        <f>ЦТО!D745</f>
        <v>0</v>
      </c>
      <c r="E841" s="68">
        <f>SUM(ЦТО!BB745:BI745)</f>
        <v>0</v>
      </c>
      <c r="F841" s="64" t="str">
        <f>IF(E841&lt;10,'вспомогательные данные'!$C$26,IF(E841&lt;19,'вспомогательные данные'!$C$25,'вспомогательные данные'!$C$24))</f>
        <v>положительный</v>
      </c>
      <c r="G841" s="65">
        <f>(18-ЦТО!AM745-ЦТО!AL745)/(18-ЦТО!AL745-ЦТО!AP745)</f>
        <v>1</v>
      </c>
      <c r="H841" s="66" t="str">
        <f>IF(G841&lt;0.51,'вспомогательные данные'!$C$19,IF(G841&lt;0.92,'вспомогательные данные'!$C$20, IF(G841&lt;2,'вспомогательные данные'!$C$21,'вспомогательные данные'!$C$22)))</f>
        <v>оптимальная работоспособность</v>
      </c>
      <c r="I841" s="61" t="b">
        <f>IF(OR(ЦТО!AT745=1,ЦТО!AU745=1,ЦТО!AV745=1,ЦТО!AX745=1),"Положительная",IF(OR(ЦТО!AY745=1,ЦТО!AZ745=1,ЦТО!BA745=1),"Отрицательная",IF(OR(ЦТО!AW745=1),"Инфантильная")))</f>
        <v>0</v>
      </c>
    </row>
    <row r="842" spans="1:9">
      <c r="A842" s="62">
        <f>ЦТО!A746</f>
        <v>0</v>
      </c>
      <c r="B842" s="62">
        <f>ЦТО!B746</f>
        <v>0</v>
      </c>
      <c r="C842" s="67">
        <f>ЦТО!C746</f>
        <v>0</v>
      </c>
      <c r="D842" s="63">
        <f>ЦТО!D746</f>
        <v>0</v>
      </c>
      <c r="E842" s="68">
        <f>SUM(ЦТО!BB746:BI746)</f>
        <v>0</v>
      </c>
      <c r="F842" s="64" t="str">
        <f>IF(E842&lt;10,'вспомогательные данные'!$C$26,IF(E842&lt;19,'вспомогательные данные'!$C$25,'вспомогательные данные'!$C$24))</f>
        <v>положительный</v>
      </c>
      <c r="G842" s="65">
        <f>(18-ЦТО!AM746-ЦТО!AL746)/(18-ЦТО!AL746-ЦТО!AP746)</f>
        <v>1</v>
      </c>
      <c r="H842" s="66" t="str">
        <f>IF(G842&lt;0.51,'вспомогательные данные'!$C$19,IF(G842&lt;0.92,'вспомогательные данные'!$C$20, IF(G842&lt;2,'вспомогательные данные'!$C$21,'вспомогательные данные'!$C$22)))</f>
        <v>оптимальная работоспособность</v>
      </c>
      <c r="I842" s="61" t="b">
        <f>IF(OR(ЦТО!AT746=1,ЦТО!AU746=1,ЦТО!AV746=1,ЦТО!AX746=1),"Положительная",IF(OR(ЦТО!AY746=1,ЦТО!AZ746=1,ЦТО!BA746=1),"Отрицательная",IF(OR(ЦТО!AW746=1),"Инфантильная")))</f>
        <v>0</v>
      </c>
    </row>
    <row r="843" spans="1:9">
      <c r="A843" s="62">
        <f>ЦТО!A747</f>
        <v>0</v>
      </c>
      <c r="B843" s="62">
        <f>ЦТО!B747</f>
        <v>0</v>
      </c>
      <c r="C843" s="67">
        <f>ЦТО!C747</f>
        <v>0</v>
      </c>
      <c r="D843" s="63">
        <f>ЦТО!D747</f>
        <v>0</v>
      </c>
      <c r="E843" s="68">
        <f>SUM(ЦТО!BB747:BI747)</f>
        <v>0</v>
      </c>
      <c r="F843" s="64" t="str">
        <f>IF(E843&lt;10,'вспомогательные данные'!$C$26,IF(E843&lt;19,'вспомогательные данные'!$C$25,'вспомогательные данные'!$C$24))</f>
        <v>положительный</v>
      </c>
      <c r="G843" s="65">
        <f>(18-ЦТО!AM747-ЦТО!AL747)/(18-ЦТО!AL747-ЦТО!AP747)</f>
        <v>1</v>
      </c>
      <c r="H843" s="66" t="str">
        <f>IF(G843&lt;0.51,'вспомогательные данные'!$C$19,IF(G843&lt;0.92,'вспомогательные данные'!$C$20, IF(G843&lt;2,'вспомогательные данные'!$C$21,'вспомогательные данные'!$C$22)))</f>
        <v>оптимальная работоспособность</v>
      </c>
      <c r="I843" s="61" t="b">
        <f>IF(OR(ЦТО!AT747=1,ЦТО!AU747=1,ЦТО!AV747=1,ЦТО!AX747=1),"Положительная",IF(OR(ЦТО!AY747=1,ЦТО!AZ747=1,ЦТО!BA747=1),"Отрицательная",IF(OR(ЦТО!AW747=1),"Инфантильная")))</f>
        <v>0</v>
      </c>
    </row>
    <row r="844" spans="1:9">
      <c r="A844" s="62">
        <f>ЦТО!A748</f>
        <v>0</v>
      </c>
      <c r="B844" s="62">
        <f>ЦТО!B748</f>
        <v>0</v>
      </c>
      <c r="C844" s="67">
        <f>ЦТО!C748</f>
        <v>0</v>
      </c>
      <c r="D844" s="63">
        <f>ЦТО!D748</f>
        <v>0</v>
      </c>
      <c r="E844" s="68">
        <f>SUM(ЦТО!BB748:BI748)</f>
        <v>0</v>
      </c>
      <c r="F844" s="64" t="str">
        <f>IF(E844&lt;10,'вспомогательные данные'!$C$26,IF(E844&lt;19,'вспомогательные данные'!$C$25,'вспомогательные данные'!$C$24))</f>
        <v>положительный</v>
      </c>
      <c r="G844" s="65">
        <f>(18-ЦТО!AM748-ЦТО!AL748)/(18-ЦТО!AL748-ЦТО!AP748)</f>
        <v>1</v>
      </c>
      <c r="H844" s="66" t="str">
        <f>IF(G844&lt;0.51,'вспомогательные данные'!$C$19,IF(G844&lt;0.92,'вспомогательные данные'!$C$20, IF(G844&lt;2,'вспомогательные данные'!$C$21,'вспомогательные данные'!$C$22)))</f>
        <v>оптимальная работоспособность</v>
      </c>
      <c r="I844" s="61" t="b">
        <f>IF(OR(ЦТО!AT748=1,ЦТО!AU748=1,ЦТО!AV748=1,ЦТО!AX748=1),"Положительная",IF(OR(ЦТО!AY748=1,ЦТО!AZ748=1,ЦТО!BA748=1),"Отрицательная",IF(OR(ЦТО!AW748=1),"Инфантильная")))</f>
        <v>0</v>
      </c>
    </row>
    <row r="845" spans="1:9">
      <c r="A845" s="62">
        <f>ЦТО!A749</f>
        <v>0</v>
      </c>
      <c r="B845" s="62">
        <f>ЦТО!B749</f>
        <v>0</v>
      </c>
      <c r="C845" s="67">
        <f>ЦТО!C749</f>
        <v>0</v>
      </c>
      <c r="D845" s="63">
        <f>ЦТО!D749</f>
        <v>0</v>
      </c>
      <c r="E845" s="68">
        <f>SUM(ЦТО!BB749:BI749)</f>
        <v>0</v>
      </c>
      <c r="F845" s="64" t="str">
        <f>IF(E845&lt;10,'вспомогательные данные'!$C$26,IF(E845&lt;19,'вспомогательные данные'!$C$25,'вспомогательные данные'!$C$24))</f>
        <v>положительный</v>
      </c>
      <c r="G845" s="65">
        <f>(18-ЦТО!AM749-ЦТО!AL749)/(18-ЦТО!AL749-ЦТО!AP749)</f>
        <v>1</v>
      </c>
      <c r="H845" s="66" t="str">
        <f>IF(G845&lt;0.51,'вспомогательные данные'!$C$19,IF(G845&lt;0.92,'вспомогательные данные'!$C$20, IF(G845&lt;2,'вспомогательные данные'!$C$21,'вспомогательные данные'!$C$22)))</f>
        <v>оптимальная работоспособность</v>
      </c>
      <c r="I845" s="61" t="b">
        <f>IF(OR(ЦТО!AT749=1,ЦТО!AU749=1,ЦТО!AV749=1,ЦТО!AX749=1),"Положительная",IF(OR(ЦТО!AY749=1,ЦТО!AZ749=1,ЦТО!BA749=1),"Отрицательная",IF(OR(ЦТО!AW749=1),"Инфантильная")))</f>
        <v>0</v>
      </c>
    </row>
    <row r="846" spans="1:9">
      <c r="A846" s="62">
        <f>ЦТО!A750</f>
        <v>0</v>
      </c>
      <c r="B846" s="62">
        <f>ЦТО!B750</f>
        <v>0</v>
      </c>
      <c r="C846" s="67">
        <f>ЦТО!C750</f>
        <v>0</v>
      </c>
      <c r="D846" s="63">
        <f>ЦТО!D750</f>
        <v>0</v>
      </c>
      <c r="E846" s="68">
        <f>SUM(ЦТО!BB750:BI750)</f>
        <v>0</v>
      </c>
      <c r="F846" s="64" t="str">
        <f>IF(E846&lt;10,'вспомогательные данные'!$C$26,IF(E846&lt;19,'вспомогательные данные'!$C$25,'вспомогательные данные'!$C$24))</f>
        <v>положительный</v>
      </c>
      <c r="G846" s="65">
        <f>(18-ЦТО!AM750-ЦТО!AL750)/(18-ЦТО!AL750-ЦТО!AP750)</f>
        <v>1</v>
      </c>
      <c r="H846" s="66" t="str">
        <f>IF(G846&lt;0.51,'вспомогательные данные'!$C$19,IF(G846&lt;0.92,'вспомогательные данные'!$C$20, IF(G846&lt;2,'вспомогательные данные'!$C$21,'вспомогательные данные'!$C$22)))</f>
        <v>оптимальная работоспособность</v>
      </c>
      <c r="I846" s="61" t="b">
        <f>IF(OR(ЦТО!AT750=1,ЦТО!AU750=1,ЦТО!AV750=1,ЦТО!AX750=1),"Положительная",IF(OR(ЦТО!AY750=1,ЦТО!AZ750=1,ЦТО!BA750=1),"Отрицательная",IF(OR(ЦТО!AW750=1),"Инфантильная")))</f>
        <v>0</v>
      </c>
    </row>
    <row r="847" spans="1:9">
      <c r="A847" s="62">
        <f>ЦТО!A751</f>
        <v>0</v>
      </c>
      <c r="B847" s="62">
        <f>ЦТО!B751</f>
        <v>0</v>
      </c>
      <c r="C847" s="67">
        <f>ЦТО!C751</f>
        <v>0</v>
      </c>
      <c r="D847" s="63">
        <f>ЦТО!D751</f>
        <v>0</v>
      </c>
      <c r="E847" s="68">
        <f>SUM(ЦТО!BB751:BI751)</f>
        <v>0</v>
      </c>
      <c r="F847" s="64" t="str">
        <f>IF(E847&lt;10,'вспомогательные данные'!$C$26,IF(E847&lt;19,'вспомогательные данные'!$C$25,'вспомогательные данные'!$C$24))</f>
        <v>положительный</v>
      </c>
      <c r="G847" s="65">
        <f>(18-ЦТО!AM751-ЦТО!AL751)/(18-ЦТО!AL751-ЦТО!AP751)</f>
        <v>1</v>
      </c>
      <c r="H847" s="66" t="str">
        <f>IF(G847&lt;0.51,'вспомогательные данные'!$C$19,IF(G847&lt;0.92,'вспомогательные данные'!$C$20, IF(G847&lt;2,'вспомогательные данные'!$C$21,'вспомогательные данные'!$C$22)))</f>
        <v>оптимальная работоспособность</v>
      </c>
      <c r="I847" s="61" t="b">
        <f>IF(OR(ЦТО!AT751=1,ЦТО!AU751=1,ЦТО!AV751=1,ЦТО!AX751=1),"Положительная",IF(OR(ЦТО!AY751=1,ЦТО!AZ751=1,ЦТО!BA751=1),"Отрицательная",IF(OR(ЦТО!AW751=1),"Инфантильная")))</f>
        <v>0</v>
      </c>
    </row>
    <row r="848" spans="1:9">
      <c r="A848" s="62">
        <f>ЦТО!A752</f>
        <v>0</v>
      </c>
      <c r="B848" s="62">
        <f>ЦТО!B752</f>
        <v>0</v>
      </c>
      <c r="C848" s="67">
        <f>ЦТО!C752</f>
        <v>0</v>
      </c>
      <c r="D848" s="63">
        <f>ЦТО!D752</f>
        <v>0</v>
      </c>
      <c r="E848" s="68">
        <f>SUM(ЦТО!BB752:BI752)</f>
        <v>0</v>
      </c>
      <c r="F848" s="64" t="str">
        <f>IF(E848&lt;10,'вспомогательные данные'!$C$26,IF(E848&lt;19,'вспомогательные данные'!$C$25,'вспомогательные данные'!$C$24))</f>
        <v>положительный</v>
      </c>
      <c r="G848" s="65">
        <f>(18-ЦТО!AM752-ЦТО!AL752)/(18-ЦТО!AL752-ЦТО!AP752)</f>
        <v>1</v>
      </c>
      <c r="H848" s="66" t="str">
        <f>IF(G848&lt;0.51,'вспомогательные данные'!$C$19,IF(G848&lt;0.92,'вспомогательные данные'!$C$20, IF(G848&lt;2,'вспомогательные данные'!$C$21,'вспомогательные данные'!$C$22)))</f>
        <v>оптимальная работоспособность</v>
      </c>
      <c r="I848" s="61" t="b">
        <f>IF(OR(ЦТО!AT752=1,ЦТО!AU752=1,ЦТО!AV752=1,ЦТО!AX752=1),"Положительная",IF(OR(ЦТО!AY752=1,ЦТО!AZ752=1,ЦТО!BA752=1),"Отрицательная",IF(OR(ЦТО!AW752=1),"Инфантильная")))</f>
        <v>0</v>
      </c>
    </row>
    <row r="849" spans="1:9">
      <c r="A849" s="62">
        <f>ЦТО!A753</f>
        <v>0</v>
      </c>
      <c r="B849" s="62">
        <f>ЦТО!B753</f>
        <v>0</v>
      </c>
      <c r="C849" s="67">
        <f>ЦТО!C753</f>
        <v>0</v>
      </c>
      <c r="D849" s="63">
        <f>ЦТО!D753</f>
        <v>0</v>
      </c>
      <c r="E849" s="68">
        <f>SUM(ЦТО!BB753:BI753)</f>
        <v>0</v>
      </c>
      <c r="F849" s="64" t="str">
        <f>IF(E849&lt;10,'вспомогательные данные'!$C$26,IF(E849&lt;19,'вспомогательные данные'!$C$25,'вспомогательные данные'!$C$24))</f>
        <v>положительный</v>
      </c>
      <c r="G849" s="65">
        <f>(18-ЦТО!AM753-ЦТО!AL753)/(18-ЦТО!AL753-ЦТО!AP753)</f>
        <v>1</v>
      </c>
      <c r="H849" s="66" t="str">
        <f>IF(G849&lt;0.51,'вспомогательные данные'!$C$19,IF(G849&lt;0.92,'вспомогательные данные'!$C$20, IF(G849&lt;2,'вспомогательные данные'!$C$21,'вспомогательные данные'!$C$22)))</f>
        <v>оптимальная работоспособность</v>
      </c>
      <c r="I849" s="61" t="b">
        <f>IF(OR(ЦТО!AT753=1,ЦТО!AU753=1,ЦТО!AV753=1,ЦТО!AX753=1),"Положительная",IF(OR(ЦТО!AY753=1,ЦТО!AZ753=1,ЦТО!BA753=1),"Отрицательная",IF(OR(ЦТО!AW753=1),"Инфантильная")))</f>
        <v>0</v>
      </c>
    </row>
    <row r="850" spans="1:9">
      <c r="A850" s="62">
        <f>ЦТО!A754</f>
        <v>0</v>
      </c>
      <c r="B850" s="62">
        <f>ЦТО!B754</f>
        <v>0</v>
      </c>
      <c r="C850" s="67">
        <f>ЦТО!C754</f>
        <v>0</v>
      </c>
      <c r="D850" s="63">
        <f>ЦТО!D754</f>
        <v>0</v>
      </c>
      <c r="E850" s="68">
        <f>SUM(ЦТО!BB754:BI754)</f>
        <v>0</v>
      </c>
      <c r="F850" s="64" t="str">
        <f>IF(E850&lt;10,'вспомогательные данные'!$C$26,IF(E850&lt;19,'вспомогательные данные'!$C$25,'вспомогательные данные'!$C$24))</f>
        <v>положительный</v>
      </c>
      <c r="G850" s="65">
        <f>(18-ЦТО!AM754-ЦТО!AL754)/(18-ЦТО!AL754-ЦТО!AP754)</f>
        <v>1</v>
      </c>
      <c r="H850" s="66" t="str">
        <f>IF(G850&lt;0.51,'вспомогательные данные'!$C$19,IF(G850&lt;0.92,'вспомогательные данные'!$C$20, IF(G850&lt;2,'вспомогательные данные'!$C$21,'вспомогательные данные'!$C$22)))</f>
        <v>оптимальная работоспособность</v>
      </c>
      <c r="I850" s="61" t="b">
        <f>IF(OR(ЦТО!AT754=1,ЦТО!AU754=1,ЦТО!AV754=1,ЦТО!AX754=1),"Положительная",IF(OR(ЦТО!AY754=1,ЦТО!AZ754=1,ЦТО!BA754=1),"Отрицательная",IF(OR(ЦТО!AW754=1),"Инфантильная")))</f>
        <v>0</v>
      </c>
    </row>
    <row r="851" spans="1:9">
      <c r="A851" s="62">
        <f>ЦТО!A755</f>
        <v>0</v>
      </c>
      <c r="B851" s="62">
        <f>ЦТО!B755</f>
        <v>0</v>
      </c>
      <c r="C851" s="67">
        <f>ЦТО!C755</f>
        <v>0</v>
      </c>
      <c r="D851" s="63">
        <f>ЦТО!D755</f>
        <v>0</v>
      </c>
      <c r="E851" s="68">
        <f>SUM(ЦТО!BB755:BI755)</f>
        <v>0</v>
      </c>
      <c r="F851" s="64" t="str">
        <f>IF(E851&lt;10,'вспомогательные данные'!$C$26,IF(E851&lt;19,'вспомогательные данные'!$C$25,'вспомогательные данные'!$C$24))</f>
        <v>положительный</v>
      </c>
      <c r="G851" s="65">
        <f>(18-ЦТО!AM755-ЦТО!AL755)/(18-ЦТО!AL755-ЦТО!AP755)</f>
        <v>1</v>
      </c>
      <c r="H851" s="66" t="str">
        <f>IF(G851&lt;0.51,'вспомогательные данные'!$C$19,IF(G851&lt;0.92,'вспомогательные данные'!$C$20, IF(G851&lt;2,'вспомогательные данные'!$C$21,'вспомогательные данные'!$C$22)))</f>
        <v>оптимальная работоспособность</v>
      </c>
      <c r="I851" s="61" t="b">
        <f>IF(OR(ЦТО!AT755=1,ЦТО!AU755=1,ЦТО!AV755=1,ЦТО!AX755=1),"Положительная",IF(OR(ЦТО!AY755=1,ЦТО!AZ755=1,ЦТО!BA755=1),"Отрицательная",IF(OR(ЦТО!AW755=1),"Инфантильная")))</f>
        <v>0</v>
      </c>
    </row>
    <row r="852" spans="1:9">
      <c r="A852" s="62">
        <f>ЦТО!A756</f>
        <v>0</v>
      </c>
      <c r="B852" s="62">
        <f>ЦТО!B756</f>
        <v>0</v>
      </c>
      <c r="C852" s="67">
        <f>ЦТО!C756</f>
        <v>0</v>
      </c>
      <c r="D852" s="63">
        <f>ЦТО!D756</f>
        <v>0</v>
      </c>
      <c r="E852" s="68">
        <f>SUM(ЦТО!BB756:BI756)</f>
        <v>0</v>
      </c>
      <c r="F852" s="64" t="str">
        <f>IF(E852&lt;10,'вспомогательные данные'!$C$26,IF(E852&lt;19,'вспомогательные данные'!$C$25,'вспомогательные данные'!$C$24))</f>
        <v>положительный</v>
      </c>
      <c r="G852" s="65">
        <f>(18-ЦТО!AM756-ЦТО!AL756)/(18-ЦТО!AL756-ЦТО!AP756)</f>
        <v>1</v>
      </c>
      <c r="H852" s="66" t="str">
        <f>IF(G852&lt;0.51,'вспомогательные данные'!$C$19,IF(G852&lt;0.92,'вспомогательные данные'!$C$20, IF(G852&lt;2,'вспомогательные данные'!$C$21,'вспомогательные данные'!$C$22)))</f>
        <v>оптимальная работоспособность</v>
      </c>
      <c r="I852" s="61" t="b">
        <f>IF(OR(ЦТО!AT756=1,ЦТО!AU756=1,ЦТО!AV756=1,ЦТО!AX756=1),"Положительная",IF(OR(ЦТО!AY756=1,ЦТО!AZ756=1,ЦТО!BA756=1),"Отрицательная",IF(OR(ЦТО!AW756=1),"Инфантильная")))</f>
        <v>0</v>
      </c>
    </row>
    <row r="853" spans="1:9">
      <c r="A853" s="62">
        <f>ЦТО!A757</f>
        <v>0</v>
      </c>
      <c r="B853" s="62">
        <f>ЦТО!B757</f>
        <v>0</v>
      </c>
      <c r="C853" s="67">
        <f>ЦТО!C757</f>
        <v>0</v>
      </c>
      <c r="D853" s="63">
        <f>ЦТО!D757</f>
        <v>0</v>
      </c>
      <c r="E853" s="68">
        <f>SUM(ЦТО!BB757:BI757)</f>
        <v>0</v>
      </c>
      <c r="F853" s="64" t="str">
        <f>IF(E853&lt;10,'вспомогательные данные'!$C$26,IF(E853&lt;19,'вспомогательные данные'!$C$25,'вспомогательные данные'!$C$24))</f>
        <v>положительный</v>
      </c>
      <c r="G853" s="65">
        <f>(18-ЦТО!AM757-ЦТО!AL757)/(18-ЦТО!AL757-ЦТО!AP757)</f>
        <v>1</v>
      </c>
      <c r="H853" s="66" t="str">
        <f>IF(G853&lt;0.51,'вспомогательные данные'!$C$19,IF(G853&lt;0.92,'вспомогательные данные'!$C$20, IF(G853&lt;2,'вспомогательные данные'!$C$21,'вспомогательные данные'!$C$22)))</f>
        <v>оптимальная работоспособность</v>
      </c>
      <c r="I853" s="61" t="b">
        <f>IF(OR(ЦТО!AT757=1,ЦТО!AU757=1,ЦТО!AV757=1,ЦТО!AX757=1),"Положительная",IF(OR(ЦТО!AY757=1,ЦТО!AZ757=1,ЦТО!BA757=1),"Отрицательная",IF(OR(ЦТО!AW757=1),"Инфантильная")))</f>
        <v>0</v>
      </c>
    </row>
    <row r="854" spans="1:9">
      <c r="A854" s="62">
        <f>ЦТО!A758</f>
        <v>0</v>
      </c>
      <c r="B854" s="62">
        <f>ЦТО!B758</f>
        <v>0</v>
      </c>
      <c r="C854" s="67">
        <f>ЦТО!C758</f>
        <v>0</v>
      </c>
      <c r="D854" s="63">
        <f>ЦТО!D758</f>
        <v>0</v>
      </c>
      <c r="E854" s="68">
        <f>SUM(ЦТО!BB758:BI758)</f>
        <v>0</v>
      </c>
      <c r="F854" s="64" t="str">
        <f>IF(E854&lt;10,'вспомогательные данные'!$C$26,IF(E854&lt;19,'вспомогательные данные'!$C$25,'вспомогательные данные'!$C$24))</f>
        <v>положительный</v>
      </c>
      <c r="G854" s="65">
        <f>(18-ЦТО!AM758-ЦТО!AL758)/(18-ЦТО!AL758-ЦТО!AP758)</f>
        <v>1</v>
      </c>
      <c r="H854" s="66" t="str">
        <f>IF(G854&lt;0.51,'вспомогательные данные'!$C$19,IF(G854&lt;0.92,'вспомогательные данные'!$C$20, IF(G854&lt;2,'вспомогательные данные'!$C$21,'вспомогательные данные'!$C$22)))</f>
        <v>оптимальная работоспособность</v>
      </c>
      <c r="I854" s="61" t="b">
        <f>IF(OR(ЦТО!AT758=1,ЦТО!AU758=1,ЦТО!AV758=1,ЦТО!AX758=1),"Положительная",IF(OR(ЦТО!AY758=1,ЦТО!AZ758=1,ЦТО!BA758=1),"Отрицательная",IF(OR(ЦТО!AW758=1),"Инфантильная")))</f>
        <v>0</v>
      </c>
    </row>
    <row r="855" spans="1:9">
      <c r="A855" s="62">
        <f>ЦТО!A759</f>
        <v>0</v>
      </c>
      <c r="B855" s="62">
        <f>ЦТО!B759</f>
        <v>0</v>
      </c>
      <c r="C855" s="67">
        <f>ЦТО!C759</f>
        <v>0</v>
      </c>
      <c r="D855" s="63">
        <f>ЦТО!D759</f>
        <v>0</v>
      </c>
      <c r="E855" s="68">
        <f>SUM(ЦТО!BB759:BI759)</f>
        <v>0</v>
      </c>
      <c r="F855" s="64" t="str">
        <f>IF(E855&lt;10,'вспомогательные данные'!$C$26,IF(E855&lt;19,'вспомогательные данные'!$C$25,'вспомогательные данные'!$C$24))</f>
        <v>положительный</v>
      </c>
      <c r="G855" s="65">
        <f>(18-ЦТО!AM759-ЦТО!AL759)/(18-ЦТО!AL759-ЦТО!AP759)</f>
        <v>1</v>
      </c>
      <c r="H855" s="66" t="str">
        <f>IF(G855&lt;0.51,'вспомогательные данные'!$C$19,IF(G855&lt;0.92,'вспомогательные данные'!$C$20, IF(G855&lt;2,'вспомогательные данные'!$C$21,'вспомогательные данные'!$C$22)))</f>
        <v>оптимальная работоспособность</v>
      </c>
      <c r="I855" s="61" t="b">
        <f>IF(OR(ЦТО!AT759=1,ЦТО!AU759=1,ЦТО!AV759=1,ЦТО!AX759=1),"Положительная",IF(OR(ЦТО!AY759=1,ЦТО!AZ759=1,ЦТО!BA759=1),"Отрицательная",IF(OR(ЦТО!AW759=1),"Инфантильная")))</f>
        <v>0</v>
      </c>
    </row>
    <row r="856" spans="1:9">
      <c r="A856" s="62">
        <f>ЦТО!A760</f>
        <v>0</v>
      </c>
      <c r="B856" s="62">
        <f>ЦТО!B760</f>
        <v>0</v>
      </c>
      <c r="C856" s="67">
        <f>ЦТО!C760</f>
        <v>0</v>
      </c>
      <c r="D856" s="63">
        <f>ЦТО!D760</f>
        <v>0</v>
      </c>
      <c r="E856" s="68">
        <f>SUM(ЦТО!BB760:BI760)</f>
        <v>0</v>
      </c>
      <c r="F856" s="64" t="str">
        <f>IF(E856&lt;10,'вспомогательные данные'!$C$26,IF(E856&lt;19,'вспомогательные данные'!$C$25,'вспомогательные данные'!$C$24))</f>
        <v>положительный</v>
      </c>
      <c r="G856" s="65">
        <f>(18-ЦТО!AM760-ЦТО!AL760)/(18-ЦТО!AL760-ЦТО!AP760)</f>
        <v>1</v>
      </c>
      <c r="H856" s="66" t="str">
        <f>IF(G856&lt;0.51,'вспомогательные данные'!$C$19,IF(G856&lt;0.92,'вспомогательные данные'!$C$20, IF(G856&lt;2,'вспомогательные данные'!$C$21,'вспомогательные данные'!$C$22)))</f>
        <v>оптимальная работоспособность</v>
      </c>
      <c r="I856" s="61" t="b">
        <f>IF(OR(ЦТО!AT760=1,ЦТО!AU760=1,ЦТО!AV760=1,ЦТО!AX760=1),"Положительная",IF(OR(ЦТО!AY760=1,ЦТО!AZ760=1,ЦТО!BA760=1),"Отрицательная",IF(OR(ЦТО!AW760=1),"Инфантильная")))</f>
        <v>0</v>
      </c>
    </row>
    <row r="857" spans="1:9">
      <c r="A857" s="62">
        <f>ЦТО!A761</f>
        <v>0</v>
      </c>
      <c r="B857" s="62">
        <f>ЦТО!B761</f>
        <v>0</v>
      </c>
      <c r="C857" s="67">
        <f>ЦТО!C761</f>
        <v>0</v>
      </c>
      <c r="D857" s="63">
        <f>ЦТО!D761</f>
        <v>0</v>
      </c>
      <c r="E857" s="68">
        <f>SUM(ЦТО!BB761:BI761)</f>
        <v>0</v>
      </c>
      <c r="F857" s="64" t="str">
        <f>IF(E857&lt;10,'вспомогательные данные'!$C$26,IF(E857&lt;19,'вспомогательные данные'!$C$25,'вспомогательные данные'!$C$24))</f>
        <v>положительный</v>
      </c>
      <c r="G857" s="65">
        <f>(18-ЦТО!AM761-ЦТО!AL761)/(18-ЦТО!AL761-ЦТО!AP761)</f>
        <v>1</v>
      </c>
      <c r="H857" s="66" t="str">
        <f>IF(G857&lt;0.51,'вспомогательные данные'!$C$19,IF(G857&lt;0.92,'вспомогательные данные'!$C$20, IF(G857&lt;2,'вспомогательные данные'!$C$21,'вспомогательные данные'!$C$22)))</f>
        <v>оптимальная работоспособность</v>
      </c>
      <c r="I857" s="61" t="b">
        <f>IF(OR(ЦТО!AT761=1,ЦТО!AU761=1,ЦТО!AV761=1,ЦТО!AX761=1),"Положительная",IF(OR(ЦТО!AY761=1,ЦТО!AZ761=1,ЦТО!BA761=1),"Отрицательная",IF(OR(ЦТО!AW761=1),"Инфантильная")))</f>
        <v>0</v>
      </c>
    </row>
    <row r="858" spans="1:9">
      <c r="A858" s="62">
        <f>ЦТО!A762</f>
        <v>0</v>
      </c>
      <c r="B858" s="62">
        <f>ЦТО!B762</f>
        <v>0</v>
      </c>
      <c r="C858" s="67">
        <f>ЦТО!C762</f>
        <v>0</v>
      </c>
      <c r="D858" s="63">
        <f>ЦТО!D762</f>
        <v>0</v>
      </c>
      <c r="E858" s="68">
        <f>SUM(ЦТО!BB762:BI762)</f>
        <v>0</v>
      </c>
      <c r="F858" s="64" t="str">
        <f>IF(E858&lt;10,'вспомогательные данные'!$C$26,IF(E858&lt;19,'вспомогательные данные'!$C$25,'вспомогательные данные'!$C$24))</f>
        <v>положительный</v>
      </c>
      <c r="G858" s="65">
        <f>(18-ЦТО!AM762-ЦТО!AL762)/(18-ЦТО!AL762-ЦТО!AP762)</f>
        <v>1</v>
      </c>
      <c r="H858" s="66" t="str">
        <f>IF(G858&lt;0.51,'вспомогательные данные'!$C$19,IF(G858&lt;0.92,'вспомогательные данные'!$C$20, IF(G858&lt;2,'вспомогательные данные'!$C$21,'вспомогательные данные'!$C$22)))</f>
        <v>оптимальная работоспособность</v>
      </c>
      <c r="I858" s="61" t="b">
        <f>IF(OR(ЦТО!AT762=1,ЦТО!AU762=1,ЦТО!AV762=1,ЦТО!AX762=1),"Положительная",IF(OR(ЦТО!AY762=1,ЦТО!AZ762=1,ЦТО!BA762=1),"Отрицательная",IF(OR(ЦТО!AW762=1),"Инфантильная")))</f>
        <v>0</v>
      </c>
    </row>
    <row r="859" spans="1:9">
      <c r="A859" s="62">
        <f>ЦТО!A763</f>
        <v>0</v>
      </c>
      <c r="B859" s="62">
        <f>ЦТО!B763</f>
        <v>0</v>
      </c>
      <c r="C859" s="67">
        <f>ЦТО!C763</f>
        <v>0</v>
      </c>
      <c r="D859" s="63">
        <f>ЦТО!D763</f>
        <v>0</v>
      </c>
      <c r="E859" s="68">
        <f>SUM(ЦТО!BB763:BI763)</f>
        <v>0</v>
      </c>
      <c r="F859" s="64" t="str">
        <f>IF(E859&lt;10,'вспомогательные данные'!$C$26,IF(E859&lt;19,'вспомогательные данные'!$C$25,'вспомогательные данные'!$C$24))</f>
        <v>положительный</v>
      </c>
      <c r="G859" s="65">
        <f>(18-ЦТО!AM763-ЦТО!AL763)/(18-ЦТО!AL763-ЦТО!AP763)</f>
        <v>1</v>
      </c>
      <c r="H859" s="66" t="str">
        <f>IF(G859&lt;0.51,'вспомогательные данные'!$C$19,IF(G859&lt;0.92,'вспомогательные данные'!$C$20, IF(G859&lt;2,'вспомогательные данные'!$C$21,'вспомогательные данные'!$C$22)))</f>
        <v>оптимальная работоспособность</v>
      </c>
      <c r="I859" s="61" t="b">
        <f>IF(OR(ЦТО!AT763=1,ЦТО!AU763=1,ЦТО!AV763=1,ЦТО!AX763=1),"Положительная",IF(OR(ЦТО!AY763=1,ЦТО!AZ763=1,ЦТО!BA763=1),"Отрицательная",IF(OR(ЦТО!AW763=1),"Инфантильная")))</f>
        <v>0</v>
      </c>
    </row>
    <row r="860" spans="1:9">
      <c r="A860" s="62">
        <f>ЦТО!A764</f>
        <v>0</v>
      </c>
      <c r="B860" s="62">
        <f>ЦТО!B764</f>
        <v>0</v>
      </c>
      <c r="C860" s="67">
        <f>ЦТО!C764</f>
        <v>0</v>
      </c>
      <c r="D860" s="63">
        <f>ЦТО!D764</f>
        <v>0</v>
      </c>
      <c r="E860" s="68">
        <f>SUM(ЦТО!BB764:BI764)</f>
        <v>0</v>
      </c>
      <c r="F860" s="64" t="str">
        <f>IF(E860&lt;10,'вспомогательные данные'!$C$26,IF(E860&lt;19,'вспомогательные данные'!$C$25,'вспомогательные данные'!$C$24))</f>
        <v>положительный</v>
      </c>
      <c r="G860" s="65">
        <f>(18-ЦТО!AM764-ЦТО!AL764)/(18-ЦТО!AL764-ЦТО!AP764)</f>
        <v>1</v>
      </c>
      <c r="H860" s="66" t="str">
        <f>IF(G860&lt;0.51,'вспомогательные данные'!$C$19,IF(G860&lt;0.92,'вспомогательные данные'!$C$20, IF(G860&lt;2,'вспомогательные данные'!$C$21,'вспомогательные данные'!$C$22)))</f>
        <v>оптимальная работоспособность</v>
      </c>
      <c r="I860" s="61" t="b">
        <f>IF(OR(ЦТО!AT764=1,ЦТО!AU764=1,ЦТО!AV764=1,ЦТО!AX764=1),"Положительная",IF(OR(ЦТО!AY764=1,ЦТО!AZ764=1,ЦТО!BA764=1),"Отрицательная",IF(OR(ЦТО!AW764=1),"Инфантильная")))</f>
        <v>0</v>
      </c>
    </row>
    <row r="861" spans="1:9">
      <c r="A861" s="62">
        <f>ЦТО!A765</f>
        <v>0</v>
      </c>
      <c r="B861" s="62">
        <f>ЦТО!B765</f>
        <v>0</v>
      </c>
      <c r="C861" s="67">
        <f>ЦТО!C765</f>
        <v>0</v>
      </c>
      <c r="D861" s="63">
        <f>ЦТО!D765</f>
        <v>0</v>
      </c>
      <c r="E861" s="68">
        <f>SUM(ЦТО!BB765:BI765)</f>
        <v>0</v>
      </c>
      <c r="F861" s="64" t="str">
        <f>IF(E861&lt;10,'вспомогательные данные'!$C$26,IF(E861&lt;19,'вспомогательные данные'!$C$25,'вспомогательные данные'!$C$24))</f>
        <v>положительный</v>
      </c>
      <c r="G861" s="65">
        <f>(18-ЦТО!AM765-ЦТО!AL765)/(18-ЦТО!AL765-ЦТО!AP765)</f>
        <v>1</v>
      </c>
      <c r="H861" s="66" t="str">
        <f>IF(G861&lt;0.51,'вспомогательные данные'!$C$19,IF(G861&lt;0.92,'вспомогательные данные'!$C$20, IF(G861&lt;2,'вспомогательные данные'!$C$21,'вспомогательные данные'!$C$22)))</f>
        <v>оптимальная работоспособность</v>
      </c>
      <c r="I861" s="61" t="b">
        <f>IF(OR(ЦТО!AT765=1,ЦТО!AU765=1,ЦТО!AV765=1,ЦТО!AX765=1),"Положительная",IF(OR(ЦТО!AY765=1,ЦТО!AZ765=1,ЦТО!BA765=1),"Отрицательная",IF(OR(ЦТО!AW765=1),"Инфантильная")))</f>
        <v>0</v>
      </c>
    </row>
    <row r="862" spans="1:9">
      <c r="A862" s="62">
        <f>ЦТО!A766</f>
        <v>0</v>
      </c>
      <c r="B862" s="62">
        <f>ЦТО!B766</f>
        <v>0</v>
      </c>
      <c r="C862" s="67">
        <f>ЦТО!C766</f>
        <v>0</v>
      </c>
      <c r="D862" s="63">
        <f>ЦТО!D766</f>
        <v>0</v>
      </c>
      <c r="E862" s="68">
        <f>SUM(ЦТО!BB766:BI766)</f>
        <v>0</v>
      </c>
      <c r="F862" s="64" t="str">
        <f>IF(E862&lt;10,'вспомогательные данные'!$C$26,IF(E862&lt;19,'вспомогательные данные'!$C$25,'вспомогательные данные'!$C$24))</f>
        <v>положительный</v>
      </c>
      <c r="G862" s="65">
        <f>(18-ЦТО!AM766-ЦТО!AL766)/(18-ЦТО!AL766-ЦТО!AP766)</f>
        <v>1</v>
      </c>
      <c r="H862" s="66" t="str">
        <f>IF(G862&lt;0.51,'вспомогательные данные'!$C$19,IF(G862&lt;0.92,'вспомогательные данные'!$C$20, IF(G862&lt;2,'вспомогательные данные'!$C$21,'вспомогательные данные'!$C$22)))</f>
        <v>оптимальная работоспособность</v>
      </c>
      <c r="I862" s="61" t="b">
        <f>IF(OR(ЦТО!AT766=1,ЦТО!AU766=1,ЦТО!AV766=1,ЦТО!AX766=1),"Положительная",IF(OR(ЦТО!AY766=1,ЦТО!AZ766=1,ЦТО!BA766=1),"Отрицательная",IF(OR(ЦТО!AW766=1),"Инфантильная")))</f>
        <v>0</v>
      </c>
    </row>
    <row r="863" spans="1:9">
      <c r="A863" s="62">
        <f>ЦТО!A767</f>
        <v>0</v>
      </c>
      <c r="B863" s="62">
        <f>ЦТО!B767</f>
        <v>0</v>
      </c>
      <c r="C863" s="67">
        <f>ЦТО!C767</f>
        <v>0</v>
      </c>
      <c r="D863" s="63">
        <f>ЦТО!D767</f>
        <v>0</v>
      </c>
      <c r="E863" s="68">
        <f>SUM(ЦТО!BB767:BI767)</f>
        <v>0</v>
      </c>
      <c r="F863" s="64" t="str">
        <f>IF(E863&lt;10,'вспомогательные данные'!$C$26,IF(E863&lt;19,'вспомогательные данные'!$C$25,'вспомогательные данные'!$C$24))</f>
        <v>положительный</v>
      </c>
      <c r="G863" s="65">
        <f>(18-ЦТО!AM767-ЦТО!AL767)/(18-ЦТО!AL767-ЦТО!AP767)</f>
        <v>1</v>
      </c>
      <c r="H863" s="66" t="str">
        <f>IF(G863&lt;0.51,'вспомогательные данные'!$C$19,IF(G863&lt;0.92,'вспомогательные данные'!$C$20, IF(G863&lt;2,'вспомогательные данные'!$C$21,'вспомогательные данные'!$C$22)))</f>
        <v>оптимальная работоспособность</v>
      </c>
      <c r="I863" s="61" t="b">
        <f>IF(OR(ЦТО!AT767=1,ЦТО!AU767=1,ЦТО!AV767=1,ЦТО!AX767=1),"Положительная",IF(OR(ЦТО!AY767=1,ЦТО!AZ767=1,ЦТО!BA767=1),"Отрицательная",IF(OR(ЦТО!AW767=1),"Инфантильная")))</f>
        <v>0</v>
      </c>
    </row>
    <row r="864" spans="1:9">
      <c r="A864" s="62">
        <f>ЦТО!A768</f>
        <v>0</v>
      </c>
      <c r="B864" s="62">
        <f>ЦТО!B768</f>
        <v>0</v>
      </c>
      <c r="C864" s="67">
        <f>ЦТО!C768</f>
        <v>0</v>
      </c>
      <c r="D864" s="63">
        <f>ЦТО!D768</f>
        <v>0</v>
      </c>
      <c r="E864" s="68">
        <f>SUM(ЦТО!BB768:BI768)</f>
        <v>0</v>
      </c>
      <c r="F864" s="64" t="str">
        <f>IF(E864&lt;10,'вспомогательные данные'!$C$26,IF(E864&lt;19,'вспомогательные данные'!$C$25,'вспомогательные данные'!$C$24))</f>
        <v>положительный</v>
      </c>
      <c r="G864" s="65">
        <f>(18-ЦТО!AM768-ЦТО!AL768)/(18-ЦТО!AL768-ЦТО!AP768)</f>
        <v>1</v>
      </c>
      <c r="H864" s="66" t="str">
        <f>IF(G864&lt;0.51,'вспомогательные данные'!$C$19,IF(G864&lt;0.92,'вспомогательные данные'!$C$20, IF(G864&lt;2,'вспомогательные данные'!$C$21,'вспомогательные данные'!$C$22)))</f>
        <v>оптимальная работоспособность</v>
      </c>
      <c r="I864" s="61" t="b">
        <f>IF(OR(ЦТО!AT768=1,ЦТО!AU768=1,ЦТО!AV768=1,ЦТО!AX768=1),"Положительная",IF(OR(ЦТО!AY768=1,ЦТО!AZ768=1,ЦТО!BA768=1),"Отрицательная",IF(OR(ЦТО!AW768=1),"Инфантильная")))</f>
        <v>0</v>
      </c>
    </row>
    <row r="865" spans="1:9">
      <c r="A865" s="62">
        <f>ЦТО!A769</f>
        <v>0</v>
      </c>
      <c r="B865" s="62">
        <f>ЦТО!B769</f>
        <v>0</v>
      </c>
      <c r="C865" s="67">
        <f>ЦТО!C769</f>
        <v>0</v>
      </c>
      <c r="D865" s="63">
        <f>ЦТО!D769</f>
        <v>0</v>
      </c>
      <c r="E865" s="68">
        <f>SUM(ЦТО!BB769:BI769)</f>
        <v>0</v>
      </c>
      <c r="F865" s="64" t="str">
        <f>IF(E865&lt;10,'вспомогательные данные'!$C$26,IF(E865&lt;19,'вспомогательные данные'!$C$25,'вспомогательные данные'!$C$24))</f>
        <v>положительный</v>
      </c>
      <c r="G865" s="65">
        <f>(18-ЦТО!AM769-ЦТО!AL769)/(18-ЦТО!AL769-ЦТО!AP769)</f>
        <v>1</v>
      </c>
      <c r="H865" s="66" t="str">
        <f>IF(G865&lt;0.51,'вспомогательные данные'!$C$19,IF(G865&lt;0.92,'вспомогательные данные'!$C$20, IF(G865&lt;2,'вспомогательные данные'!$C$21,'вспомогательные данные'!$C$22)))</f>
        <v>оптимальная работоспособность</v>
      </c>
      <c r="I865" s="61" t="b">
        <f>IF(OR(ЦТО!AT769=1,ЦТО!AU769=1,ЦТО!AV769=1,ЦТО!AX769=1),"Положительная",IF(OR(ЦТО!AY769=1,ЦТО!AZ769=1,ЦТО!BA769=1),"Отрицательная",IF(OR(ЦТО!AW769=1),"Инфантильная")))</f>
        <v>0</v>
      </c>
    </row>
    <row r="866" spans="1:9">
      <c r="A866" s="62">
        <f>ЦТО!A770</f>
        <v>0</v>
      </c>
      <c r="B866" s="62">
        <f>ЦТО!B770</f>
        <v>0</v>
      </c>
      <c r="C866" s="67">
        <f>ЦТО!C770</f>
        <v>0</v>
      </c>
      <c r="D866" s="63">
        <f>ЦТО!D770</f>
        <v>0</v>
      </c>
      <c r="E866" s="68">
        <f>SUM(ЦТО!BB770:BI770)</f>
        <v>0</v>
      </c>
      <c r="F866" s="64" t="str">
        <f>IF(E866&lt;10,'вспомогательные данные'!$C$26,IF(E866&lt;19,'вспомогательные данные'!$C$25,'вспомогательные данные'!$C$24))</f>
        <v>положительный</v>
      </c>
      <c r="G866" s="65">
        <f>(18-ЦТО!AM770-ЦТО!AL770)/(18-ЦТО!AL770-ЦТО!AP770)</f>
        <v>1</v>
      </c>
      <c r="H866" s="66" t="str">
        <f>IF(G866&lt;0.51,'вспомогательные данные'!$C$19,IF(G866&lt;0.92,'вспомогательные данные'!$C$20, IF(G866&lt;2,'вспомогательные данные'!$C$21,'вспомогательные данные'!$C$22)))</f>
        <v>оптимальная работоспособность</v>
      </c>
      <c r="I866" s="61" t="b">
        <f>IF(OR(ЦТО!AT770=1,ЦТО!AU770=1,ЦТО!AV770=1,ЦТО!AX770=1),"Положительная",IF(OR(ЦТО!AY770=1,ЦТО!AZ770=1,ЦТО!BA770=1),"Отрицательная",IF(OR(ЦТО!AW770=1),"Инфантильная")))</f>
        <v>0</v>
      </c>
    </row>
    <row r="867" spans="1:9">
      <c r="A867" s="62">
        <f>ЦТО!A771</f>
        <v>0</v>
      </c>
      <c r="B867" s="62">
        <f>ЦТО!B771</f>
        <v>0</v>
      </c>
      <c r="C867" s="67">
        <f>ЦТО!C771</f>
        <v>0</v>
      </c>
      <c r="D867" s="63">
        <f>ЦТО!D771</f>
        <v>0</v>
      </c>
      <c r="E867" s="68">
        <f>SUM(ЦТО!BB771:BI771)</f>
        <v>0</v>
      </c>
      <c r="F867" s="64" t="str">
        <f>IF(E867&lt;10,'вспомогательные данные'!$C$26,IF(E867&lt;19,'вспомогательные данные'!$C$25,'вспомогательные данные'!$C$24))</f>
        <v>положительный</v>
      </c>
      <c r="G867" s="65">
        <f>(18-ЦТО!AM771-ЦТО!AL771)/(18-ЦТО!AL771-ЦТО!AP771)</f>
        <v>1</v>
      </c>
      <c r="H867" s="66" t="str">
        <f>IF(G867&lt;0.51,'вспомогательные данные'!$C$19,IF(G867&lt;0.92,'вспомогательные данные'!$C$20, IF(G867&lt;2,'вспомогательные данные'!$C$21,'вспомогательные данные'!$C$22)))</f>
        <v>оптимальная работоспособность</v>
      </c>
      <c r="I867" s="61" t="b">
        <f>IF(OR(ЦТО!AT771=1,ЦТО!AU771=1,ЦТО!AV771=1,ЦТО!AX771=1),"Положительная",IF(OR(ЦТО!AY771=1,ЦТО!AZ771=1,ЦТО!BA771=1),"Отрицательная",IF(OR(ЦТО!AW771=1),"Инфантильная")))</f>
        <v>0</v>
      </c>
    </row>
    <row r="868" spans="1:9">
      <c r="A868" s="62">
        <f>ЦТО!A772</f>
        <v>0</v>
      </c>
      <c r="B868" s="62">
        <f>ЦТО!B772</f>
        <v>0</v>
      </c>
      <c r="C868" s="67">
        <f>ЦТО!C772</f>
        <v>0</v>
      </c>
      <c r="D868" s="63">
        <f>ЦТО!D772</f>
        <v>0</v>
      </c>
      <c r="E868" s="68">
        <f>SUM(ЦТО!BB772:BI772)</f>
        <v>0</v>
      </c>
      <c r="F868" s="64" t="str">
        <f>IF(E868&lt;10,'вспомогательные данные'!$C$26,IF(E868&lt;19,'вспомогательные данные'!$C$25,'вспомогательные данные'!$C$24))</f>
        <v>положительный</v>
      </c>
      <c r="G868" s="65">
        <f>(18-ЦТО!AM772-ЦТО!AL772)/(18-ЦТО!AL772-ЦТО!AP772)</f>
        <v>1</v>
      </c>
      <c r="H868" s="66" t="str">
        <f>IF(G868&lt;0.51,'вспомогательные данные'!$C$19,IF(G868&lt;0.92,'вспомогательные данные'!$C$20, IF(G868&lt;2,'вспомогательные данные'!$C$21,'вспомогательные данные'!$C$22)))</f>
        <v>оптимальная работоспособность</v>
      </c>
      <c r="I868" s="61" t="b">
        <f>IF(OR(ЦТО!AT772=1,ЦТО!AU772=1,ЦТО!AV772=1,ЦТО!AX772=1),"Положительная",IF(OR(ЦТО!AY772=1,ЦТО!AZ772=1,ЦТО!BA772=1),"Отрицательная",IF(OR(ЦТО!AW772=1),"Инфантильная")))</f>
        <v>0</v>
      </c>
    </row>
    <row r="869" spans="1:9">
      <c r="A869" s="62">
        <f>ЦТО!A773</f>
        <v>0</v>
      </c>
      <c r="B869" s="62">
        <f>ЦТО!B773</f>
        <v>0</v>
      </c>
      <c r="C869" s="67">
        <f>ЦТО!C773</f>
        <v>0</v>
      </c>
      <c r="D869" s="63">
        <f>ЦТО!D773</f>
        <v>0</v>
      </c>
      <c r="E869" s="68">
        <f>SUM(ЦТО!BB773:BI773)</f>
        <v>0</v>
      </c>
      <c r="F869" s="64" t="str">
        <f>IF(E869&lt;10,'вспомогательные данные'!$C$26,IF(E869&lt;19,'вспомогательные данные'!$C$25,'вспомогательные данные'!$C$24))</f>
        <v>положительный</v>
      </c>
      <c r="G869" s="65">
        <f>(18-ЦТО!AM773-ЦТО!AL773)/(18-ЦТО!AL773-ЦТО!AP773)</f>
        <v>1</v>
      </c>
      <c r="H869" s="66" t="str">
        <f>IF(G869&lt;0.51,'вспомогательные данные'!$C$19,IF(G869&lt;0.92,'вспомогательные данные'!$C$20, IF(G869&lt;2,'вспомогательные данные'!$C$21,'вспомогательные данные'!$C$22)))</f>
        <v>оптимальная работоспособность</v>
      </c>
      <c r="I869" s="61" t="b">
        <f>IF(OR(ЦТО!AT773=1,ЦТО!AU773=1,ЦТО!AV773=1,ЦТО!AX773=1),"Положительная",IF(OR(ЦТО!AY773=1,ЦТО!AZ773=1,ЦТО!BA773=1),"Отрицательная",IF(OR(ЦТО!AW773=1),"Инфантильная")))</f>
        <v>0</v>
      </c>
    </row>
    <row r="870" spans="1:9">
      <c r="A870" s="62">
        <f>ЦТО!A774</f>
        <v>0</v>
      </c>
      <c r="B870" s="62">
        <f>ЦТО!B774</f>
        <v>0</v>
      </c>
      <c r="C870" s="67">
        <f>ЦТО!C774</f>
        <v>0</v>
      </c>
      <c r="D870" s="63">
        <f>ЦТО!D774</f>
        <v>0</v>
      </c>
      <c r="E870" s="68">
        <f>SUM(ЦТО!BB774:BI774)</f>
        <v>0</v>
      </c>
      <c r="F870" s="64" t="str">
        <f>IF(E870&lt;10,'вспомогательные данные'!$C$26,IF(E870&lt;19,'вспомогательные данные'!$C$25,'вспомогательные данные'!$C$24))</f>
        <v>положительный</v>
      </c>
      <c r="G870" s="65">
        <f>(18-ЦТО!AM774-ЦТО!AL774)/(18-ЦТО!AL774-ЦТО!AP774)</f>
        <v>1</v>
      </c>
      <c r="H870" s="66" t="str">
        <f>IF(G870&lt;0.51,'вспомогательные данные'!$C$19,IF(G870&lt;0.92,'вспомогательные данные'!$C$20, IF(G870&lt;2,'вспомогательные данные'!$C$21,'вспомогательные данные'!$C$22)))</f>
        <v>оптимальная работоспособность</v>
      </c>
      <c r="I870" s="61" t="b">
        <f>IF(OR(ЦТО!AT774=1,ЦТО!AU774=1,ЦТО!AV774=1,ЦТО!AX774=1),"Положительная",IF(OR(ЦТО!AY774=1,ЦТО!AZ774=1,ЦТО!BA774=1),"Отрицательная",IF(OR(ЦТО!AW774=1),"Инфантильная")))</f>
        <v>0</v>
      </c>
    </row>
    <row r="871" spans="1:9">
      <c r="A871" s="62">
        <f>ЦТО!A775</f>
        <v>0</v>
      </c>
      <c r="B871" s="62">
        <f>ЦТО!B775</f>
        <v>0</v>
      </c>
      <c r="C871" s="67">
        <f>ЦТО!C775</f>
        <v>0</v>
      </c>
      <c r="D871" s="63">
        <f>ЦТО!D775</f>
        <v>0</v>
      </c>
      <c r="E871" s="68">
        <f>SUM(ЦТО!BB775:BI775)</f>
        <v>0</v>
      </c>
      <c r="F871" s="64" t="str">
        <f>IF(E871&lt;10,'вспомогательные данные'!$C$26,IF(E871&lt;19,'вспомогательные данные'!$C$25,'вспомогательные данные'!$C$24))</f>
        <v>положительный</v>
      </c>
      <c r="G871" s="65">
        <f>(18-ЦТО!AM775-ЦТО!AL775)/(18-ЦТО!AL775-ЦТО!AP775)</f>
        <v>1</v>
      </c>
      <c r="H871" s="66" t="str">
        <f>IF(G871&lt;0.51,'вспомогательные данные'!$C$19,IF(G871&lt;0.92,'вспомогательные данные'!$C$20, IF(G871&lt;2,'вспомогательные данные'!$C$21,'вспомогательные данные'!$C$22)))</f>
        <v>оптимальная работоспособность</v>
      </c>
      <c r="I871" s="61" t="b">
        <f>IF(OR(ЦТО!AT775=1,ЦТО!AU775=1,ЦТО!AV775=1,ЦТО!AX775=1),"Положительная",IF(OR(ЦТО!AY775=1,ЦТО!AZ775=1,ЦТО!BA775=1),"Отрицательная",IF(OR(ЦТО!AW775=1),"Инфантильная")))</f>
        <v>0</v>
      </c>
    </row>
    <row r="872" spans="1:9">
      <c r="A872" s="62">
        <f>ЦТО!A776</f>
        <v>0</v>
      </c>
      <c r="B872" s="62">
        <f>ЦТО!B776</f>
        <v>0</v>
      </c>
      <c r="C872" s="67">
        <f>ЦТО!C776</f>
        <v>0</v>
      </c>
      <c r="D872" s="63">
        <f>ЦТО!D776</f>
        <v>0</v>
      </c>
      <c r="E872" s="68">
        <f>SUM(ЦТО!BB776:BI776)</f>
        <v>0</v>
      </c>
      <c r="F872" s="64" t="str">
        <f>IF(E872&lt;10,'вспомогательные данные'!$C$26,IF(E872&lt;19,'вспомогательные данные'!$C$25,'вспомогательные данные'!$C$24))</f>
        <v>положительный</v>
      </c>
      <c r="G872" s="65">
        <f>(18-ЦТО!AM776-ЦТО!AL776)/(18-ЦТО!AL776-ЦТО!AP776)</f>
        <v>1</v>
      </c>
      <c r="H872" s="66" t="str">
        <f>IF(G872&lt;0.51,'вспомогательные данные'!$C$19,IF(G872&lt;0.92,'вспомогательные данные'!$C$20, IF(G872&lt;2,'вспомогательные данные'!$C$21,'вспомогательные данные'!$C$22)))</f>
        <v>оптимальная работоспособность</v>
      </c>
      <c r="I872" s="61" t="b">
        <f>IF(OR(ЦТО!AT776=1,ЦТО!AU776=1,ЦТО!AV776=1,ЦТО!AX776=1),"Положительная",IF(OR(ЦТО!AY776=1,ЦТО!AZ776=1,ЦТО!BA776=1),"Отрицательная",IF(OR(ЦТО!AW776=1),"Инфантильная")))</f>
        <v>0</v>
      </c>
    </row>
    <row r="873" spans="1:9">
      <c r="A873" s="62">
        <f>ЦТО!A777</f>
        <v>0</v>
      </c>
      <c r="B873" s="62">
        <f>ЦТО!B777</f>
        <v>0</v>
      </c>
      <c r="C873" s="67">
        <f>ЦТО!C777</f>
        <v>0</v>
      </c>
      <c r="D873" s="63">
        <f>ЦТО!D777</f>
        <v>0</v>
      </c>
      <c r="E873" s="68">
        <f>SUM(ЦТО!BB777:BI777)</f>
        <v>0</v>
      </c>
      <c r="F873" s="64" t="str">
        <f>IF(E873&lt;10,'вспомогательные данные'!$C$26,IF(E873&lt;19,'вспомогательные данные'!$C$25,'вспомогательные данные'!$C$24))</f>
        <v>положительный</v>
      </c>
      <c r="G873" s="65">
        <f>(18-ЦТО!AM777-ЦТО!AL777)/(18-ЦТО!AL777-ЦТО!AP777)</f>
        <v>1</v>
      </c>
      <c r="H873" s="66" t="str">
        <f>IF(G873&lt;0.51,'вспомогательные данные'!$C$19,IF(G873&lt;0.92,'вспомогательные данные'!$C$20, IF(G873&lt;2,'вспомогательные данные'!$C$21,'вспомогательные данные'!$C$22)))</f>
        <v>оптимальная работоспособность</v>
      </c>
      <c r="I873" s="61" t="b">
        <f>IF(OR(ЦТО!AT777=1,ЦТО!AU777=1,ЦТО!AV777=1,ЦТО!AX777=1),"Положительная",IF(OR(ЦТО!AY777=1,ЦТО!AZ777=1,ЦТО!BA777=1),"Отрицательная",IF(OR(ЦТО!AW777=1),"Инфантильная")))</f>
        <v>0</v>
      </c>
    </row>
    <row r="874" spans="1:9">
      <c r="A874" s="62">
        <f>ЦТО!A778</f>
        <v>0</v>
      </c>
      <c r="B874" s="62">
        <f>ЦТО!B778</f>
        <v>0</v>
      </c>
      <c r="C874" s="67">
        <f>ЦТО!C778</f>
        <v>0</v>
      </c>
      <c r="D874" s="63">
        <f>ЦТО!D778</f>
        <v>0</v>
      </c>
      <c r="E874" s="68">
        <f>SUM(ЦТО!BB778:BI778)</f>
        <v>0</v>
      </c>
      <c r="F874" s="64" t="str">
        <f>IF(E874&lt;10,'вспомогательные данные'!$C$26,IF(E874&lt;19,'вспомогательные данные'!$C$25,'вспомогательные данные'!$C$24))</f>
        <v>положительный</v>
      </c>
      <c r="G874" s="65">
        <f>(18-ЦТО!AM778-ЦТО!AL778)/(18-ЦТО!AL778-ЦТО!AP778)</f>
        <v>1</v>
      </c>
      <c r="H874" s="66" t="str">
        <f>IF(G874&lt;0.51,'вспомогательные данные'!$C$19,IF(G874&lt;0.92,'вспомогательные данные'!$C$20, IF(G874&lt;2,'вспомогательные данные'!$C$21,'вспомогательные данные'!$C$22)))</f>
        <v>оптимальная работоспособность</v>
      </c>
      <c r="I874" s="61" t="b">
        <f>IF(OR(ЦТО!AT778=1,ЦТО!AU778=1,ЦТО!AV778=1,ЦТО!AX778=1),"Положительная",IF(OR(ЦТО!AY778=1,ЦТО!AZ778=1,ЦТО!BA778=1),"Отрицательная",IF(OR(ЦТО!AW778=1),"Инфантильная")))</f>
        <v>0</v>
      </c>
    </row>
    <row r="875" spans="1:9">
      <c r="A875" s="62">
        <f>ЦТО!A779</f>
        <v>0</v>
      </c>
      <c r="B875" s="62">
        <f>ЦТО!B779</f>
        <v>0</v>
      </c>
      <c r="C875" s="67">
        <f>ЦТО!C779</f>
        <v>0</v>
      </c>
      <c r="D875" s="63">
        <f>ЦТО!D779</f>
        <v>0</v>
      </c>
      <c r="E875" s="68">
        <f>SUM(ЦТО!BB779:BI779)</f>
        <v>0</v>
      </c>
      <c r="F875" s="64" t="str">
        <f>IF(E875&lt;10,'вспомогательные данные'!$C$26,IF(E875&lt;19,'вспомогательные данные'!$C$25,'вспомогательные данные'!$C$24))</f>
        <v>положительный</v>
      </c>
      <c r="G875" s="65">
        <f>(18-ЦТО!AM779-ЦТО!AL779)/(18-ЦТО!AL779-ЦТО!AP779)</f>
        <v>1</v>
      </c>
      <c r="H875" s="66" t="str">
        <f>IF(G875&lt;0.51,'вспомогательные данные'!$C$19,IF(G875&lt;0.92,'вспомогательные данные'!$C$20, IF(G875&lt;2,'вспомогательные данные'!$C$21,'вспомогательные данные'!$C$22)))</f>
        <v>оптимальная работоспособность</v>
      </c>
      <c r="I875" s="61" t="b">
        <f>IF(OR(ЦТО!AT779=1,ЦТО!AU779=1,ЦТО!AV779=1,ЦТО!AX779=1),"Положительная",IF(OR(ЦТО!AY779=1,ЦТО!AZ779=1,ЦТО!BA779=1),"Отрицательная",IF(OR(ЦТО!AW779=1),"Инфантильная")))</f>
        <v>0</v>
      </c>
    </row>
    <row r="876" spans="1:9">
      <c r="A876" s="62">
        <f>ЦТО!A780</f>
        <v>0</v>
      </c>
      <c r="B876" s="62">
        <f>ЦТО!B780</f>
        <v>0</v>
      </c>
      <c r="C876" s="67">
        <f>ЦТО!C780</f>
        <v>0</v>
      </c>
      <c r="D876" s="63">
        <f>ЦТО!D780</f>
        <v>0</v>
      </c>
      <c r="E876" s="68">
        <f>SUM(ЦТО!BB780:BI780)</f>
        <v>0</v>
      </c>
      <c r="F876" s="64" t="str">
        <f>IF(E876&lt;10,'вспомогательные данные'!$C$26,IF(E876&lt;19,'вспомогательные данные'!$C$25,'вспомогательные данные'!$C$24))</f>
        <v>положительный</v>
      </c>
      <c r="G876" s="65">
        <f>(18-ЦТО!AM780-ЦТО!AL780)/(18-ЦТО!AL780-ЦТО!AP780)</f>
        <v>1</v>
      </c>
      <c r="H876" s="66" t="str">
        <f>IF(G876&lt;0.51,'вспомогательные данные'!$C$19,IF(G876&lt;0.92,'вспомогательные данные'!$C$20, IF(G876&lt;2,'вспомогательные данные'!$C$21,'вспомогательные данные'!$C$22)))</f>
        <v>оптимальная работоспособность</v>
      </c>
      <c r="I876" s="61" t="b">
        <f>IF(OR(ЦТО!AT780=1,ЦТО!AU780=1,ЦТО!AV780=1,ЦТО!AX780=1),"Положительная",IF(OR(ЦТО!AY780=1,ЦТО!AZ780=1,ЦТО!BA780=1),"Отрицательная",IF(OR(ЦТО!AW780=1),"Инфантильная")))</f>
        <v>0</v>
      </c>
    </row>
    <row r="877" spans="1:9">
      <c r="A877" s="62">
        <f>ЦТО!A781</f>
        <v>0</v>
      </c>
      <c r="B877" s="62">
        <f>ЦТО!B781</f>
        <v>0</v>
      </c>
      <c r="C877" s="67">
        <f>ЦТО!C781</f>
        <v>0</v>
      </c>
      <c r="D877" s="63">
        <f>ЦТО!D781</f>
        <v>0</v>
      </c>
      <c r="E877" s="68">
        <f>SUM(ЦТО!BB781:BI781)</f>
        <v>0</v>
      </c>
      <c r="F877" s="64" t="str">
        <f>IF(E877&lt;10,'вспомогательные данные'!$C$26,IF(E877&lt;19,'вспомогательные данные'!$C$25,'вспомогательные данные'!$C$24))</f>
        <v>положительный</v>
      </c>
      <c r="G877" s="65">
        <f>(18-ЦТО!AM781-ЦТО!AL781)/(18-ЦТО!AL781-ЦТО!AP781)</f>
        <v>1</v>
      </c>
      <c r="H877" s="66" t="str">
        <f>IF(G877&lt;0.51,'вспомогательные данные'!$C$19,IF(G877&lt;0.92,'вспомогательные данные'!$C$20, IF(G877&lt;2,'вспомогательные данные'!$C$21,'вспомогательные данные'!$C$22)))</f>
        <v>оптимальная работоспособность</v>
      </c>
      <c r="I877" s="61" t="b">
        <f>IF(OR(ЦТО!AT781=1,ЦТО!AU781=1,ЦТО!AV781=1,ЦТО!AX781=1),"Положительная",IF(OR(ЦТО!AY781=1,ЦТО!AZ781=1,ЦТО!BA781=1),"Отрицательная",IF(OR(ЦТО!AW781=1),"Инфантильная")))</f>
        <v>0</v>
      </c>
    </row>
    <row r="878" spans="1:9">
      <c r="A878" s="62">
        <f>ЦТО!A782</f>
        <v>0</v>
      </c>
      <c r="B878" s="62">
        <f>ЦТО!B782</f>
        <v>0</v>
      </c>
      <c r="C878" s="67">
        <f>ЦТО!C782</f>
        <v>0</v>
      </c>
      <c r="D878" s="63">
        <f>ЦТО!D782</f>
        <v>0</v>
      </c>
      <c r="E878" s="68">
        <f>SUM(ЦТО!BB782:BI782)</f>
        <v>0</v>
      </c>
      <c r="F878" s="64" t="str">
        <f>IF(E878&lt;10,'вспомогательные данные'!$C$26,IF(E878&lt;19,'вспомогательные данные'!$C$25,'вспомогательные данные'!$C$24))</f>
        <v>положительный</v>
      </c>
      <c r="G878" s="65">
        <f>(18-ЦТО!AM782-ЦТО!AL782)/(18-ЦТО!AL782-ЦТО!AP782)</f>
        <v>1</v>
      </c>
      <c r="H878" s="66" t="str">
        <f>IF(G878&lt;0.51,'вспомогательные данные'!$C$19,IF(G878&lt;0.92,'вспомогательные данные'!$C$20, IF(G878&lt;2,'вспомогательные данные'!$C$21,'вспомогательные данные'!$C$22)))</f>
        <v>оптимальная работоспособность</v>
      </c>
      <c r="I878" s="61" t="b">
        <f>IF(OR(ЦТО!AT782=1,ЦТО!AU782=1,ЦТО!AV782=1,ЦТО!AX782=1),"Положительная",IF(OR(ЦТО!AY782=1,ЦТО!AZ782=1,ЦТО!BA782=1),"Отрицательная",IF(OR(ЦТО!AW782=1),"Инфантильная")))</f>
        <v>0</v>
      </c>
    </row>
    <row r="879" spans="1:9">
      <c r="A879" s="62">
        <f>ЦТО!A783</f>
        <v>0</v>
      </c>
      <c r="B879" s="62">
        <f>ЦТО!B783</f>
        <v>0</v>
      </c>
      <c r="C879" s="67">
        <f>ЦТО!C783</f>
        <v>0</v>
      </c>
      <c r="D879" s="63">
        <f>ЦТО!D783</f>
        <v>0</v>
      </c>
      <c r="E879" s="68">
        <f>SUM(ЦТО!BB783:BI783)</f>
        <v>0</v>
      </c>
      <c r="F879" s="64" t="str">
        <f>IF(E879&lt;10,'вспомогательные данные'!$C$26,IF(E879&lt;19,'вспомогательные данные'!$C$25,'вспомогательные данные'!$C$24))</f>
        <v>положительный</v>
      </c>
      <c r="G879" s="65">
        <f>(18-ЦТО!AM783-ЦТО!AL783)/(18-ЦТО!AL783-ЦТО!AP783)</f>
        <v>1</v>
      </c>
      <c r="H879" s="66" t="str">
        <f>IF(G879&lt;0.51,'вспомогательные данные'!$C$19,IF(G879&lt;0.92,'вспомогательные данные'!$C$20, IF(G879&lt;2,'вспомогательные данные'!$C$21,'вспомогательные данные'!$C$22)))</f>
        <v>оптимальная работоспособность</v>
      </c>
      <c r="I879" s="61" t="b">
        <f>IF(OR(ЦТО!AT783=1,ЦТО!AU783=1,ЦТО!AV783=1,ЦТО!AX783=1),"Положительная",IF(OR(ЦТО!AY783=1,ЦТО!AZ783=1,ЦТО!BA783=1),"Отрицательная",IF(OR(ЦТО!AW783=1),"Инфантильная")))</f>
        <v>0</v>
      </c>
    </row>
    <row r="880" spans="1:9">
      <c r="A880" s="62">
        <f>ЦТО!A784</f>
        <v>0</v>
      </c>
      <c r="B880" s="62">
        <f>ЦТО!B784</f>
        <v>0</v>
      </c>
      <c r="C880" s="67">
        <f>ЦТО!C784</f>
        <v>0</v>
      </c>
      <c r="D880" s="63">
        <f>ЦТО!D784</f>
        <v>0</v>
      </c>
      <c r="E880" s="68">
        <f>SUM(ЦТО!BB784:BI784)</f>
        <v>0</v>
      </c>
      <c r="F880" s="64" t="str">
        <f>IF(E880&lt;10,'вспомогательные данные'!$C$26,IF(E880&lt;19,'вспомогательные данные'!$C$25,'вспомогательные данные'!$C$24))</f>
        <v>положительный</v>
      </c>
      <c r="G880" s="65">
        <f>(18-ЦТО!AM784-ЦТО!AL784)/(18-ЦТО!AL784-ЦТО!AP784)</f>
        <v>1</v>
      </c>
      <c r="H880" s="66" t="str">
        <f>IF(G880&lt;0.51,'вспомогательные данные'!$C$19,IF(G880&lt;0.92,'вспомогательные данные'!$C$20, IF(G880&lt;2,'вспомогательные данные'!$C$21,'вспомогательные данные'!$C$22)))</f>
        <v>оптимальная работоспособность</v>
      </c>
      <c r="I880" s="61" t="b">
        <f>IF(OR(ЦТО!AT784=1,ЦТО!AU784=1,ЦТО!AV784=1,ЦТО!AX784=1),"Положительная",IF(OR(ЦТО!AY784=1,ЦТО!AZ784=1,ЦТО!BA784=1),"Отрицательная",IF(OR(ЦТО!AW784=1),"Инфантильная")))</f>
        <v>0</v>
      </c>
    </row>
    <row r="881" spans="1:9">
      <c r="A881" s="62">
        <f>ЦТО!A785</f>
        <v>0</v>
      </c>
      <c r="B881" s="62">
        <f>ЦТО!B785</f>
        <v>0</v>
      </c>
      <c r="C881" s="67">
        <f>ЦТО!C785</f>
        <v>0</v>
      </c>
      <c r="D881" s="63">
        <f>ЦТО!D785</f>
        <v>0</v>
      </c>
      <c r="E881" s="68">
        <f>SUM(ЦТО!BB785:BI785)</f>
        <v>0</v>
      </c>
      <c r="F881" s="64" t="str">
        <f>IF(E881&lt;10,'вспомогательные данные'!$C$26,IF(E881&lt;19,'вспомогательные данные'!$C$25,'вспомогательные данные'!$C$24))</f>
        <v>положительный</v>
      </c>
      <c r="G881" s="65">
        <f>(18-ЦТО!AM785-ЦТО!AL785)/(18-ЦТО!AL785-ЦТО!AP785)</f>
        <v>1</v>
      </c>
      <c r="H881" s="66" t="str">
        <f>IF(G881&lt;0.51,'вспомогательные данные'!$C$19,IF(G881&lt;0.92,'вспомогательные данные'!$C$20, IF(G881&lt;2,'вспомогательные данные'!$C$21,'вспомогательные данные'!$C$22)))</f>
        <v>оптимальная работоспособность</v>
      </c>
      <c r="I881" s="61" t="b">
        <f>IF(OR(ЦТО!AT785=1,ЦТО!AU785=1,ЦТО!AV785=1,ЦТО!AX785=1),"Положительная",IF(OR(ЦТО!AY785=1,ЦТО!AZ785=1,ЦТО!BA785=1),"Отрицательная",IF(OR(ЦТО!AW785=1),"Инфантильная")))</f>
        <v>0</v>
      </c>
    </row>
    <row r="882" spans="1:9">
      <c r="A882" s="62">
        <f>ЦТО!A786</f>
        <v>0</v>
      </c>
      <c r="B882" s="62">
        <f>ЦТО!B786</f>
        <v>0</v>
      </c>
      <c r="C882" s="67">
        <f>ЦТО!C786</f>
        <v>0</v>
      </c>
      <c r="D882" s="63">
        <f>ЦТО!D786</f>
        <v>0</v>
      </c>
      <c r="E882" s="68">
        <f>SUM(ЦТО!BB786:BI786)</f>
        <v>0</v>
      </c>
      <c r="F882" s="64" t="str">
        <f>IF(E882&lt;10,'вспомогательные данные'!$C$26,IF(E882&lt;19,'вспомогательные данные'!$C$25,'вспомогательные данные'!$C$24))</f>
        <v>положительный</v>
      </c>
      <c r="G882" s="65">
        <f>(18-ЦТО!AM786-ЦТО!AL786)/(18-ЦТО!AL786-ЦТО!AP786)</f>
        <v>1</v>
      </c>
      <c r="H882" s="66" t="str">
        <f>IF(G882&lt;0.51,'вспомогательные данные'!$C$19,IF(G882&lt;0.92,'вспомогательные данные'!$C$20, IF(G882&lt;2,'вспомогательные данные'!$C$21,'вспомогательные данные'!$C$22)))</f>
        <v>оптимальная работоспособность</v>
      </c>
      <c r="I882" s="61" t="b">
        <f>IF(OR(ЦТО!AT786=1,ЦТО!AU786=1,ЦТО!AV786=1,ЦТО!AX786=1),"Положительная",IF(OR(ЦТО!AY786=1,ЦТО!AZ786=1,ЦТО!BA786=1),"Отрицательная",IF(OR(ЦТО!AW786=1),"Инфантильная")))</f>
        <v>0</v>
      </c>
    </row>
    <row r="883" spans="1:9">
      <c r="A883" s="62">
        <f>ЦТО!A787</f>
        <v>0</v>
      </c>
      <c r="B883" s="62">
        <f>ЦТО!B787</f>
        <v>0</v>
      </c>
      <c r="C883" s="67">
        <f>ЦТО!C787</f>
        <v>0</v>
      </c>
      <c r="D883" s="63">
        <f>ЦТО!D787</f>
        <v>0</v>
      </c>
      <c r="E883" s="68">
        <f>SUM(ЦТО!BB787:BI787)</f>
        <v>0</v>
      </c>
      <c r="F883" s="64" t="str">
        <f>IF(E883&lt;10,'вспомогательные данные'!$C$26,IF(E883&lt;19,'вспомогательные данные'!$C$25,'вспомогательные данные'!$C$24))</f>
        <v>положительный</v>
      </c>
      <c r="G883" s="65">
        <f>(18-ЦТО!AM787-ЦТО!AL787)/(18-ЦТО!AL787-ЦТО!AP787)</f>
        <v>1</v>
      </c>
      <c r="H883" s="66" t="str">
        <f>IF(G883&lt;0.51,'вспомогательные данные'!$C$19,IF(G883&lt;0.92,'вспомогательные данные'!$C$20, IF(G883&lt;2,'вспомогательные данные'!$C$21,'вспомогательные данные'!$C$22)))</f>
        <v>оптимальная работоспособность</v>
      </c>
      <c r="I883" s="61" t="b">
        <f>IF(OR(ЦТО!AT787=1,ЦТО!AU787=1,ЦТО!AV787=1,ЦТО!AX787=1),"Положительная",IF(OR(ЦТО!AY787=1,ЦТО!AZ787=1,ЦТО!BA787=1),"Отрицательная",IF(OR(ЦТО!AW787=1),"Инфантильная")))</f>
        <v>0</v>
      </c>
    </row>
    <row r="884" spans="1:9">
      <c r="A884" s="62">
        <f>ЦТО!A788</f>
        <v>0</v>
      </c>
      <c r="B884" s="62">
        <f>ЦТО!B788</f>
        <v>0</v>
      </c>
      <c r="C884" s="67">
        <f>ЦТО!C788</f>
        <v>0</v>
      </c>
      <c r="D884" s="63">
        <f>ЦТО!D788</f>
        <v>0</v>
      </c>
      <c r="E884" s="68">
        <f>SUM(ЦТО!BB788:BI788)</f>
        <v>0</v>
      </c>
      <c r="F884" s="64" t="str">
        <f>IF(E884&lt;10,'вспомогательные данные'!$C$26,IF(E884&lt;19,'вспомогательные данные'!$C$25,'вспомогательные данные'!$C$24))</f>
        <v>положительный</v>
      </c>
      <c r="G884" s="65">
        <f>(18-ЦТО!AM788-ЦТО!AL788)/(18-ЦТО!AL788-ЦТО!AP788)</f>
        <v>1</v>
      </c>
      <c r="H884" s="66" t="str">
        <f>IF(G884&lt;0.51,'вспомогательные данные'!$C$19,IF(G884&lt;0.92,'вспомогательные данные'!$C$20, IF(G884&lt;2,'вспомогательные данные'!$C$21,'вспомогательные данные'!$C$22)))</f>
        <v>оптимальная работоспособность</v>
      </c>
      <c r="I884" s="61" t="b">
        <f>IF(OR(ЦТО!AT788=1,ЦТО!AU788=1,ЦТО!AV788=1,ЦТО!AX788=1),"Положительная",IF(OR(ЦТО!AY788=1,ЦТО!AZ788=1,ЦТО!BA788=1),"Отрицательная",IF(OR(ЦТО!AW788=1),"Инфантильная")))</f>
        <v>0</v>
      </c>
    </row>
    <row r="885" spans="1:9">
      <c r="A885" s="62">
        <f>ЦТО!A789</f>
        <v>0</v>
      </c>
      <c r="B885" s="62">
        <f>ЦТО!B789</f>
        <v>0</v>
      </c>
      <c r="C885" s="67">
        <f>ЦТО!C789</f>
        <v>0</v>
      </c>
      <c r="D885" s="63">
        <f>ЦТО!D789</f>
        <v>0</v>
      </c>
      <c r="E885" s="68">
        <f>SUM(ЦТО!BB789:BI789)</f>
        <v>0</v>
      </c>
      <c r="F885" s="64" t="str">
        <f>IF(E885&lt;10,'вспомогательные данные'!$C$26,IF(E885&lt;19,'вспомогательные данные'!$C$25,'вспомогательные данные'!$C$24))</f>
        <v>положительный</v>
      </c>
      <c r="G885" s="65">
        <f>(18-ЦТО!AM789-ЦТО!AL789)/(18-ЦТО!AL789-ЦТО!AP789)</f>
        <v>1</v>
      </c>
      <c r="H885" s="66" t="str">
        <f>IF(G885&lt;0.51,'вспомогательные данные'!$C$19,IF(G885&lt;0.92,'вспомогательные данные'!$C$20, IF(G885&lt;2,'вспомогательные данные'!$C$21,'вспомогательные данные'!$C$22)))</f>
        <v>оптимальная работоспособность</v>
      </c>
      <c r="I885" s="61" t="b">
        <f>IF(OR(ЦТО!AT789=1,ЦТО!AU789=1,ЦТО!AV789=1,ЦТО!AX789=1),"Положительная",IF(OR(ЦТО!AY789=1,ЦТО!AZ789=1,ЦТО!BA789=1),"Отрицательная",IF(OR(ЦТО!AW789=1),"Инфантильная")))</f>
        <v>0</v>
      </c>
    </row>
    <row r="886" spans="1:9">
      <c r="A886" s="62">
        <f>ЦТО!A790</f>
        <v>0</v>
      </c>
      <c r="B886" s="62">
        <f>ЦТО!B790</f>
        <v>0</v>
      </c>
      <c r="C886" s="67">
        <f>ЦТО!C790</f>
        <v>0</v>
      </c>
      <c r="D886" s="63">
        <f>ЦТО!D790</f>
        <v>0</v>
      </c>
      <c r="E886" s="68">
        <f>SUM(ЦТО!BB790:BI790)</f>
        <v>0</v>
      </c>
      <c r="F886" s="64" t="str">
        <f>IF(E886&lt;10,'вспомогательные данные'!$C$26,IF(E886&lt;19,'вспомогательные данные'!$C$25,'вспомогательные данные'!$C$24))</f>
        <v>положительный</v>
      </c>
      <c r="G886" s="65">
        <f>(18-ЦТО!AM790-ЦТО!AL790)/(18-ЦТО!AL790-ЦТО!AP790)</f>
        <v>1</v>
      </c>
      <c r="H886" s="66" t="str">
        <f>IF(G886&lt;0.51,'вспомогательные данные'!$C$19,IF(G886&lt;0.92,'вспомогательные данные'!$C$20, IF(G886&lt;2,'вспомогательные данные'!$C$21,'вспомогательные данные'!$C$22)))</f>
        <v>оптимальная работоспособность</v>
      </c>
      <c r="I886" s="61" t="b">
        <f>IF(OR(ЦТО!AT790=1,ЦТО!AU790=1,ЦТО!AV790=1,ЦТО!AX790=1),"Положительная",IF(OR(ЦТО!AY790=1,ЦТО!AZ790=1,ЦТО!BA790=1),"Отрицательная",IF(OR(ЦТО!AW790=1),"Инфантильная")))</f>
        <v>0</v>
      </c>
    </row>
    <row r="887" spans="1:9">
      <c r="A887" s="62">
        <f>ЦТО!A791</f>
        <v>0</v>
      </c>
      <c r="B887" s="62">
        <f>ЦТО!B791</f>
        <v>0</v>
      </c>
      <c r="C887" s="67">
        <f>ЦТО!C791</f>
        <v>0</v>
      </c>
      <c r="D887" s="63">
        <f>ЦТО!D791</f>
        <v>0</v>
      </c>
      <c r="E887" s="68">
        <f>SUM(ЦТО!BB791:BI791)</f>
        <v>0</v>
      </c>
      <c r="F887" s="64" t="str">
        <f>IF(E887&lt;10,'вспомогательные данные'!$C$26,IF(E887&lt;19,'вспомогательные данные'!$C$25,'вспомогательные данные'!$C$24))</f>
        <v>положительный</v>
      </c>
      <c r="G887" s="65">
        <f>(18-ЦТО!AM791-ЦТО!AL791)/(18-ЦТО!AL791-ЦТО!AP791)</f>
        <v>1</v>
      </c>
      <c r="H887" s="66" t="str">
        <f>IF(G887&lt;0.51,'вспомогательные данные'!$C$19,IF(G887&lt;0.92,'вспомогательные данные'!$C$20, IF(G887&lt;2,'вспомогательные данные'!$C$21,'вспомогательные данные'!$C$22)))</f>
        <v>оптимальная работоспособность</v>
      </c>
      <c r="I887" s="61" t="b">
        <f>IF(OR(ЦТО!AT791=1,ЦТО!AU791=1,ЦТО!AV791=1,ЦТО!AX791=1),"Положительная",IF(OR(ЦТО!AY791=1,ЦТО!AZ791=1,ЦТО!BA791=1),"Отрицательная",IF(OR(ЦТО!AW791=1),"Инфантильная")))</f>
        <v>0</v>
      </c>
    </row>
    <row r="888" spans="1:9">
      <c r="A888" s="62">
        <f>ЦТО!A792</f>
        <v>0</v>
      </c>
      <c r="B888" s="62">
        <f>ЦТО!B792</f>
        <v>0</v>
      </c>
      <c r="C888" s="67">
        <f>ЦТО!C792</f>
        <v>0</v>
      </c>
      <c r="D888" s="63">
        <f>ЦТО!D792</f>
        <v>0</v>
      </c>
      <c r="E888" s="68">
        <f>SUM(ЦТО!BB792:BI792)</f>
        <v>0</v>
      </c>
      <c r="F888" s="64" t="str">
        <f>IF(E888&lt;10,'вспомогательные данные'!$C$26,IF(E888&lt;19,'вспомогательные данные'!$C$25,'вспомогательные данные'!$C$24))</f>
        <v>положительный</v>
      </c>
      <c r="G888" s="65">
        <f>(18-ЦТО!AM792-ЦТО!AL792)/(18-ЦТО!AL792-ЦТО!AP792)</f>
        <v>1</v>
      </c>
      <c r="H888" s="66" t="str">
        <f>IF(G888&lt;0.51,'вспомогательные данные'!$C$19,IF(G888&lt;0.92,'вспомогательные данные'!$C$20, IF(G888&lt;2,'вспомогательные данные'!$C$21,'вспомогательные данные'!$C$22)))</f>
        <v>оптимальная работоспособность</v>
      </c>
      <c r="I888" s="61" t="b">
        <f>IF(OR(ЦТО!AT792=1,ЦТО!AU792=1,ЦТО!AV792=1,ЦТО!AX792=1),"Положительная",IF(OR(ЦТО!AY792=1,ЦТО!AZ792=1,ЦТО!BA792=1),"Отрицательная",IF(OR(ЦТО!AW792=1),"Инфантильная")))</f>
        <v>0</v>
      </c>
    </row>
    <row r="889" spans="1:9">
      <c r="A889" s="62">
        <f>ЦТО!A793</f>
        <v>0</v>
      </c>
      <c r="B889" s="62">
        <f>ЦТО!B793</f>
        <v>0</v>
      </c>
      <c r="C889" s="67">
        <f>ЦТО!C793</f>
        <v>0</v>
      </c>
      <c r="D889" s="63">
        <f>ЦТО!D793</f>
        <v>0</v>
      </c>
      <c r="E889" s="68">
        <f>SUM(ЦТО!BB793:BI793)</f>
        <v>0</v>
      </c>
      <c r="F889" s="64" t="str">
        <f>IF(E889&lt;10,'вспомогательные данные'!$C$26,IF(E889&lt;19,'вспомогательные данные'!$C$25,'вспомогательные данные'!$C$24))</f>
        <v>положительный</v>
      </c>
      <c r="G889" s="65">
        <f>(18-ЦТО!AM793-ЦТО!AL793)/(18-ЦТО!AL793-ЦТО!AP793)</f>
        <v>1</v>
      </c>
      <c r="H889" s="66" t="str">
        <f>IF(G889&lt;0.51,'вспомогательные данные'!$C$19,IF(G889&lt;0.92,'вспомогательные данные'!$C$20, IF(G889&lt;2,'вспомогательные данные'!$C$21,'вспомогательные данные'!$C$22)))</f>
        <v>оптимальная работоспособность</v>
      </c>
      <c r="I889" s="61" t="b">
        <f>IF(OR(ЦТО!AT793=1,ЦТО!AU793=1,ЦТО!AV793=1,ЦТО!AX793=1),"Положительная",IF(OR(ЦТО!AY793=1,ЦТО!AZ793=1,ЦТО!BA793=1),"Отрицательная",IF(OR(ЦТО!AW793=1),"Инфантильная")))</f>
        <v>0</v>
      </c>
    </row>
    <row r="890" spans="1:9">
      <c r="A890" s="62">
        <f>ЦТО!A794</f>
        <v>0</v>
      </c>
      <c r="B890" s="62">
        <f>ЦТО!B794</f>
        <v>0</v>
      </c>
      <c r="C890" s="67">
        <f>ЦТО!C794</f>
        <v>0</v>
      </c>
      <c r="D890" s="63">
        <f>ЦТО!D794</f>
        <v>0</v>
      </c>
      <c r="E890" s="68">
        <f>SUM(ЦТО!BB794:BI794)</f>
        <v>0</v>
      </c>
      <c r="F890" s="64" t="str">
        <f>IF(E890&lt;10,'вспомогательные данные'!$C$26,IF(E890&lt;19,'вспомогательные данные'!$C$25,'вспомогательные данные'!$C$24))</f>
        <v>положительный</v>
      </c>
      <c r="G890" s="65">
        <f>(18-ЦТО!AM794-ЦТО!AL794)/(18-ЦТО!AL794-ЦТО!AP794)</f>
        <v>1</v>
      </c>
      <c r="H890" s="66" t="str">
        <f>IF(G890&lt;0.51,'вспомогательные данные'!$C$19,IF(G890&lt;0.92,'вспомогательные данные'!$C$20, IF(G890&lt;2,'вспомогательные данные'!$C$21,'вспомогательные данные'!$C$22)))</f>
        <v>оптимальная работоспособность</v>
      </c>
      <c r="I890" s="61" t="b">
        <f>IF(OR(ЦТО!AT794=1,ЦТО!AU794=1,ЦТО!AV794=1,ЦТО!AX794=1),"Положительная",IF(OR(ЦТО!AY794=1,ЦТО!AZ794=1,ЦТО!BA794=1),"Отрицательная",IF(OR(ЦТО!AW794=1),"Инфантильная")))</f>
        <v>0</v>
      </c>
    </row>
    <row r="891" spans="1:9">
      <c r="A891" s="62">
        <f>ЦТО!A795</f>
        <v>0</v>
      </c>
      <c r="B891" s="62">
        <f>ЦТО!B795</f>
        <v>0</v>
      </c>
      <c r="C891" s="67">
        <f>ЦТО!C795</f>
        <v>0</v>
      </c>
      <c r="D891" s="63">
        <f>ЦТО!D795</f>
        <v>0</v>
      </c>
      <c r="E891" s="68">
        <f>SUM(ЦТО!BB795:BI795)</f>
        <v>0</v>
      </c>
      <c r="F891" s="64" t="str">
        <f>IF(E891&lt;10,'вспомогательные данные'!$C$26,IF(E891&lt;19,'вспомогательные данные'!$C$25,'вспомогательные данные'!$C$24))</f>
        <v>положительный</v>
      </c>
      <c r="G891" s="65">
        <f>(18-ЦТО!AM795-ЦТО!AL795)/(18-ЦТО!AL795-ЦТО!AP795)</f>
        <v>1</v>
      </c>
      <c r="H891" s="66" t="str">
        <f>IF(G891&lt;0.51,'вспомогательные данные'!$C$19,IF(G891&lt;0.92,'вспомогательные данные'!$C$20, IF(G891&lt;2,'вспомогательные данные'!$C$21,'вспомогательные данные'!$C$22)))</f>
        <v>оптимальная работоспособность</v>
      </c>
      <c r="I891" s="61" t="b">
        <f>IF(OR(ЦТО!AT795=1,ЦТО!AU795=1,ЦТО!AV795=1,ЦТО!AX795=1),"Положительная",IF(OR(ЦТО!AY795=1,ЦТО!AZ795=1,ЦТО!BA795=1),"Отрицательная",IF(OR(ЦТО!AW795=1),"Инфантильная")))</f>
        <v>0</v>
      </c>
    </row>
    <row r="892" spans="1:9">
      <c r="A892" s="62">
        <f>ЦТО!A796</f>
        <v>0</v>
      </c>
      <c r="B892" s="62">
        <f>ЦТО!B796</f>
        <v>0</v>
      </c>
      <c r="C892" s="67">
        <f>ЦТО!C796</f>
        <v>0</v>
      </c>
      <c r="D892" s="63">
        <f>ЦТО!D796</f>
        <v>0</v>
      </c>
      <c r="E892" s="68">
        <f>SUM(ЦТО!BB796:BI796)</f>
        <v>0</v>
      </c>
      <c r="F892" s="64" t="str">
        <f>IF(E892&lt;10,'вспомогательные данные'!$C$26,IF(E892&lt;19,'вспомогательные данные'!$C$25,'вспомогательные данные'!$C$24))</f>
        <v>положительный</v>
      </c>
      <c r="G892" s="65">
        <f>(18-ЦТО!AM796-ЦТО!AL796)/(18-ЦТО!AL796-ЦТО!AP796)</f>
        <v>1</v>
      </c>
      <c r="H892" s="66" t="str">
        <f>IF(G892&lt;0.51,'вспомогательные данные'!$C$19,IF(G892&lt;0.92,'вспомогательные данные'!$C$20, IF(G892&lt;2,'вспомогательные данные'!$C$21,'вспомогательные данные'!$C$22)))</f>
        <v>оптимальная работоспособность</v>
      </c>
      <c r="I892" s="61" t="b">
        <f>IF(OR(ЦТО!AT796=1,ЦТО!AU796=1,ЦТО!AV796=1,ЦТО!AX796=1),"Положительная",IF(OR(ЦТО!AY796=1,ЦТО!AZ796=1,ЦТО!BA796=1),"Отрицательная",IF(OR(ЦТО!AW796=1),"Инфантильная")))</f>
        <v>0</v>
      </c>
    </row>
    <row r="893" spans="1:9">
      <c r="A893" s="62">
        <f>ЦТО!A797</f>
        <v>0</v>
      </c>
      <c r="B893" s="62">
        <f>ЦТО!B797</f>
        <v>0</v>
      </c>
      <c r="C893" s="67">
        <f>ЦТО!C797</f>
        <v>0</v>
      </c>
      <c r="D893" s="63">
        <f>ЦТО!D797</f>
        <v>0</v>
      </c>
      <c r="E893" s="68">
        <f>SUM(ЦТО!BB797:BI797)</f>
        <v>0</v>
      </c>
      <c r="F893" s="64" t="str">
        <f>IF(E893&lt;10,'вспомогательные данные'!$C$26,IF(E893&lt;19,'вспомогательные данные'!$C$25,'вспомогательные данные'!$C$24))</f>
        <v>положительный</v>
      </c>
      <c r="G893" s="65">
        <f>(18-ЦТО!AM797-ЦТО!AL797)/(18-ЦТО!AL797-ЦТО!AP797)</f>
        <v>1</v>
      </c>
      <c r="H893" s="66" t="str">
        <f>IF(G893&lt;0.51,'вспомогательные данные'!$C$19,IF(G893&lt;0.92,'вспомогательные данные'!$C$20, IF(G893&lt;2,'вспомогательные данные'!$C$21,'вспомогательные данные'!$C$22)))</f>
        <v>оптимальная работоспособность</v>
      </c>
      <c r="I893" s="61" t="b">
        <f>IF(OR(ЦТО!AT797=1,ЦТО!AU797=1,ЦТО!AV797=1,ЦТО!AX797=1),"Положительная",IF(OR(ЦТО!AY797=1,ЦТО!AZ797=1,ЦТО!BA797=1),"Отрицательная",IF(OR(ЦТО!AW797=1),"Инфантильная")))</f>
        <v>0</v>
      </c>
    </row>
    <row r="894" spans="1:9">
      <c r="A894" s="62">
        <f>ЦТО!A798</f>
        <v>0</v>
      </c>
      <c r="B894" s="62">
        <f>ЦТО!B798</f>
        <v>0</v>
      </c>
      <c r="C894" s="67">
        <f>ЦТО!C798</f>
        <v>0</v>
      </c>
      <c r="D894" s="63">
        <f>ЦТО!D798</f>
        <v>0</v>
      </c>
      <c r="E894" s="68">
        <f>SUM(ЦТО!BB798:BI798)</f>
        <v>0</v>
      </c>
      <c r="F894" s="64" t="str">
        <f>IF(E894&lt;10,'вспомогательные данные'!$C$26,IF(E894&lt;19,'вспомогательные данные'!$C$25,'вспомогательные данные'!$C$24))</f>
        <v>положительный</v>
      </c>
      <c r="G894" s="65">
        <f>(18-ЦТО!AM798-ЦТО!AL798)/(18-ЦТО!AL798-ЦТО!AP798)</f>
        <v>1</v>
      </c>
      <c r="H894" s="66" t="str">
        <f>IF(G894&lt;0.51,'вспомогательные данные'!$C$19,IF(G894&lt;0.92,'вспомогательные данные'!$C$20, IF(G894&lt;2,'вспомогательные данные'!$C$21,'вспомогательные данные'!$C$22)))</f>
        <v>оптимальная работоспособность</v>
      </c>
      <c r="I894" s="61" t="b">
        <f>IF(OR(ЦТО!AT798=1,ЦТО!AU798=1,ЦТО!AV798=1,ЦТО!AX798=1),"Положительная",IF(OR(ЦТО!AY798=1,ЦТО!AZ798=1,ЦТО!BA798=1),"Отрицательная",IF(OR(ЦТО!AW798=1),"Инфантильная")))</f>
        <v>0</v>
      </c>
    </row>
    <row r="895" spans="1:9">
      <c r="A895" s="62">
        <f>ЦТО!A799</f>
        <v>0</v>
      </c>
      <c r="B895" s="62">
        <f>ЦТО!B799</f>
        <v>0</v>
      </c>
      <c r="C895" s="67">
        <f>ЦТО!C799</f>
        <v>0</v>
      </c>
      <c r="D895" s="63">
        <f>ЦТО!D799</f>
        <v>0</v>
      </c>
      <c r="E895" s="68">
        <f>SUM(ЦТО!BB799:BI799)</f>
        <v>0</v>
      </c>
      <c r="F895" s="64" t="str">
        <f>IF(E895&lt;10,'вспомогательные данные'!$C$26,IF(E895&lt;19,'вспомогательные данные'!$C$25,'вспомогательные данные'!$C$24))</f>
        <v>положительный</v>
      </c>
      <c r="G895" s="65">
        <f>(18-ЦТО!AM799-ЦТО!AL799)/(18-ЦТО!AL799-ЦТО!AP799)</f>
        <v>1</v>
      </c>
      <c r="H895" s="66" t="str">
        <f>IF(G895&lt;0.51,'вспомогательные данные'!$C$19,IF(G895&lt;0.92,'вспомогательные данные'!$C$20, IF(G895&lt;2,'вспомогательные данные'!$C$21,'вспомогательные данные'!$C$22)))</f>
        <v>оптимальная работоспособность</v>
      </c>
      <c r="I895" s="61" t="b">
        <f>IF(OR(ЦТО!AT799=1,ЦТО!AU799=1,ЦТО!AV799=1,ЦТО!AX799=1),"Положительная",IF(OR(ЦТО!AY799=1,ЦТО!AZ799=1,ЦТО!BA799=1),"Отрицательная",IF(OR(ЦТО!AW799=1),"Инфантильная")))</f>
        <v>0</v>
      </c>
    </row>
    <row r="896" spans="1:9">
      <c r="A896" s="62">
        <f>ЦТО!A800</f>
        <v>0</v>
      </c>
      <c r="B896" s="62">
        <f>ЦТО!B800</f>
        <v>0</v>
      </c>
      <c r="C896" s="67">
        <f>ЦТО!C800</f>
        <v>0</v>
      </c>
      <c r="D896" s="63">
        <f>ЦТО!D800</f>
        <v>0</v>
      </c>
      <c r="E896" s="68">
        <f>SUM(ЦТО!BB800:BI800)</f>
        <v>0</v>
      </c>
      <c r="F896" s="64" t="str">
        <f>IF(E896&lt;10,'вспомогательные данные'!$C$26,IF(E896&lt;19,'вспомогательные данные'!$C$25,'вспомогательные данные'!$C$24))</f>
        <v>положительный</v>
      </c>
      <c r="G896" s="65">
        <f>(18-ЦТО!AM800-ЦТО!AL800)/(18-ЦТО!AL800-ЦТО!AP800)</f>
        <v>1</v>
      </c>
      <c r="H896" s="66" t="str">
        <f>IF(G896&lt;0.51,'вспомогательные данные'!$C$19,IF(G896&lt;0.92,'вспомогательные данные'!$C$20, IF(G896&lt;2,'вспомогательные данные'!$C$21,'вспомогательные данные'!$C$22)))</f>
        <v>оптимальная работоспособность</v>
      </c>
      <c r="I896" s="61" t="b">
        <f>IF(OR(ЦТО!AT800=1,ЦТО!AU800=1,ЦТО!AV800=1,ЦТО!AX800=1),"Положительная",IF(OR(ЦТО!AY800=1,ЦТО!AZ800=1,ЦТО!BA800=1),"Отрицательная",IF(OR(ЦТО!AW800=1),"Инфантильная")))</f>
        <v>0</v>
      </c>
    </row>
    <row r="897" spans="1:9">
      <c r="A897" s="62">
        <f>ЦТО!A801</f>
        <v>0</v>
      </c>
      <c r="B897" s="62">
        <f>ЦТО!B801</f>
        <v>0</v>
      </c>
      <c r="C897" s="67">
        <f>ЦТО!C801</f>
        <v>0</v>
      </c>
      <c r="D897" s="63">
        <f>ЦТО!D801</f>
        <v>0</v>
      </c>
      <c r="E897" s="68">
        <f>SUM(ЦТО!BB801:BI801)</f>
        <v>0</v>
      </c>
      <c r="F897" s="64" t="str">
        <f>IF(E897&lt;10,'вспомогательные данные'!$C$26,IF(E897&lt;19,'вспомогательные данные'!$C$25,'вспомогательные данные'!$C$24))</f>
        <v>положительный</v>
      </c>
      <c r="G897" s="65">
        <f>(18-ЦТО!AM801-ЦТО!AL801)/(18-ЦТО!AL801-ЦТО!AP801)</f>
        <v>1</v>
      </c>
      <c r="H897" s="66" t="str">
        <f>IF(G897&lt;0.51,'вспомогательные данные'!$C$19,IF(G897&lt;0.92,'вспомогательные данные'!$C$20, IF(G897&lt;2,'вспомогательные данные'!$C$21,'вспомогательные данные'!$C$22)))</f>
        <v>оптимальная работоспособность</v>
      </c>
      <c r="I897" s="61" t="b">
        <f>IF(OR(ЦТО!AT801=1,ЦТО!AU801=1,ЦТО!AV801=1,ЦТО!AX801=1),"Положительная",IF(OR(ЦТО!AY801=1,ЦТО!AZ801=1,ЦТО!BA801=1),"Отрицательная",IF(OR(ЦТО!AW801=1),"Инфантильная")))</f>
        <v>0</v>
      </c>
    </row>
    <row r="898" spans="1:9">
      <c r="A898" s="62">
        <f>ЦТО!A802</f>
        <v>0</v>
      </c>
      <c r="B898" s="62">
        <f>ЦТО!B802</f>
        <v>0</v>
      </c>
      <c r="C898" s="67">
        <f>ЦТО!C802</f>
        <v>0</v>
      </c>
      <c r="D898" s="63">
        <f>ЦТО!D802</f>
        <v>0</v>
      </c>
      <c r="E898" s="68">
        <f>SUM(ЦТО!BB802:BI802)</f>
        <v>0</v>
      </c>
      <c r="F898" s="64" t="str">
        <f>IF(E898&lt;10,'вспомогательные данные'!$C$26,IF(E898&lt;19,'вспомогательные данные'!$C$25,'вспомогательные данные'!$C$24))</f>
        <v>положительный</v>
      </c>
      <c r="G898" s="65">
        <f>(18-ЦТО!AM802-ЦТО!AL802)/(18-ЦТО!AL802-ЦТО!AP802)</f>
        <v>1</v>
      </c>
      <c r="H898" s="66" t="str">
        <f>IF(G898&lt;0.51,'вспомогательные данные'!$C$19,IF(G898&lt;0.92,'вспомогательные данные'!$C$20, IF(G898&lt;2,'вспомогательные данные'!$C$21,'вспомогательные данные'!$C$22)))</f>
        <v>оптимальная работоспособность</v>
      </c>
      <c r="I898" s="61" t="b">
        <f>IF(OR(ЦТО!AT802=1,ЦТО!AU802=1,ЦТО!AV802=1,ЦТО!AX802=1),"Положительная",IF(OR(ЦТО!AY802=1,ЦТО!AZ802=1,ЦТО!BA802=1),"Отрицательная",IF(OR(ЦТО!AW802=1),"Инфантильная")))</f>
        <v>0</v>
      </c>
    </row>
    <row r="899" spans="1:9">
      <c r="A899" s="62">
        <f>ЦТО!A803</f>
        <v>0</v>
      </c>
      <c r="B899" s="62">
        <f>ЦТО!B803</f>
        <v>0</v>
      </c>
      <c r="C899" s="67">
        <f>ЦТО!C803</f>
        <v>0</v>
      </c>
      <c r="D899" s="63">
        <f>ЦТО!D803</f>
        <v>0</v>
      </c>
      <c r="E899" s="68">
        <f>SUM(ЦТО!BB803:BI803)</f>
        <v>0</v>
      </c>
      <c r="F899" s="64" t="str">
        <f>IF(E899&lt;10,'вспомогательные данные'!$C$26,IF(E899&lt;19,'вспомогательные данные'!$C$25,'вспомогательные данные'!$C$24))</f>
        <v>положительный</v>
      </c>
      <c r="G899" s="65">
        <f>(18-ЦТО!AM803-ЦТО!AL803)/(18-ЦТО!AL803-ЦТО!AP803)</f>
        <v>1</v>
      </c>
      <c r="H899" s="66" t="str">
        <f>IF(G899&lt;0.51,'вспомогательные данные'!$C$19,IF(G899&lt;0.92,'вспомогательные данные'!$C$20, IF(G899&lt;2,'вспомогательные данные'!$C$21,'вспомогательные данные'!$C$22)))</f>
        <v>оптимальная работоспособность</v>
      </c>
      <c r="I899" s="61" t="b">
        <f>IF(OR(ЦТО!AT803=1,ЦТО!AU803=1,ЦТО!AV803=1,ЦТО!AX803=1),"Положительная",IF(OR(ЦТО!AY803=1,ЦТО!AZ803=1,ЦТО!BA803=1),"Отрицательная",IF(OR(ЦТО!AW803=1),"Инфантильная")))</f>
        <v>0</v>
      </c>
    </row>
    <row r="900" spans="1:9">
      <c r="A900" s="62">
        <f>ЦТО!A804</f>
        <v>0</v>
      </c>
      <c r="B900" s="62">
        <f>ЦТО!B804</f>
        <v>0</v>
      </c>
      <c r="C900" s="67">
        <f>ЦТО!C804</f>
        <v>0</v>
      </c>
      <c r="D900" s="63">
        <f>ЦТО!D804</f>
        <v>0</v>
      </c>
      <c r="E900" s="68">
        <f>SUM(ЦТО!BB804:BI804)</f>
        <v>0</v>
      </c>
      <c r="F900" s="64" t="str">
        <f>IF(E900&lt;10,'вспомогательные данные'!$C$26,IF(E900&lt;19,'вспомогательные данные'!$C$25,'вспомогательные данные'!$C$24))</f>
        <v>положительный</v>
      </c>
      <c r="G900" s="65">
        <f>(18-ЦТО!AM804-ЦТО!AL804)/(18-ЦТО!AL804-ЦТО!AP804)</f>
        <v>1</v>
      </c>
      <c r="H900" s="66" t="str">
        <f>IF(G900&lt;0.51,'вспомогательные данные'!$C$19,IF(G900&lt;0.92,'вспомогательные данные'!$C$20, IF(G900&lt;2,'вспомогательные данные'!$C$21,'вспомогательные данные'!$C$22)))</f>
        <v>оптимальная работоспособность</v>
      </c>
      <c r="I900" s="61" t="b">
        <f>IF(OR(ЦТО!AT804=1,ЦТО!AU804=1,ЦТО!AV804=1,ЦТО!AX804=1),"Положительная",IF(OR(ЦТО!AY804=1,ЦТО!AZ804=1,ЦТО!BA804=1),"Отрицательная",IF(OR(ЦТО!AW804=1),"Инфантильная")))</f>
        <v>0</v>
      </c>
    </row>
    <row r="901" spans="1:9">
      <c r="A901" s="62">
        <f>ЦТО!A805</f>
        <v>0</v>
      </c>
      <c r="B901" s="62">
        <f>ЦТО!B805</f>
        <v>0</v>
      </c>
      <c r="C901" s="67">
        <f>ЦТО!C805</f>
        <v>0</v>
      </c>
      <c r="D901" s="63">
        <f>ЦТО!D805</f>
        <v>0</v>
      </c>
      <c r="E901" s="68">
        <f>SUM(ЦТО!BB805:BI805)</f>
        <v>0</v>
      </c>
      <c r="F901" s="64" t="str">
        <f>IF(E901&lt;10,'вспомогательные данные'!$C$26,IF(E901&lt;19,'вспомогательные данные'!$C$25,'вспомогательные данные'!$C$24))</f>
        <v>положительный</v>
      </c>
      <c r="G901" s="65">
        <f>(18-ЦТО!AM805-ЦТО!AL805)/(18-ЦТО!AL805-ЦТО!AP805)</f>
        <v>1</v>
      </c>
      <c r="H901" s="66" t="str">
        <f>IF(G901&lt;0.51,'вспомогательные данные'!$C$19,IF(G901&lt;0.92,'вспомогательные данные'!$C$20, IF(G901&lt;2,'вспомогательные данные'!$C$21,'вспомогательные данные'!$C$22)))</f>
        <v>оптимальная работоспособность</v>
      </c>
      <c r="I901" s="61" t="b">
        <f>IF(OR(ЦТО!AT805=1,ЦТО!AU805=1,ЦТО!AV805=1,ЦТО!AX805=1),"Положительная",IF(OR(ЦТО!AY805=1,ЦТО!AZ805=1,ЦТО!BA805=1),"Отрицательная",IF(OR(ЦТО!AW805=1),"Инфантильная")))</f>
        <v>0</v>
      </c>
    </row>
    <row r="902" spans="1:9">
      <c r="A902" s="62">
        <f>ЦТО!A806</f>
        <v>0</v>
      </c>
      <c r="B902" s="62">
        <f>ЦТО!B806</f>
        <v>0</v>
      </c>
      <c r="C902" s="67">
        <f>ЦТО!C806</f>
        <v>0</v>
      </c>
      <c r="D902" s="63">
        <f>ЦТО!D806</f>
        <v>0</v>
      </c>
      <c r="E902" s="68">
        <f>SUM(ЦТО!BB806:BI806)</f>
        <v>0</v>
      </c>
      <c r="F902" s="64" t="str">
        <f>IF(E902&lt;10,'вспомогательные данные'!$C$26,IF(E902&lt;19,'вспомогательные данные'!$C$25,'вспомогательные данные'!$C$24))</f>
        <v>положительный</v>
      </c>
      <c r="G902" s="65">
        <f>(18-ЦТО!AM806-ЦТО!AL806)/(18-ЦТО!AL806-ЦТО!AP806)</f>
        <v>1</v>
      </c>
      <c r="H902" s="66" t="str">
        <f>IF(G902&lt;0.51,'вспомогательные данные'!$C$19,IF(G902&lt;0.92,'вспомогательные данные'!$C$20, IF(G902&lt;2,'вспомогательные данные'!$C$21,'вспомогательные данные'!$C$22)))</f>
        <v>оптимальная работоспособность</v>
      </c>
      <c r="I902" s="61" t="b">
        <f>IF(OR(ЦТО!AT806=1,ЦТО!AU806=1,ЦТО!AV806=1,ЦТО!AX806=1),"Положительная",IF(OR(ЦТО!AY806=1,ЦТО!AZ806=1,ЦТО!BA806=1),"Отрицательная",IF(OR(ЦТО!AW806=1),"Инфантильная")))</f>
        <v>0</v>
      </c>
    </row>
    <row r="903" spans="1:9">
      <c r="A903" s="62">
        <f>ЦТО!A807</f>
        <v>0</v>
      </c>
      <c r="B903" s="62">
        <f>ЦТО!B807</f>
        <v>0</v>
      </c>
      <c r="C903" s="67">
        <f>ЦТО!C807</f>
        <v>0</v>
      </c>
      <c r="D903" s="63">
        <f>ЦТО!D807</f>
        <v>0</v>
      </c>
      <c r="E903" s="68">
        <f>SUM(ЦТО!BB807:BI807)</f>
        <v>0</v>
      </c>
      <c r="F903" s="64" t="str">
        <f>IF(E903&lt;10,'вспомогательные данные'!$C$26,IF(E903&lt;19,'вспомогательные данные'!$C$25,'вспомогательные данные'!$C$24))</f>
        <v>положительный</v>
      </c>
      <c r="G903" s="65">
        <f>(18-ЦТО!AM807-ЦТО!AL807)/(18-ЦТО!AL807-ЦТО!AP807)</f>
        <v>1</v>
      </c>
      <c r="H903" s="66" t="str">
        <f>IF(G903&lt;0.51,'вспомогательные данные'!$C$19,IF(G903&lt;0.92,'вспомогательные данные'!$C$20, IF(G903&lt;2,'вспомогательные данные'!$C$21,'вспомогательные данные'!$C$22)))</f>
        <v>оптимальная работоспособность</v>
      </c>
      <c r="I903" s="61" t="b">
        <f>IF(OR(ЦТО!AT807=1,ЦТО!AU807=1,ЦТО!AV807=1,ЦТО!AX807=1),"Положительная",IF(OR(ЦТО!AY807=1,ЦТО!AZ807=1,ЦТО!BA807=1),"Отрицательная",IF(OR(ЦТО!AW807=1),"Инфантильная")))</f>
        <v>0</v>
      </c>
    </row>
    <row r="904" spans="1:9">
      <c r="A904" s="62">
        <f>ЦТО!A808</f>
        <v>0</v>
      </c>
      <c r="B904" s="62">
        <f>ЦТО!B808</f>
        <v>0</v>
      </c>
      <c r="C904" s="67">
        <f>ЦТО!C808</f>
        <v>0</v>
      </c>
      <c r="D904" s="63">
        <f>ЦТО!D808</f>
        <v>0</v>
      </c>
      <c r="E904" s="68">
        <f>SUM(ЦТО!BB808:BI808)</f>
        <v>0</v>
      </c>
      <c r="F904" s="64" t="str">
        <f>IF(E904&lt;10,'вспомогательные данные'!$C$26,IF(E904&lt;19,'вспомогательные данные'!$C$25,'вспомогательные данные'!$C$24))</f>
        <v>положительный</v>
      </c>
      <c r="G904" s="65">
        <f>(18-ЦТО!AM808-ЦТО!AL808)/(18-ЦТО!AL808-ЦТО!AP808)</f>
        <v>1</v>
      </c>
      <c r="H904" s="66" t="str">
        <f>IF(G904&lt;0.51,'вспомогательные данные'!$C$19,IF(G904&lt;0.92,'вспомогательные данные'!$C$20, IF(G904&lt;2,'вспомогательные данные'!$C$21,'вспомогательные данные'!$C$22)))</f>
        <v>оптимальная работоспособность</v>
      </c>
      <c r="I904" s="61" t="b">
        <f>IF(OR(ЦТО!AT808=1,ЦТО!AU808=1,ЦТО!AV808=1,ЦТО!AX808=1),"Положительная",IF(OR(ЦТО!AY808=1,ЦТО!AZ808=1,ЦТО!BA808=1),"Отрицательная",IF(OR(ЦТО!AW808=1),"Инфантильная")))</f>
        <v>0</v>
      </c>
    </row>
    <row r="905" spans="1:9">
      <c r="A905" s="62">
        <f>ЦТО!A809</f>
        <v>0</v>
      </c>
      <c r="B905" s="62">
        <f>ЦТО!B809</f>
        <v>0</v>
      </c>
      <c r="C905" s="67">
        <f>ЦТО!C809</f>
        <v>0</v>
      </c>
      <c r="D905" s="63">
        <f>ЦТО!D809</f>
        <v>0</v>
      </c>
      <c r="E905" s="68">
        <f>SUM(ЦТО!BB809:BI809)</f>
        <v>0</v>
      </c>
      <c r="F905" s="64" t="str">
        <f>IF(E905&lt;10,'вспомогательные данные'!$C$26,IF(E905&lt;19,'вспомогательные данные'!$C$25,'вспомогательные данные'!$C$24))</f>
        <v>положительный</v>
      </c>
      <c r="G905" s="65">
        <f>(18-ЦТО!AM809-ЦТО!AL809)/(18-ЦТО!AL809-ЦТО!AP809)</f>
        <v>1</v>
      </c>
      <c r="H905" s="66" t="str">
        <f>IF(G905&lt;0.51,'вспомогательные данные'!$C$19,IF(G905&lt;0.92,'вспомогательные данные'!$C$20, IF(G905&lt;2,'вспомогательные данные'!$C$21,'вспомогательные данные'!$C$22)))</f>
        <v>оптимальная работоспособность</v>
      </c>
      <c r="I905" s="61" t="b">
        <f>IF(OR(ЦТО!AT809=1,ЦТО!AU809=1,ЦТО!AV809=1,ЦТО!AX809=1),"Положительная",IF(OR(ЦТО!AY809=1,ЦТО!AZ809=1,ЦТО!BA809=1),"Отрицательная",IF(OR(ЦТО!AW809=1),"Инфантильная")))</f>
        <v>0</v>
      </c>
    </row>
    <row r="906" spans="1:9">
      <c r="A906" s="62">
        <f>ЦТО!A810</f>
        <v>0</v>
      </c>
      <c r="B906" s="62">
        <f>ЦТО!B810</f>
        <v>0</v>
      </c>
      <c r="C906" s="67">
        <f>ЦТО!C810</f>
        <v>0</v>
      </c>
      <c r="D906" s="63">
        <f>ЦТО!D810</f>
        <v>0</v>
      </c>
      <c r="E906" s="68">
        <f>SUM(ЦТО!BB810:BI810)</f>
        <v>0</v>
      </c>
      <c r="F906" s="64" t="str">
        <f>IF(E906&lt;10,'вспомогательные данные'!$C$26,IF(E906&lt;19,'вспомогательные данные'!$C$25,'вспомогательные данные'!$C$24))</f>
        <v>положительный</v>
      </c>
      <c r="G906" s="65">
        <f>(18-ЦТО!AM810-ЦТО!AL810)/(18-ЦТО!AL810-ЦТО!AP810)</f>
        <v>1</v>
      </c>
      <c r="H906" s="66" t="str">
        <f>IF(G906&lt;0.51,'вспомогательные данные'!$C$19,IF(G906&lt;0.92,'вспомогательные данные'!$C$20, IF(G906&lt;2,'вспомогательные данные'!$C$21,'вспомогательные данные'!$C$22)))</f>
        <v>оптимальная работоспособность</v>
      </c>
      <c r="I906" s="61" t="b">
        <f>IF(OR(ЦТО!AT810=1,ЦТО!AU810=1,ЦТО!AV810=1,ЦТО!AX810=1),"Положительная",IF(OR(ЦТО!AY810=1,ЦТО!AZ810=1,ЦТО!BA810=1),"Отрицательная",IF(OR(ЦТО!AW810=1),"Инфантильная")))</f>
        <v>0</v>
      </c>
    </row>
    <row r="907" spans="1:9">
      <c r="A907" s="62">
        <f>ЦТО!A811</f>
        <v>0</v>
      </c>
      <c r="B907" s="62">
        <f>ЦТО!B811</f>
        <v>0</v>
      </c>
      <c r="C907" s="67">
        <f>ЦТО!C811</f>
        <v>0</v>
      </c>
      <c r="D907" s="63">
        <f>ЦТО!D811</f>
        <v>0</v>
      </c>
      <c r="E907" s="68">
        <f>SUM(ЦТО!BB811:BI811)</f>
        <v>0</v>
      </c>
      <c r="F907" s="64" t="str">
        <f>IF(E907&lt;10,'вспомогательные данные'!$C$26,IF(E907&lt;19,'вспомогательные данные'!$C$25,'вспомогательные данные'!$C$24))</f>
        <v>положительный</v>
      </c>
      <c r="G907" s="65">
        <f>(18-ЦТО!AM811-ЦТО!AL811)/(18-ЦТО!AL811-ЦТО!AP811)</f>
        <v>1</v>
      </c>
      <c r="H907" s="66" t="str">
        <f>IF(G907&lt;0.51,'вспомогательные данные'!$C$19,IF(G907&lt;0.92,'вспомогательные данные'!$C$20, IF(G907&lt;2,'вспомогательные данные'!$C$21,'вспомогательные данные'!$C$22)))</f>
        <v>оптимальная работоспособность</v>
      </c>
      <c r="I907" s="61" t="b">
        <f>IF(OR(ЦТО!AT811=1,ЦТО!AU811=1,ЦТО!AV811=1,ЦТО!AX811=1),"Положительная",IF(OR(ЦТО!AY811=1,ЦТО!AZ811=1,ЦТО!BA811=1),"Отрицательная",IF(OR(ЦТО!AW811=1),"Инфантильная")))</f>
        <v>0</v>
      </c>
    </row>
    <row r="908" spans="1:9">
      <c r="A908" s="62">
        <f>ЦТО!A812</f>
        <v>0</v>
      </c>
      <c r="B908" s="62">
        <f>ЦТО!B812</f>
        <v>0</v>
      </c>
      <c r="C908" s="67">
        <f>ЦТО!C812</f>
        <v>0</v>
      </c>
      <c r="D908" s="63">
        <f>ЦТО!D812</f>
        <v>0</v>
      </c>
      <c r="E908" s="68">
        <f>SUM(ЦТО!BB812:BI812)</f>
        <v>0</v>
      </c>
      <c r="F908" s="64" t="str">
        <f>IF(E908&lt;10,'вспомогательные данные'!$C$26,IF(E908&lt;19,'вспомогательные данные'!$C$25,'вспомогательные данные'!$C$24))</f>
        <v>положительный</v>
      </c>
      <c r="G908" s="65">
        <f>(18-ЦТО!AM812-ЦТО!AL812)/(18-ЦТО!AL812-ЦТО!AP812)</f>
        <v>1</v>
      </c>
      <c r="H908" s="66" t="str">
        <f>IF(G908&lt;0.51,'вспомогательные данные'!$C$19,IF(G908&lt;0.92,'вспомогательные данные'!$C$20, IF(G908&lt;2,'вспомогательные данные'!$C$21,'вспомогательные данные'!$C$22)))</f>
        <v>оптимальная работоспособность</v>
      </c>
      <c r="I908" s="61" t="b">
        <f>IF(OR(ЦТО!AT812=1,ЦТО!AU812=1,ЦТО!AV812=1,ЦТО!AX812=1),"Положительная",IF(OR(ЦТО!AY812=1,ЦТО!AZ812=1,ЦТО!BA812=1),"Отрицательная",IF(OR(ЦТО!AW812=1),"Инфантильная")))</f>
        <v>0</v>
      </c>
    </row>
    <row r="909" spans="1:9">
      <c r="A909" s="62">
        <f>ЦТО!A813</f>
        <v>0</v>
      </c>
      <c r="B909" s="62">
        <f>ЦТО!B813</f>
        <v>0</v>
      </c>
      <c r="C909" s="67">
        <f>ЦТО!C813</f>
        <v>0</v>
      </c>
      <c r="D909" s="63">
        <f>ЦТО!D813</f>
        <v>0</v>
      </c>
      <c r="E909" s="68">
        <f>SUM(ЦТО!BB813:BI813)</f>
        <v>0</v>
      </c>
      <c r="F909" s="64" t="str">
        <f>IF(E909&lt;10,'вспомогательные данные'!$C$26,IF(E909&lt;19,'вспомогательные данные'!$C$25,'вспомогательные данные'!$C$24))</f>
        <v>положительный</v>
      </c>
      <c r="G909" s="65">
        <f>(18-ЦТО!AM813-ЦТО!AL813)/(18-ЦТО!AL813-ЦТО!AP813)</f>
        <v>1</v>
      </c>
      <c r="H909" s="66" t="str">
        <f>IF(G909&lt;0.51,'вспомогательные данные'!$C$19,IF(G909&lt;0.92,'вспомогательные данные'!$C$20, IF(G909&lt;2,'вспомогательные данные'!$C$21,'вспомогательные данные'!$C$22)))</f>
        <v>оптимальная работоспособность</v>
      </c>
      <c r="I909" s="61" t="b">
        <f>IF(OR(ЦТО!AT813=1,ЦТО!AU813=1,ЦТО!AV813=1,ЦТО!AX813=1),"Положительная",IF(OR(ЦТО!AY813=1,ЦТО!AZ813=1,ЦТО!BA813=1),"Отрицательная",IF(OR(ЦТО!AW813=1),"Инфантильная")))</f>
        <v>0</v>
      </c>
    </row>
    <row r="910" spans="1:9">
      <c r="A910" s="62">
        <f>ЦТО!A814</f>
        <v>0</v>
      </c>
      <c r="B910" s="62">
        <f>ЦТО!B814</f>
        <v>0</v>
      </c>
      <c r="C910" s="67">
        <f>ЦТО!C814</f>
        <v>0</v>
      </c>
      <c r="D910" s="63">
        <f>ЦТО!D814</f>
        <v>0</v>
      </c>
      <c r="E910" s="68">
        <f>SUM(ЦТО!BB814:BI814)</f>
        <v>0</v>
      </c>
      <c r="F910" s="64" t="str">
        <f>IF(E910&lt;10,'вспомогательные данные'!$C$26,IF(E910&lt;19,'вспомогательные данные'!$C$25,'вспомогательные данные'!$C$24))</f>
        <v>положительный</v>
      </c>
      <c r="G910" s="65">
        <f>(18-ЦТО!AM814-ЦТО!AL814)/(18-ЦТО!AL814-ЦТО!AP814)</f>
        <v>1</v>
      </c>
      <c r="H910" s="66" t="str">
        <f>IF(G910&lt;0.51,'вспомогательные данные'!$C$19,IF(G910&lt;0.92,'вспомогательные данные'!$C$20, IF(G910&lt;2,'вспомогательные данные'!$C$21,'вспомогательные данные'!$C$22)))</f>
        <v>оптимальная работоспособность</v>
      </c>
      <c r="I910" s="61" t="b">
        <f>IF(OR(ЦТО!AT814=1,ЦТО!AU814=1,ЦТО!AV814=1,ЦТО!AX814=1),"Положительная",IF(OR(ЦТО!AY814=1,ЦТО!AZ814=1,ЦТО!BA814=1),"Отрицательная",IF(OR(ЦТО!AW814=1),"Инфантильная")))</f>
        <v>0</v>
      </c>
    </row>
    <row r="911" spans="1:9">
      <c r="A911" s="62">
        <f>ЦТО!A815</f>
        <v>0</v>
      </c>
      <c r="B911" s="62">
        <f>ЦТО!B815</f>
        <v>0</v>
      </c>
      <c r="C911" s="67">
        <f>ЦТО!C815</f>
        <v>0</v>
      </c>
      <c r="D911" s="63">
        <f>ЦТО!D815</f>
        <v>0</v>
      </c>
      <c r="E911" s="68">
        <f>SUM(ЦТО!BB815:BI815)</f>
        <v>0</v>
      </c>
      <c r="F911" s="64" t="str">
        <f>IF(E911&lt;10,'вспомогательные данные'!$C$26,IF(E911&lt;19,'вспомогательные данные'!$C$25,'вспомогательные данные'!$C$24))</f>
        <v>положительный</v>
      </c>
      <c r="G911" s="65">
        <f>(18-ЦТО!AM815-ЦТО!AL815)/(18-ЦТО!AL815-ЦТО!AP815)</f>
        <v>1</v>
      </c>
      <c r="H911" s="66" t="str">
        <f>IF(G911&lt;0.51,'вспомогательные данные'!$C$19,IF(G911&lt;0.92,'вспомогательные данные'!$C$20, IF(G911&lt;2,'вспомогательные данные'!$C$21,'вспомогательные данные'!$C$22)))</f>
        <v>оптимальная работоспособность</v>
      </c>
      <c r="I911" s="61" t="b">
        <f>IF(OR(ЦТО!AT815=1,ЦТО!AU815=1,ЦТО!AV815=1,ЦТО!AX815=1),"Положительная",IF(OR(ЦТО!AY815=1,ЦТО!AZ815=1,ЦТО!BA815=1),"Отрицательная",IF(OR(ЦТО!AW815=1),"Инфантильная")))</f>
        <v>0</v>
      </c>
    </row>
    <row r="912" spans="1:9">
      <c r="A912" s="62">
        <f>ЦТО!A816</f>
        <v>0</v>
      </c>
      <c r="B912" s="62">
        <f>ЦТО!B816</f>
        <v>0</v>
      </c>
      <c r="C912" s="67">
        <f>ЦТО!C816</f>
        <v>0</v>
      </c>
      <c r="D912" s="63">
        <f>ЦТО!D816</f>
        <v>0</v>
      </c>
      <c r="E912" s="68">
        <f>SUM(ЦТО!BB816:BI816)</f>
        <v>0</v>
      </c>
      <c r="F912" s="64" t="str">
        <f>IF(E912&lt;10,'вспомогательные данные'!$C$26,IF(E912&lt;19,'вспомогательные данные'!$C$25,'вспомогательные данные'!$C$24))</f>
        <v>положительный</v>
      </c>
      <c r="G912" s="65">
        <f>(18-ЦТО!AM816-ЦТО!AL816)/(18-ЦТО!AL816-ЦТО!AP816)</f>
        <v>1</v>
      </c>
      <c r="H912" s="66" t="str">
        <f>IF(G912&lt;0.51,'вспомогательные данные'!$C$19,IF(G912&lt;0.92,'вспомогательные данные'!$C$20, IF(G912&lt;2,'вспомогательные данные'!$C$21,'вспомогательные данные'!$C$22)))</f>
        <v>оптимальная работоспособность</v>
      </c>
      <c r="I912" s="61" t="b">
        <f>IF(OR(ЦТО!AT816=1,ЦТО!AU816=1,ЦТО!AV816=1,ЦТО!AX816=1),"Положительная",IF(OR(ЦТО!AY816=1,ЦТО!AZ816=1,ЦТО!BA816=1),"Отрицательная",IF(OR(ЦТО!AW816=1),"Инфантильная")))</f>
        <v>0</v>
      </c>
    </row>
    <row r="913" spans="1:9">
      <c r="A913" s="62">
        <f>ЦТО!A817</f>
        <v>0</v>
      </c>
      <c r="B913" s="62">
        <f>ЦТО!B817</f>
        <v>0</v>
      </c>
      <c r="C913" s="67">
        <f>ЦТО!C817</f>
        <v>0</v>
      </c>
      <c r="D913" s="63">
        <f>ЦТО!D817</f>
        <v>0</v>
      </c>
      <c r="E913" s="68">
        <f>SUM(ЦТО!BB817:BI817)</f>
        <v>0</v>
      </c>
      <c r="F913" s="64" t="str">
        <f>IF(E913&lt;10,'вспомогательные данные'!$C$26,IF(E913&lt;19,'вспомогательные данные'!$C$25,'вспомогательные данные'!$C$24))</f>
        <v>положительный</v>
      </c>
      <c r="G913" s="65">
        <f>(18-ЦТО!AM817-ЦТО!AL817)/(18-ЦТО!AL817-ЦТО!AP817)</f>
        <v>1</v>
      </c>
      <c r="H913" s="66" t="str">
        <f>IF(G913&lt;0.51,'вспомогательные данные'!$C$19,IF(G913&lt;0.92,'вспомогательные данные'!$C$20, IF(G913&lt;2,'вспомогательные данные'!$C$21,'вспомогательные данные'!$C$22)))</f>
        <v>оптимальная работоспособность</v>
      </c>
      <c r="I913" s="61" t="b">
        <f>IF(OR(ЦТО!AT817=1,ЦТО!AU817=1,ЦТО!AV817=1,ЦТО!AX817=1),"Положительная",IF(OR(ЦТО!AY817=1,ЦТО!AZ817=1,ЦТО!BA817=1),"Отрицательная",IF(OR(ЦТО!AW817=1),"Инфантильная")))</f>
        <v>0</v>
      </c>
    </row>
    <row r="914" spans="1:9">
      <c r="A914" s="62">
        <f>ЦТО!A818</f>
        <v>0</v>
      </c>
      <c r="B914" s="62">
        <f>ЦТО!B818</f>
        <v>0</v>
      </c>
      <c r="C914" s="67">
        <f>ЦТО!C818</f>
        <v>0</v>
      </c>
      <c r="D914" s="63">
        <f>ЦТО!D818</f>
        <v>0</v>
      </c>
      <c r="E914" s="68">
        <f>SUM(ЦТО!BB818:BI818)</f>
        <v>0</v>
      </c>
      <c r="F914" s="64" t="str">
        <f>IF(E914&lt;10,'вспомогательные данные'!$C$26,IF(E914&lt;19,'вспомогательные данные'!$C$25,'вспомогательные данные'!$C$24))</f>
        <v>положительный</v>
      </c>
      <c r="G914" s="65">
        <f>(18-ЦТО!AM818-ЦТО!AL818)/(18-ЦТО!AL818-ЦТО!AP818)</f>
        <v>1</v>
      </c>
      <c r="H914" s="66" t="str">
        <f>IF(G914&lt;0.51,'вспомогательные данные'!$C$19,IF(G914&lt;0.92,'вспомогательные данные'!$C$20, IF(G914&lt;2,'вспомогательные данные'!$C$21,'вспомогательные данные'!$C$22)))</f>
        <v>оптимальная работоспособность</v>
      </c>
      <c r="I914" s="61" t="b">
        <f>IF(OR(ЦТО!AT818=1,ЦТО!AU818=1,ЦТО!AV818=1,ЦТО!AX818=1),"Положительная",IF(OR(ЦТО!AY818=1,ЦТО!AZ818=1,ЦТО!BA818=1),"Отрицательная",IF(OR(ЦТО!AW818=1),"Инфантильная")))</f>
        <v>0</v>
      </c>
    </row>
    <row r="915" spans="1:9">
      <c r="A915" s="62">
        <f>ЦТО!A819</f>
        <v>0</v>
      </c>
      <c r="B915" s="62">
        <f>ЦТО!B819</f>
        <v>0</v>
      </c>
      <c r="C915" s="67">
        <f>ЦТО!C819</f>
        <v>0</v>
      </c>
      <c r="D915" s="63">
        <f>ЦТО!D819</f>
        <v>0</v>
      </c>
      <c r="E915" s="68">
        <f>SUM(ЦТО!BB819:BI819)</f>
        <v>0</v>
      </c>
      <c r="F915" s="64" t="str">
        <f>IF(E915&lt;10,'вспомогательные данные'!$C$26,IF(E915&lt;19,'вспомогательные данные'!$C$25,'вспомогательные данные'!$C$24))</f>
        <v>положительный</v>
      </c>
      <c r="G915" s="65">
        <f>(18-ЦТО!AM819-ЦТО!AL819)/(18-ЦТО!AL819-ЦТО!AP819)</f>
        <v>1</v>
      </c>
      <c r="H915" s="66" t="str">
        <f>IF(G915&lt;0.51,'вспомогательные данные'!$C$19,IF(G915&lt;0.92,'вспомогательные данные'!$C$20, IF(G915&lt;2,'вспомогательные данные'!$C$21,'вспомогательные данные'!$C$22)))</f>
        <v>оптимальная работоспособность</v>
      </c>
      <c r="I915" s="61" t="b">
        <f>IF(OR(ЦТО!AT819=1,ЦТО!AU819=1,ЦТО!AV819=1,ЦТО!AX819=1),"Положительная",IF(OR(ЦТО!AY819=1,ЦТО!AZ819=1,ЦТО!BA819=1),"Отрицательная",IF(OR(ЦТО!AW819=1),"Инфантильная")))</f>
        <v>0</v>
      </c>
    </row>
    <row r="916" spans="1:9">
      <c r="A916" s="62">
        <f>ЦТО!A820</f>
        <v>0</v>
      </c>
      <c r="B916" s="62">
        <f>ЦТО!B820</f>
        <v>0</v>
      </c>
      <c r="C916" s="67">
        <f>ЦТО!C820</f>
        <v>0</v>
      </c>
      <c r="D916" s="63">
        <f>ЦТО!D820</f>
        <v>0</v>
      </c>
      <c r="E916" s="68">
        <f>SUM(ЦТО!BB820:BI820)</f>
        <v>0</v>
      </c>
      <c r="F916" s="64" t="str">
        <f>IF(E916&lt;10,'вспомогательные данные'!$C$26,IF(E916&lt;19,'вспомогательные данные'!$C$25,'вспомогательные данные'!$C$24))</f>
        <v>положительный</v>
      </c>
      <c r="G916" s="65">
        <f>(18-ЦТО!AM820-ЦТО!AL820)/(18-ЦТО!AL820-ЦТО!AP820)</f>
        <v>1</v>
      </c>
      <c r="H916" s="66" t="str">
        <f>IF(G916&lt;0.51,'вспомогательные данные'!$C$19,IF(G916&lt;0.92,'вспомогательные данные'!$C$20, IF(G916&lt;2,'вспомогательные данные'!$C$21,'вспомогательные данные'!$C$22)))</f>
        <v>оптимальная работоспособность</v>
      </c>
      <c r="I916" s="61" t="b">
        <f>IF(OR(ЦТО!AT820=1,ЦТО!AU820=1,ЦТО!AV820=1,ЦТО!AX820=1),"Положительная",IF(OR(ЦТО!AY820=1,ЦТО!AZ820=1,ЦТО!BA820=1),"Отрицательная",IF(OR(ЦТО!AW820=1),"Инфантильная")))</f>
        <v>0</v>
      </c>
    </row>
    <row r="917" spans="1:9">
      <c r="A917" s="62">
        <f>ЦТО!A821</f>
        <v>0</v>
      </c>
      <c r="B917" s="62">
        <f>ЦТО!B821</f>
        <v>0</v>
      </c>
      <c r="C917" s="67">
        <f>ЦТО!C821</f>
        <v>0</v>
      </c>
      <c r="D917" s="63">
        <f>ЦТО!D821</f>
        <v>0</v>
      </c>
      <c r="E917" s="68">
        <f>SUM(ЦТО!BB821:BI821)</f>
        <v>0</v>
      </c>
      <c r="F917" s="64" t="str">
        <f>IF(E917&lt;10,'вспомогательные данные'!$C$26,IF(E917&lt;19,'вспомогательные данные'!$C$25,'вспомогательные данные'!$C$24))</f>
        <v>положительный</v>
      </c>
      <c r="G917" s="65">
        <f>(18-ЦТО!AM821-ЦТО!AL821)/(18-ЦТО!AL821-ЦТО!AP821)</f>
        <v>1</v>
      </c>
      <c r="H917" s="66" t="str">
        <f>IF(G917&lt;0.51,'вспомогательные данные'!$C$19,IF(G917&lt;0.92,'вспомогательные данные'!$C$20, IF(G917&lt;2,'вспомогательные данные'!$C$21,'вспомогательные данные'!$C$22)))</f>
        <v>оптимальная работоспособность</v>
      </c>
      <c r="I917" s="61" t="b">
        <f>IF(OR(ЦТО!AT821=1,ЦТО!AU821=1,ЦТО!AV821=1,ЦТО!AX821=1),"Положительная",IF(OR(ЦТО!AY821=1,ЦТО!AZ821=1,ЦТО!BA821=1),"Отрицательная",IF(OR(ЦТО!AW821=1),"Инфантильная")))</f>
        <v>0</v>
      </c>
    </row>
    <row r="918" spans="1:9">
      <c r="A918" s="62">
        <f>ЦТО!A822</f>
        <v>0</v>
      </c>
      <c r="B918" s="62">
        <f>ЦТО!B822</f>
        <v>0</v>
      </c>
      <c r="C918" s="67">
        <f>ЦТО!C822</f>
        <v>0</v>
      </c>
      <c r="D918" s="63">
        <f>ЦТО!D822</f>
        <v>0</v>
      </c>
      <c r="E918" s="68">
        <f>SUM(ЦТО!BB822:BI822)</f>
        <v>0</v>
      </c>
      <c r="F918" s="64" t="str">
        <f>IF(E918&lt;10,'вспомогательные данные'!$C$26,IF(E918&lt;19,'вспомогательные данные'!$C$25,'вспомогательные данные'!$C$24))</f>
        <v>положительный</v>
      </c>
      <c r="G918" s="65">
        <f>(18-ЦТО!AM822-ЦТО!AL822)/(18-ЦТО!AL822-ЦТО!AP822)</f>
        <v>1</v>
      </c>
      <c r="H918" s="66" t="str">
        <f>IF(G918&lt;0.51,'вспомогательные данные'!$C$19,IF(G918&lt;0.92,'вспомогательные данные'!$C$20, IF(G918&lt;2,'вспомогательные данные'!$C$21,'вспомогательные данные'!$C$22)))</f>
        <v>оптимальная работоспособность</v>
      </c>
      <c r="I918" s="61" t="b">
        <f>IF(OR(ЦТО!AT822=1,ЦТО!AU822=1,ЦТО!AV822=1,ЦТО!AX822=1),"Положительная",IF(OR(ЦТО!AY822=1,ЦТО!AZ822=1,ЦТО!BA822=1),"Отрицательная",IF(OR(ЦТО!AW822=1),"Инфантильная")))</f>
        <v>0</v>
      </c>
    </row>
    <row r="919" spans="1:9">
      <c r="A919" s="62">
        <f>ЦТО!A823</f>
        <v>0</v>
      </c>
      <c r="B919" s="62">
        <f>ЦТО!B823</f>
        <v>0</v>
      </c>
      <c r="C919" s="67">
        <f>ЦТО!C823</f>
        <v>0</v>
      </c>
      <c r="D919" s="63">
        <f>ЦТО!D823</f>
        <v>0</v>
      </c>
      <c r="E919" s="68">
        <f>SUM(ЦТО!BB823:BI823)</f>
        <v>0</v>
      </c>
      <c r="F919" s="64" t="str">
        <f>IF(E919&lt;10,'вспомогательные данные'!$C$26,IF(E919&lt;19,'вспомогательные данные'!$C$25,'вспомогательные данные'!$C$24))</f>
        <v>положительный</v>
      </c>
      <c r="G919" s="65">
        <f>(18-ЦТО!AM823-ЦТО!AL823)/(18-ЦТО!AL823-ЦТО!AP823)</f>
        <v>1</v>
      </c>
      <c r="H919" s="66" t="str">
        <f>IF(G919&lt;0.51,'вспомогательные данные'!$C$19,IF(G919&lt;0.92,'вспомогательные данные'!$C$20, IF(G919&lt;2,'вспомогательные данные'!$C$21,'вспомогательные данные'!$C$22)))</f>
        <v>оптимальная работоспособность</v>
      </c>
      <c r="I919" s="61" t="b">
        <f>IF(OR(ЦТО!AT823=1,ЦТО!AU823=1,ЦТО!AV823=1,ЦТО!AX823=1),"Положительная",IF(OR(ЦТО!AY823=1,ЦТО!AZ823=1,ЦТО!BA823=1),"Отрицательная",IF(OR(ЦТО!AW823=1),"Инфантильная")))</f>
        <v>0</v>
      </c>
    </row>
    <row r="920" spans="1:9">
      <c r="A920" s="62">
        <f>ЦТО!A824</f>
        <v>0</v>
      </c>
      <c r="B920" s="62">
        <f>ЦТО!B824</f>
        <v>0</v>
      </c>
      <c r="C920" s="67">
        <f>ЦТО!C824</f>
        <v>0</v>
      </c>
      <c r="D920" s="63">
        <f>ЦТО!D824</f>
        <v>0</v>
      </c>
      <c r="E920" s="68">
        <f>SUM(ЦТО!BB824:BI824)</f>
        <v>0</v>
      </c>
      <c r="F920" s="64" t="str">
        <f>IF(E920&lt;10,'вспомогательные данные'!$C$26,IF(E920&lt;19,'вспомогательные данные'!$C$25,'вспомогательные данные'!$C$24))</f>
        <v>положительный</v>
      </c>
      <c r="G920" s="65">
        <f>(18-ЦТО!AM824-ЦТО!AL824)/(18-ЦТО!AL824-ЦТО!AP824)</f>
        <v>1</v>
      </c>
      <c r="H920" s="66" t="str">
        <f>IF(G920&lt;0.51,'вспомогательные данные'!$C$19,IF(G920&lt;0.92,'вспомогательные данные'!$C$20, IF(G920&lt;2,'вспомогательные данные'!$C$21,'вспомогательные данные'!$C$22)))</f>
        <v>оптимальная работоспособность</v>
      </c>
      <c r="I920" s="61" t="b">
        <f>IF(OR(ЦТО!AT824=1,ЦТО!AU824=1,ЦТО!AV824=1,ЦТО!AX824=1),"Положительная",IF(OR(ЦТО!AY824=1,ЦТО!AZ824=1,ЦТО!BA824=1),"Отрицательная",IF(OR(ЦТО!AW824=1),"Инфантильная")))</f>
        <v>0</v>
      </c>
    </row>
    <row r="921" spans="1:9">
      <c r="A921" s="62">
        <f>ЦТО!A825</f>
        <v>0</v>
      </c>
      <c r="B921" s="62">
        <f>ЦТО!B825</f>
        <v>0</v>
      </c>
      <c r="C921" s="67">
        <f>ЦТО!C825</f>
        <v>0</v>
      </c>
      <c r="D921" s="63">
        <f>ЦТО!D825</f>
        <v>0</v>
      </c>
      <c r="E921" s="68">
        <f>SUM(ЦТО!BB825:BI825)</f>
        <v>0</v>
      </c>
      <c r="F921" s="64" t="str">
        <f>IF(E921&lt;10,'вспомогательные данные'!$C$26,IF(E921&lt;19,'вспомогательные данные'!$C$25,'вспомогательные данные'!$C$24))</f>
        <v>положительный</v>
      </c>
      <c r="G921" s="65">
        <f>(18-ЦТО!AM825-ЦТО!AL825)/(18-ЦТО!AL825-ЦТО!AP825)</f>
        <v>1</v>
      </c>
      <c r="H921" s="66" t="str">
        <f>IF(G921&lt;0.51,'вспомогательные данные'!$C$19,IF(G921&lt;0.92,'вспомогательные данные'!$C$20, IF(G921&lt;2,'вспомогательные данные'!$C$21,'вспомогательные данные'!$C$22)))</f>
        <v>оптимальная работоспособность</v>
      </c>
      <c r="I921" s="61" t="b">
        <f>IF(OR(ЦТО!AT825=1,ЦТО!AU825=1,ЦТО!AV825=1,ЦТО!AX825=1),"Положительная",IF(OR(ЦТО!AY825=1,ЦТО!AZ825=1,ЦТО!BA825=1),"Отрицательная",IF(OR(ЦТО!AW825=1),"Инфантильная")))</f>
        <v>0</v>
      </c>
    </row>
    <row r="922" spans="1:9">
      <c r="A922" s="62">
        <f>ЦТО!A826</f>
        <v>0</v>
      </c>
      <c r="B922" s="62">
        <f>ЦТО!B826</f>
        <v>0</v>
      </c>
      <c r="C922" s="67">
        <f>ЦТО!C826</f>
        <v>0</v>
      </c>
      <c r="D922" s="63">
        <f>ЦТО!D826</f>
        <v>0</v>
      </c>
      <c r="E922" s="68">
        <f>SUM(ЦТО!BB826:BI826)</f>
        <v>0</v>
      </c>
      <c r="F922" s="64" t="str">
        <f>IF(E922&lt;10,'вспомогательные данные'!$C$26,IF(E922&lt;19,'вспомогательные данные'!$C$25,'вспомогательные данные'!$C$24))</f>
        <v>положительный</v>
      </c>
      <c r="G922" s="65">
        <f>(18-ЦТО!AM826-ЦТО!AL826)/(18-ЦТО!AL826-ЦТО!AP826)</f>
        <v>1</v>
      </c>
      <c r="H922" s="66" t="str">
        <f>IF(G922&lt;0.51,'вспомогательные данные'!$C$19,IF(G922&lt;0.92,'вспомогательные данные'!$C$20, IF(G922&lt;2,'вспомогательные данные'!$C$21,'вспомогательные данные'!$C$22)))</f>
        <v>оптимальная работоспособность</v>
      </c>
      <c r="I922" s="61" t="b">
        <f>IF(OR(ЦТО!AT826=1,ЦТО!AU826=1,ЦТО!AV826=1,ЦТО!AX826=1),"Положительная",IF(OR(ЦТО!AY826=1,ЦТО!AZ826=1,ЦТО!BA826=1),"Отрицательная",IF(OR(ЦТО!AW826=1),"Инфантильная")))</f>
        <v>0</v>
      </c>
    </row>
    <row r="923" spans="1:9">
      <c r="A923" s="62">
        <f>ЦТО!A827</f>
        <v>0</v>
      </c>
      <c r="B923" s="62">
        <f>ЦТО!B827</f>
        <v>0</v>
      </c>
      <c r="C923" s="67">
        <f>ЦТО!C827</f>
        <v>0</v>
      </c>
      <c r="D923" s="63">
        <f>ЦТО!D827</f>
        <v>0</v>
      </c>
      <c r="E923" s="68">
        <f>SUM(ЦТО!BB827:BI827)</f>
        <v>0</v>
      </c>
      <c r="F923" s="64" t="str">
        <f>IF(E923&lt;10,'вспомогательные данные'!$C$26,IF(E923&lt;19,'вспомогательные данные'!$C$25,'вспомогательные данные'!$C$24))</f>
        <v>положительный</v>
      </c>
      <c r="G923" s="65">
        <f>(18-ЦТО!AM827-ЦТО!AL827)/(18-ЦТО!AL827-ЦТО!AP827)</f>
        <v>1</v>
      </c>
      <c r="H923" s="66" t="str">
        <f>IF(G923&lt;0.51,'вспомогательные данные'!$C$19,IF(G923&lt;0.92,'вспомогательные данные'!$C$20, IF(G923&lt;2,'вспомогательные данные'!$C$21,'вспомогательные данные'!$C$22)))</f>
        <v>оптимальная работоспособность</v>
      </c>
      <c r="I923" s="61" t="b">
        <f>IF(OR(ЦТО!AT827=1,ЦТО!AU827=1,ЦТО!AV827=1,ЦТО!AX827=1),"Положительная",IF(OR(ЦТО!AY827=1,ЦТО!AZ827=1,ЦТО!BA827=1),"Отрицательная",IF(OR(ЦТО!AW827=1),"Инфантильная")))</f>
        <v>0</v>
      </c>
    </row>
    <row r="924" spans="1:9">
      <c r="A924" s="62">
        <f>ЦТО!A828</f>
        <v>0</v>
      </c>
      <c r="B924" s="62">
        <f>ЦТО!B828</f>
        <v>0</v>
      </c>
      <c r="C924" s="67">
        <f>ЦТО!C828</f>
        <v>0</v>
      </c>
      <c r="D924" s="63">
        <f>ЦТО!D828</f>
        <v>0</v>
      </c>
      <c r="E924" s="68">
        <f>SUM(ЦТО!BB828:BI828)</f>
        <v>0</v>
      </c>
      <c r="F924" s="64" t="str">
        <f>IF(E924&lt;10,'вспомогательные данные'!$C$26,IF(E924&lt;19,'вспомогательные данные'!$C$25,'вспомогательные данные'!$C$24))</f>
        <v>положительный</v>
      </c>
      <c r="G924" s="65">
        <f>(18-ЦТО!AM828-ЦТО!AL828)/(18-ЦТО!AL828-ЦТО!AP828)</f>
        <v>1</v>
      </c>
      <c r="H924" s="66" t="str">
        <f>IF(G924&lt;0.51,'вспомогательные данные'!$C$19,IF(G924&lt;0.92,'вспомогательные данные'!$C$20, IF(G924&lt;2,'вспомогательные данные'!$C$21,'вспомогательные данные'!$C$22)))</f>
        <v>оптимальная работоспособность</v>
      </c>
      <c r="I924" s="61" t="b">
        <f>IF(OR(ЦТО!AT828=1,ЦТО!AU828=1,ЦТО!AV828=1,ЦТО!AX828=1),"Положительная",IF(OR(ЦТО!AY828=1,ЦТО!AZ828=1,ЦТО!BA828=1),"Отрицательная",IF(OR(ЦТО!AW828=1),"Инфантильная")))</f>
        <v>0</v>
      </c>
    </row>
    <row r="925" spans="1:9">
      <c r="A925" s="62">
        <f>ЦТО!A829</f>
        <v>0</v>
      </c>
      <c r="B925" s="62">
        <f>ЦТО!B829</f>
        <v>0</v>
      </c>
      <c r="C925" s="67">
        <f>ЦТО!C829</f>
        <v>0</v>
      </c>
      <c r="D925" s="63">
        <f>ЦТО!D829</f>
        <v>0</v>
      </c>
      <c r="E925" s="68">
        <f>SUM(ЦТО!BB829:BI829)</f>
        <v>0</v>
      </c>
      <c r="F925" s="64" t="str">
        <f>IF(E925&lt;10,'вспомогательные данные'!$C$26,IF(E925&lt;19,'вспомогательные данные'!$C$25,'вспомогательные данные'!$C$24))</f>
        <v>положительный</v>
      </c>
      <c r="G925" s="65">
        <f>(18-ЦТО!AM829-ЦТО!AL829)/(18-ЦТО!AL829-ЦТО!AP829)</f>
        <v>1</v>
      </c>
      <c r="H925" s="66" t="str">
        <f>IF(G925&lt;0.51,'вспомогательные данные'!$C$19,IF(G925&lt;0.92,'вспомогательные данные'!$C$20, IF(G925&lt;2,'вспомогательные данные'!$C$21,'вспомогательные данные'!$C$22)))</f>
        <v>оптимальная работоспособность</v>
      </c>
      <c r="I925" s="61" t="b">
        <f>IF(OR(ЦТО!AT829=1,ЦТО!AU829=1,ЦТО!AV829=1,ЦТО!AX829=1),"Положительная",IF(OR(ЦТО!AY829=1,ЦТО!AZ829=1,ЦТО!BA829=1),"Отрицательная",IF(OR(ЦТО!AW829=1),"Инфантильная")))</f>
        <v>0</v>
      </c>
    </row>
    <row r="926" spans="1:9">
      <c r="A926" s="62">
        <f>ЦТО!A830</f>
        <v>0</v>
      </c>
      <c r="B926" s="62">
        <f>ЦТО!B830</f>
        <v>0</v>
      </c>
      <c r="C926" s="67">
        <f>ЦТО!C830</f>
        <v>0</v>
      </c>
      <c r="D926" s="63">
        <f>ЦТО!D830</f>
        <v>0</v>
      </c>
      <c r="E926" s="68">
        <f>SUM(ЦТО!BB830:BI830)</f>
        <v>0</v>
      </c>
      <c r="F926" s="64" t="str">
        <f>IF(E926&lt;10,'вспомогательные данные'!$C$26,IF(E926&lt;19,'вспомогательные данные'!$C$25,'вспомогательные данные'!$C$24))</f>
        <v>положительный</v>
      </c>
      <c r="G926" s="65">
        <f>(18-ЦТО!AM830-ЦТО!AL830)/(18-ЦТО!AL830-ЦТО!AP830)</f>
        <v>1</v>
      </c>
      <c r="H926" s="66" t="str">
        <f>IF(G926&lt;0.51,'вспомогательные данные'!$C$19,IF(G926&lt;0.92,'вспомогательные данные'!$C$20, IF(G926&lt;2,'вспомогательные данные'!$C$21,'вспомогательные данные'!$C$22)))</f>
        <v>оптимальная работоспособность</v>
      </c>
      <c r="I926" s="61" t="b">
        <f>IF(OR(ЦТО!AT830=1,ЦТО!AU830=1,ЦТО!AV830=1,ЦТО!AX830=1),"Положительная",IF(OR(ЦТО!AY830=1,ЦТО!AZ830=1,ЦТО!BA830=1),"Отрицательная",IF(OR(ЦТО!AW830=1),"Инфантильная")))</f>
        <v>0</v>
      </c>
    </row>
    <row r="927" spans="1:9">
      <c r="A927" s="62">
        <f>ЦТО!A831</f>
        <v>0</v>
      </c>
      <c r="B927" s="62">
        <f>ЦТО!B831</f>
        <v>0</v>
      </c>
      <c r="C927" s="67">
        <f>ЦТО!C831</f>
        <v>0</v>
      </c>
      <c r="D927" s="63">
        <f>ЦТО!D831</f>
        <v>0</v>
      </c>
      <c r="E927" s="68">
        <f>SUM(ЦТО!BB831:BI831)</f>
        <v>0</v>
      </c>
      <c r="F927" s="64" t="str">
        <f>IF(E927&lt;10,'вспомогательные данные'!$C$26,IF(E927&lt;19,'вспомогательные данные'!$C$25,'вспомогательные данные'!$C$24))</f>
        <v>положительный</v>
      </c>
      <c r="G927" s="65">
        <f>(18-ЦТО!AM831-ЦТО!AL831)/(18-ЦТО!AL831-ЦТО!AP831)</f>
        <v>1</v>
      </c>
      <c r="H927" s="66" t="str">
        <f>IF(G927&lt;0.51,'вспомогательные данные'!$C$19,IF(G927&lt;0.92,'вспомогательные данные'!$C$20, IF(G927&lt;2,'вспомогательные данные'!$C$21,'вспомогательные данные'!$C$22)))</f>
        <v>оптимальная работоспособность</v>
      </c>
      <c r="I927" s="61" t="b">
        <f>IF(OR(ЦТО!AT831=1,ЦТО!AU831=1,ЦТО!AV831=1,ЦТО!AX831=1),"Положительная",IF(OR(ЦТО!AY831=1,ЦТО!AZ831=1,ЦТО!BA831=1),"Отрицательная",IF(OR(ЦТО!AW831=1),"Инфантильная")))</f>
        <v>0</v>
      </c>
    </row>
    <row r="928" spans="1:9">
      <c r="A928" s="62">
        <f>ЦТО!A832</f>
        <v>0</v>
      </c>
      <c r="B928" s="62">
        <f>ЦТО!B832</f>
        <v>0</v>
      </c>
      <c r="C928" s="67">
        <f>ЦТО!C832</f>
        <v>0</v>
      </c>
      <c r="D928" s="63">
        <f>ЦТО!D832</f>
        <v>0</v>
      </c>
      <c r="E928" s="68">
        <f>SUM(ЦТО!BB832:BI832)</f>
        <v>0</v>
      </c>
      <c r="F928" s="64" t="str">
        <f>IF(E928&lt;10,'вспомогательные данные'!$C$26,IF(E928&lt;19,'вспомогательные данные'!$C$25,'вспомогательные данные'!$C$24))</f>
        <v>положительный</v>
      </c>
      <c r="G928" s="65">
        <f>(18-ЦТО!AM832-ЦТО!AL832)/(18-ЦТО!AL832-ЦТО!AP832)</f>
        <v>1</v>
      </c>
      <c r="H928" s="66" t="str">
        <f>IF(G928&lt;0.51,'вспомогательные данные'!$C$19,IF(G928&lt;0.92,'вспомогательные данные'!$C$20, IF(G928&lt;2,'вспомогательные данные'!$C$21,'вспомогательные данные'!$C$22)))</f>
        <v>оптимальная работоспособность</v>
      </c>
      <c r="I928" s="61" t="b">
        <f>IF(OR(ЦТО!AT832=1,ЦТО!AU832=1,ЦТО!AV832=1,ЦТО!AX832=1),"Положительная",IF(OR(ЦТО!AY832=1,ЦТО!AZ832=1,ЦТО!BA832=1),"Отрицательная",IF(OR(ЦТО!AW832=1),"Инфантильная")))</f>
        <v>0</v>
      </c>
    </row>
    <row r="929" spans="1:9">
      <c r="A929" s="62">
        <f>ЦТО!A833</f>
        <v>0</v>
      </c>
      <c r="B929" s="62">
        <f>ЦТО!B833</f>
        <v>0</v>
      </c>
      <c r="C929" s="67">
        <f>ЦТО!C833</f>
        <v>0</v>
      </c>
      <c r="D929" s="63">
        <f>ЦТО!D833</f>
        <v>0</v>
      </c>
      <c r="E929" s="68">
        <f>SUM(ЦТО!BB833:BI833)</f>
        <v>0</v>
      </c>
      <c r="F929" s="64" t="str">
        <f>IF(E929&lt;10,'вспомогательные данные'!$C$26,IF(E929&lt;19,'вспомогательные данные'!$C$25,'вспомогательные данные'!$C$24))</f>
        <v>положительный</v>
      </c>
      <c r="G929" s="65">
        <f>(18-ЦТО!AM833-ЦТО!AL833)/(18-ЦТО!AL833-ЦТО!AP833)</f>
        <v>1</v>
      </c>
      <c r="H929" s="66" t="str">
        <f>IF(G929&lt;0.51,'вспомогательные данные'!$C$19,IF(G929&lt;0.92,'вспомогательные данные'!$C$20, IF(G929&lt;2,'вспомогательные данные'!$C$21,'вспомогательные данные'!$C$22)))</f>
        <v>оптимальная работоспособность</v>
      </c>
      <c r="I929" s="61" t="b">
        <f>IF(OR(ЦТО!AT833=1,ЦТО!AU833=1,ЦТО!AV833=1,ЦТО!AX833=1),"Положительная",IF(OR(ЦТО!AY833=1,ЦТО!AZ833=1,ЦТО!BA833=1),"Отрицательная",IF(OR(ЦТО!AW833=1),"Инфантильная")))</f>
        <v>0</v>
      </c>
    </row>
    <row r="930" spans="1:9">
      <c r="A930" s="62">
        <f>ЦТО!A834</f>
        <v>0</v>
      </c>
      <c r="B930" s="62">
        <f>ЦТО!B834</f>
        <v>0</v>
      </c>
      <c r="C930" s="67">
        <f>ЦТО!C834</f>
        <v>0</v>
      </c>
      <c r="D930" s="63">
        <f>ЦТО!D834</f>
        <v>0</v>
      </c>
      <c r="E930" s="68">
        <f>SUM(ЦТО!BB834:BI834)</f>
        <v>0</v>
      </c>
      <c r="F930" s="64" t="str">
        <f>IF(E930&lt;10,'вспомогательные данные'!$C$26,IF(E930&lt;19,'вспомогательные данные'!$C$25,'вспомогательные данные'!$C$24))</f>
        <v>положительный</v>
      </c>
      <c r="G930" s="65">
        <f>(18-ЦТО!AM834-ЦТО!AL834)/(18-ЦТО!AL834-ЦТО!AP834)</f>
        <v>1</v>
      </c>
      <c r="H930" s="66" t="str">
        <f>IF(G930&lt;0.51,'вспомогательные данные'!$C$19,IF(G930&lt;0.92,'вспомогательные данные'!$C$20, IF(G930&lt;2,'вспомогательные данные'!$C$21,'вспомогательные данные'!$C$22)))</f>
        <v>оптимальная работоспособность</v>
      </c>
      <c r="I930" s="61" t="b">
        <f>IF(OR(ЦТО!AT834=1,ЦТО!AU834=1,ЦТО!AV834=1,ЦТО!AX834=1),"Положительная",IF(OR(ЦТО!AY834=1,ЦТО!AZ834=1,ЦТО!BA834=1),"Отрицательная",IF(OR(ЦТО!AW834=1),"Инфантильная")))</f>
        <v>0</v>
      </c>
    </row>
    <row r="931" spans="1:9">
      <c r="A931" s="62">
        <f>ЦТО!A835</f>
        <v>0</v>
      </c>
      <c r="B931" s="62">
        <f>ЦТО!B835</f>
        <v>0</v>
      </c>
      <c r="C931" s="67">
        <f>ЦТО!C835</f>
        <v>0</v>
      </c>
      <c r="D931" s="63">
        <f>ЦТО!D835</f>
        <v>0</v>
      </c>
      <c r="E931" s="68">
        <f>SUM(ЦТО!BB835:BI835)</f>
        <v>0</v>
      </c>
      <c r="F931" s="64" t="str">
        <f>IF(E931&lt;10,'вспомогательные данные'!$C$26,IF(E931&lt;19,'вспомогательные данные'!$C$25,'вспомогательные данные'!$C$24))</f>
        <v>положительный</v>
      </c>
      <c r="G931" s="65">
        <f>(18-ЦТО!AM835-ЦТО!AL835)/(18-ЦТО!AL835-ЦТО!AP835)</f>
        <v>1</v>
      </c>
      <c r="H931" s="66" t="str">
        <f>IF(G931&lt;0.51,'вспомогательные данные'!$C$19,IF(G931&lt;0.92,'вспомогательные данные'!$C$20, IF(G931&lt;2,'вспомогательные данные'!$C$21,'вспомогательные данные'!$C$22)))</f>
        <v>оптимальная работоспособность</v>
      </c>
      <c r="I931" s="61" t="b">
        <f>IF(OR(ЦТО!AT835=1,ЦТО!AU835=1,ЦТО!AV835=1,ЦТО!AX835=1),"Положительная",IF(OR(ЦТО!AY835=1,ЦТО!AZ835=1,ЦТО!BA835=1),"Отрицательная",IF(OR(ЦТО!AW835=1),"Инфантильная")))</f>
        <v>0</v>
      </c>
    </row>
    <row r="932" spans="1:9">
      <c r="A932" s="62">
        <f>ЦТО!A836</f>
        <v>0</v>
      </c>
      <c r="B932" s="62">
        <f>ЦТО!B836</f>
        <v>0</v>
      </c>
      <c r="C932" s="67">
        <f>ЦТО!C836</f>
        <v>0</v>
      </c>
      <c r="D932" s="63">
        <f>ЦТО!D836</f>
        <v>0</v>
      </c>
      <c r="E932" s="68">
        <f>SUM(ЦТО!BB836:BI836)</f>
        <v>0</v>
      </c>
      <c r="F932" s="64" t="str">
        <f>IF(E932&lt;10,'вспомогательные данные'!$C$26,IF(E932&lt;19,'вспомогательные данные'!$C$25,'вспомогательные данные'!$C$24))</f>
        <v>положительный</v>
      </c>
      <c r="G932" s="65">
        <f>(18-ЦТО!AM836-ЦТО!AL836)/(18-ЦТО!AL836-ЦТО!AP836)</f>
        <v>1</v>
      </c>
      <c r="H932" s="66" t="str">
        <f>IF(G932&lt;0.51,'вспомогательные данные'!$C$19,IF(G932&lt;0.92,'вспомогательные данные'!$C$20, IF(G932&lt;2,'вспомогательные данные'!$C$21,'вспомогательные данные'!$C$22)))</f>
        <v>оптимальная работоспособность</v>
      </c>
      <c r="I932" s="61" t="b">
        <f>IF(OR(ЦТО!AT836=1,ЦТО!AU836=1,ЦТО!AV836=1,ЦТО!AX836=1),"Положительная",IF(OR(ЦТО!AY836=1,ЦТО!AZ836=1,ЦТО!BA836=1),"Отрицательная",IF(OR(ЦТО!AW836=1),"Инфантильная")))</f>
        <v>0</v>
      </c>
    </row>
    <row r="933" spans="1:9">
      <c r="A933" s="62">
        <f>ЦТО!A837</f>
        <v>0</v>
      </c>
      <c r="B933" s="62">
        <f>ЦТО!B837</f>
        <v>0</v>
      </c>
      <c r="C933" s="67">
        <f>ЦТО!C837</f>
        <v>0</v>
      </c>
      <c r="D933" s="63">
        <f>ЦТО!D837</f>
        <v>0</v>
      </c>
      <c r="E933" s="68">
        <f>SUM(ЦТО!BB837:BI837)</f>
        <v>0</v>
      </c>
      <c r="F933" s="64" t="str">
        <f>IF(E933&lt;10,'вспомогательные данные'!$C$26,IF(E933&lt;19,'вспомогательные данные'!$C$25,'вспомогательные данные'!$C$24))</f>
        <v>положительный</v>
      </c>
      <c r="G933" s="65">
        <f>(18-ЦТО!AM837-ЦТО!AL837)/(18-ЦТО!AL837-ЦТО!AP837)</f>
        <v>1</v>
      </c>
      <c r="H933" s="66" t="str">
        <f>IF(G933&lt;0.51,'вспомогательные данные'!$C$19,IF(G933&lt;0.92,'вспомогательные данные'!$C$20, IF(G933&lt;2,'вспомогательные данные'!$C$21,'вспомогательные данные'!$C$22)))</f>
        <v>оптимальная работоспособность</v>
      </c>
      <c r="I933" s="61" t="b">
        <f>IF(OR(ЦТО!AT837=1,ЦТО!AU837=1,ЦТО!AV837=1,ЦТО!AX837=1),"Положительная",IF(OR(ЦТО!AY837=1,ЦТО!AZ837=1,ЦТО!BA837=1),"Отрицательная",IF(OR(ЦТО!AW837=1),"Инфантильная")))</f>
        <v>0</v>
      </c>
    </row>
    <row r="934" spans="1:9">
      <c r="A934" s="62">
        <f>ЦТО!A838</f>
        <v>0</v>
      </c>
      <c r="B934" s="62">
        <f>ЦТО!B838</f>
        <v>0</v>
      </c>
      <c r="C934" s="67">
        <f>ЦТО!C838</f>
        <v>0</v>
      </c>
      <c r="D934" s="63">
        <f>ЦТО!D838</f>
        <v>0</v>
      </c>
      <c r="E934" s="68">
        <f>SUM(ЦТО!BB838:BI838)</f>
        <v>0</v>
      </c>
      <c r="F934" s="64" t="str">
        <f>IF(E934&lt;10,'вспомогательные данные'!$C$26,IF(E934&lt;19,'вспомогательные данные'!$C$25,'вспомогательные данные'!$C$24))</f>
        <v>положительный</v>
      </c>
      <c r="G934" s="65">
        <f>(18-ЦТО!AM838-ЦТО!AL838)/(18-ЦТО!AL838-ЦТО!AP838)</f>
        <v>1</v>
      </c>
      <c r="H934" s="66" t="str">
        <f>IF(G934&lt;0.51,'вспомогательные данные'!$C$19,IF(G934&lt;0.92,'вспомогательные данные'!$C$20, IF(G934&lt;2,'вспомогательные данные'!$C$21,'вспомогательные данные'!$C$22)))</f>
        <v>оптимальная работоспособность</v>
      </c>
      <c r="I934" s="61" t="b">
        <f>IF(OR(ЦТО!AT838=1,ЦТО!AU838=1,ЦТО!AV838=1,ЦТО!AX838=1),"Положительная",IF(OR(ЦТО!AY838=1,ЦТО!AZ838=1,ЦТО!BA838=1),"Отрицательная",IF(OR(ЦТО!AW838=1),"Инфантильная")))</f>
        <v>0</v>
      </c>
    </row>
    <row r="935" spans="1:9">
      <c r="A935" s="62">
        <f>ЦТО!A839</f>
        <v>0</v>
      </c>
      <c r="B935" s="62">
        <f>ЦТО!B839</f>
        <v>0</v>
      </c>
      <c r="C935" s="67">
        <f>ЦТО!C839</f>
        <v>0</v>
      </c>
      <c r="D935" s="63">
        <f>ЦТО!D839</f>
        <v>0</v>
      </c>
      <c r="E935" s="68">
        <f>SUM(ЦТО!BB839:BI839)</f>
        <v>0</v>
      </c>
      <c r="F935" s="64" t="str">
        <f>IF(E935&lt;10,'вспомогательные данные'!$C$26,IF(E935&lt;19,'вспомогательные данные'!$C$25,'вспомогательные данные'!$C$24))</f>
        <v>положительный</v>
      </c>
      <c r="G935" s="65">
        <f>(18-ЦТО!AM839-ЦТО!AL839)/(18-ЦТО!AL839-ЦТО!AP839)</f>
        <v>1</v>
      </c>
      <c r="H935" s="66" t="str">
        <f>IF(G935&lt;0.51,'вспомогательные данные'!$C$19,IF(G935&lt;0.92,'вспомогательные данные'!$C$20, IF(G935&lt;2,'вспомогательные данные'!$C$21,'вспомогательные данные'!$C$22)))</f>
        <v>оптимальная работоспособность</v>
      </c>
      <c r="I935" s="61" t="b">
        <f>IF(OR(ЦТО!AT839=1,ЦТО!AU839=1,ЦТО!AV839=1,ЦТО!AX839=1),"Положительная",IF(OR(ЦТО!AY839=1,ЦТО!AZ839=1,ЦТО!BA839=1),"Отрицательная",IF(OR(ЦТО!AW839=1),"Инфантильная")))</f>
        <v>0</v>
      </c>
    </row>
    <row r="936" spans="1:9">
      <c r="A936" s="62">
        <f>ЦТО!A840</f>
        <v>0</v>
      </c>
      <c r="B936" s="62">
        <f>ЦТО!B840</f>
        <v>0</v>
      </c>
      <c r="C936" s="67">
        <f>ЦТО!C840</f>
        <v>0</v>
      </c>
      <c r="D936" s="63">
        <f>ЦТО!D840</f>
        <v>0</v>
      </c>
      <c r="E936" s="68">
        <f>SUM(ЦТО!BB840:BI840)</f>
        <v>0</v>
      </c>
      <c r="F936" s="64" t="str">
        <f>IF(E936&lt;10,'вспомогательные данные'!$C$26,IF(E936&lt;19,'вспомогательные данные'!$C$25,'вспомогательные данные'!$C$24))</f>
        <v>положительный</v>
      </c>
      <c r="G936" s="65">
        <f>(18-ЦТО!AM840-ЦТО!AL840)/(18-ЦТО!AL840-ЦТО!AP840)</f>
        <v>1</v>
      </c>
      <c r="H936" s="66" t="str">
        <f>IF(G936&lt;0.51,'вспомогательные данные'!$C$19,IF(G936&lt;0.92,'вспомогательные данные'!$C$20, IF(G936&lt;2,'вспомогательные данные'!$C$21,'вспомогательные данные'!$C$22)))</f>
        <v>оптимальная работоспособность</v>
      </c>
      <c r="I936" s="61" t="b">
        <f>IF(OR(ЦТО!AT840=1,ЦТО!AU840=1,ЦТО!AV840=1,ЦТО!AX840=1),"Положительная",IF(OR(ЦТО!AY840=1,ЦТО!AZ840=1,ЦТО!BA840=1),"Отрицательная",IF(OR(ЦТО!AW840=1),"Инфантильная")))</f>
        <v>0</v>
      </c>
    </row>
    <row r="937" spans="1:9">
      <c r="A937" s="62">
        <f>ЦТО!A841</f>
        <v>0</v>
      </c>
      <c r="B937" s="62">
        <f>ЦТО!B841</f>
        <v>0</v>
      </c>
      <c r="C937" s="67">
        <f>ЦТО!C841</f>
        <v>0</v>
      </c>
      <c r="D937" s="63">
        <f>ЦТО!D841</f>
        <v>0</v>
      </c>
      <c r="E937" s="68">
        <f>SUM(ЦТО!BB841:BI841)</f>
        <v>0</v>
      </c>
      <c r="F937" s="64" t="str">
        <f>IF(E937&lt;10,'вспомогательные данные'!$C$26,IF(E937&lt;19,'вспомогательные данные'!$C$25,'вспомогательные данные'!$C$24))</f>
        <v>положительный</v>
      </c>
      <c r="G937" s="65">
        <f>(18-ЦТО!AM841-ЦТО!AL841)/(18-ЦТО!AL841-ЦТО!AP841)</f>
        <v>1</v>
      </c>
      <c r="H937" s="66" t="str">
        <f>IF(G937&lt;0.51,'вспомогательные данные'!$C$19,IF(G937&lt;0.92,'вспомогательные данные'!$C$20, IF(G937&lt;2,'вспомогательные данные'!$C$21,'вспомогательные данные'!$C$22)))</f>
        <v>оптимальная работоспособность</v>
      </c>
      <c r="I937" s="61" t="b">
        <f>IF(OR(ЦТО!AT841=1,ЦТО!AU841=1,ЦТО!AV841=1,ЦТО!AX841=1),"Положительная",IF(OR(ЦТО!AY841=1,ЦТО!AZ841=1,ЦТО!BA841=1),"Отрицательная",IF(OR(ЦТО!AW841=1),"Инфантильная")))</f>
        <v>0</v>
      </c>
    </row>
    <row r="938" spans="1:9">
      <c r="A938" s="62">
        <f>ЦТО!A842</f>
        <v>0</v>
      </c>
      <c r="B938" s="62">
        <f>ЦТО!B842</f>
        <v>0</v>
      </c>
      <c r="C938" s="67">
        <f>ЦТО!C842</f>
        <v>0</v>
      </c>
      <c r="D938" s="63">
        <f>ЦТО!D842</f>
        <v>0</v>
      </c>
      <c r="E938" s="68">
        <f>SUM(ЦТО!BB842:BI842)</f>
        <v>0</v>
      </c>
      <c r="F938" s="64" t="str">
        <f>IF(E938&lt;10,'вспомогательные данные'!$C$26,IF(E938&lt;19,'вспомогательные данные'!$C$25,'вспомогательные данные'!$C$24))</f>
        <v>положительный</v>
      </c>
      <c r="G938" s="65">
        <f>(18-ЦТО!AM842-ЦТО!AL842)/(18-ЦТО!AL842-ЦТО!AP842)</f>
        <v>1</v>
      </c>
      <c r="H938" s="66" t="str">
        <f>IF(G938&lt;0.51,'вспомогательные данные'!$C$19,IF(G938&lt;0.92,'вспомогательные данные'!$C$20, IF(G938&lt;2,'вспомогательные данные'!$C$21,'вспомогательные данные'!$C$22)))</f>
        <v>оптимальная работоспособность</v>
      </c>
      <c r="I938" s="61" t="b">
        <f>IF(OR(ЦТО!AT842=1,ЦТО!AU842=1,ЦТО!AV842=1,ЦТО!AX842=1),"Положительная",IF(OR(ЦТО!AY842=1,ЦТО!AZ842=1,ЦТО!BA842=1),"Отрицательная",IF(OR(ЦТО!AW842=1),"Инфантильная")))</f>
        <v>0</v>
      </c>
    </row>
    <row r="939" spans="1:9">
      <c r="A939" s="62">
        <f>ЦТО!A843</f>
        <v>0</v>
      </c>
      <c r="B939" s="62">
        <f>ЦТО!B843</f>
        <v>0</v>
      </c>
      <c r="C939" s="67">
        <f>ЦТО!C843</f>
        <v>0</v>
      </c>
      <c r="D939" s="63">
        <f>ЦТО!D843</f>
        <v>0</v>
      </c>
      <c r="E939" s="68">
        <f>SUM(ЦТО!BB843:BI843)</f>
        <v>0</v>
      </c>
      <c r="F939" s="64" t="str">
        <f>IF(E939&lt;10,'вспомогательные данные'!$C$26,IF(E939&lt;19,'вспомогательные данные'!$C$25,'вспомогательные данные'!$C$24))</f>
        <v>положительный</v>
      </c>
      <c r="G939" s="65">
        <f>(18-ЦТО!AM843-ЦТО!AL843)/(18-ЦТО!AL843-ЦТО!AP843)</f>
        <v>1</v>
      </c>
      <c r="H939" s="66" t="str">
        <f>IF(G939&lt;0.51,'вспомогательные данные'!$C$19,IF(G939&lt;0.92,'вспомогательные данные'!$C$20, IF(G939&lt;2,'вспомогательные данные'!$C$21,'вспомогательные данные'!$C$22)))</f>
        <v>оптимальная работоспособность</v>
      </c>
      <c r="I939" s="61" t="b">
        <f>IF(OR(ЦТО!AT843=1,ЦТО!AU843=1,ЦТО!AV843=1,ЦТО!AX843=1),"Положительная",IF(OR(ЦТО!AY843=1,ЦТО!AZ843=1,ЦТО!BA843=1),"Отрицательная",IF(OR(ЦТО!AW843=1),"Инфантильная")))</f>
        <v>0</v>
      </c>
    </row>
    <row r="940" spans="1:9">
      <c r="A940" s="62">
        <f>ЦТО!A844</f>
        <v>0</v>
      </c>
      <c r="B940" s="62">
        <f>ЦТО!B844</f>
        <v>0</v>
      </c>
      <c r="C940" s="67">
        <f>ЦТО!C844</f>
        <v>0</v>
      </c>
      <c r="D940" s="63">
        <f>ЦТО!D844</f>
        <v>0</v>
      </c>
      <c r="E940" s="68">
        <f>SUM(ЦТО!BB844:BI844)</f>
        <v>0</v>
      </c>
      <c r="F940" s="64" t="str">
        <f>IF(E940&lt;10,'вспомогательные данные'!$C$26,IF(E940&lt;19,'вспомогательные данные'!$C$25,'вспомогательные данные'!$C$24))</f>
        <v>положительный</v>
      </c>
      <c r="G940" s="65">
        <f>(18-ЦТО!AM844-ЦТО!AL844)/(18-ЦТО!AL844-ЦТО!AP844)</f>
        <v>1</v>
      </c>
      <c r="H940" s="66" t="str">
        <f>IF(G940&lt;0.51,'вспомогательные данные'!$C$19,IF(G940&lt;0.92,'вспомогательные данные'!$C$20, IF(G940&lt;2,'вспомогательные данные'!$C$21,'вспомогательные данные'!$C$22)))</f>
        <v>оптимальная работоспособность</v>
      </c>
      <c r="I940" s="61" t="b">
        <f>IF(OR(ЦТО!AT844=1,ЦТО!AU844=1,ЦТО!AV844=1,ЦТО!AX844=1),"Положительная",IF(OR(ЦТО!AY844=1,ЦТО!AZ844=1,ЦТО!BA844=1),"Отрицательная",IF(OR(ЦТО!AW844=1),"Инфантильная")))</f>
        <v>0</v>
      </c>
    </row>
    <row r="941" spans="1:9">
      <c r="A941" s="62">
        <f>ЦТО!A845</f>
        <v>0</v>
      </c>
      <c r="B941" s="62">
        <f>ЦТО!B845</f>
        <v>0</v>
      </c>
      <c r="C941" s="67">
        <f>ЦТО!C845</f>
        <v>0</v>
      </c>
      <c r="D941" s="63">
        <f>ЦТО!D845</f>
        <v>0</v>
      </c>
      <c r="E941" s="68">
        <f>SUM(ЦТО!BB845:BI845)</f>
        <v>0</v>
      </c>
      <c r="F941" s="64" t="str">
        <f>IF(E941&lt;10,'вспомогательные данные'!$C$26,IF(E941&lt;19,'вспомогательные данные'!$C$25,'вспомогательные данные'!$C$24))</f>
        <v>положительный</v>
      </c>
      <c r="G941" s="65">
        <f>(18-ЦТО!AM845-ЦТО!AL845)/(18-ЦТО!AL845-ЦТО!AP845)</f>
        <v>1</v>
      </c>
      <c r="H941" s="66" t="str">
        <f>IF(G941&lt;0.51,'вспомогательные данные'!$C$19,IF(G941&lt;0.92,'вспомогательные данные'!$C$20, IF(G941&lt;2,'вспомогательные данные'!$C$21,'вспомогательные данные'!$C$22)))</f>
        <v>оптимальная работоспособность</v>
      </c>
      <c r="I941" s="61" t="b">
        <f>IF(OR(ЦТО!AT845=1,ЦТО!AU845=1,ЦТО!AV845=1,ЦТО!AX845=1),"Положительная",IF(OR(ЦТО!AY845=1,ЦТО!AZ845=1,ЦТО!BA845=1),"Отрицательная",IF(OR(ЦТО!AW845=1),"Инфантильная")))</f>
        <v>0</v>
      </c>
    </row>
    <row r="942" spans="1:9">
      <c r="A942" s="62">
        <f>ЦТО!A846</f>
        <v>0</v>
      </c>
      <c r="B942" s="62">
        <f>ЦТО!B846</f>
        <v>0</v>
      </c>
      <c r="C942" s="67">
        <f>ЦТО!C846</f>
        <v>0</v>
      </c>
      <c r="D942" s="63">
        <f>ЦТО!D846</f>
        <v>0</v>
      </c>
      <c r="E942" s="68">
        <f>SUM(ЦТО!BB846:BI846)</f>
        <v>0</v>
      </c>
      <c r="F942" s="64" t="str">
        <f>IF(E942&lt;10,'вспомогательные данные'!$C$26,IF(E942&lt;19,'вспомогательные данные'!$C$25,'вспомогательные данные'!$C$24))</f>
        <v>положительный</v>
      </c>
      <c r="G942" s="65">
        <f>(18-ЦТО!AM846-ЦТО!AL846)/(18-ЦТО!AL846-ЦТО!AP846)</f>
        <v>1</v>
      </c>
      <c r="H942" s="66" t="str">
        <f>IF(G942&lt;0.51,'вспомогательные данные'!$C$19,IF(G942&lt;0.92,'вспомогательные данные'!$C$20, IF(G942&lt;2,'вспомогательные данные'!$C$21,'вспомогательные данные'!$C$22)))</f>
        <v>оптимальная работоспособность</v>
      </c>
      <c r="I942" s="61" t="b">
        <f>IF(OR(ЦТО!AT846=1,ЦТО!AU846=1,ЦТО!AV846=1,ЦТО!AX846=1),"Положительная",IF(OR(ЦТО!AY846=1,ЦТО!AZ846=1,ЦТО!BA846=1),"Отрицательная",IF(OR(ЦТО!AW846=1),"Инфантильная")))</f>
        <v>0</v>
      </c>
    </row>
    <row r="943" spans="1:9">
      <c r="A943" s="62">
        <f>ЦТО!A847</f>
        <v>0</v>
      </c>
      <c r="B943" s="62">
        <f>ЦТО!B847</f>
        <v>0</v>
      </c>
      <c r="C943" s="67">
        <f>ЦТО!C847</f>
        <v>0</v>
      </c>
      <c r="D943" s="63">
        <f>ЦТО!D847</f>
        <v>0</v>
      </c>
      <c r="E943" s="68">
        <f>SUM(ЦТО!BB847:BI847)</f>
        <v>0</v>
      </c>
      <c r="F943" s="64" t="str">
        <f>IF(E943&lt;10,'вспомогательные данные'!$C$26,IF(E943&lt;19,'вспомогательные данные'!$C$25,'вспомогательные данные'!$C$24))</f>
        <v>положительный</v>
      </c>
      <c r="G943" s="65">
        <f>(18-ЦТО!AM847-ЦТО!AL847)/(18-ЦТО!AL847-ЦТО!AP847)</f>
        <v>1</v>
      </c>
      <c r="H943" s="66" t="str">
        <f>IF(G943&lt;0.51,'вспомогательные данные'!$C$19,IF(G943&lt;0.92,'вспомогательные данные'!$C$20, IF(G943&lt;2,'вспомогательные данные'!$C$21,'вспомогательные данные'!$C$22)))</f>
        <v>оптимальная работоспособность</v>
      </c>
      <c r="I943" s="61" t="b">
        <f>IF(OR(ЦТО!AT847=1,ЦТО!AU847=1,ЦТО!AV847=1,ЦТО!AX847=1),"Положительная",IF(OR(ЦТО!AY847=1,ЦТО!AZ847=1,ЦТО!BA847=1),"Отрицательная",IF(OR(ЦТО!AW847=1),"Инфантильная")))</f>
        <v>0</v>
      </c>
    </row>
    <row r="944" spans="1:9">
      <c r="A944" s="62">
        <f>ЦТО!A848</f>
        <v>0</v>
      </c>
      <c r="B944" s="62">
        <f>ЦТО!B848</f>
        <v>0</v>
      </c>
      <c r="C944" s="67">
        <f>ЦТО!C848</f>
        <v>0</v>
      </c>
      <c r="D944" s="63">
        <f>ЦТО!D848</f>
        <v>0</v>
      </c>
      <c r="E944" s="68">
        <f>SUM(ЦТО!BB848:BI848)</f>
        <v>0</v>
      </c>
      <c r="F944" s="64" t="str">
        <f>IF(E944&lt;10,'вспомогательные данные'!$C$26,IF(E944&lt;19,'вспомогательные данные'!$C$25,'вспомогательные данные'!$C$24))</f>
        <v>положительный</v>
      </c>
      <c r="G944" s="65">
        <f>(18-ЦТО!AM848-ЦТО!AL848)/(18-ЦТО!AL848-ЦТО!AP848)</f>
        <v>1</v>
      </c>
      <c r="H944" s="66" t="str">
        <f>IF(G944&lt;0.51,'вспомогательные данные'!$C$19,IF(G944&lt;0.92,'вспомогательные данные'!$C$20, IF(G944&lt;2,'вспомогательные данные'!$C$21,'вспомогательные данные'!$C$22)))</f>
        <v>оптимальная работоспособность</v>
      </c>
      <c r="I944" s="61" t="b">
        <f>IF(OR(ЦТО!AT848=1,ЦТО!AU848=1,ЦТО!AV848=1,ЦТО!AX848=1),"Положительная",IF(OR(ЦТО!AY848=1,ЦТО!AZ848=1,ЦТО!BA848=1),"Отрицательная",IF(OR(ЦТО!AW848=1),"Инфантильная")))</f>
        <v>0</v>
      </c>
    </row>
    <row r="945" spans="1:9">
      <c r="A945" s="62">
        <f>ЦТО!A849</f>
        <v>0</v>
      </c>
      <c r="B945" s="62">
        <f>ЦТО!B849</f>
        <v>0</v>
      </c>
      <c r="C945" s="67">
        <f>ЦТО!C849</f>
        <v>0</v>
      </c>
      <c r="D945" s="63">
        <f>ЦТО!D849</f>
        <v>0</v>
      </c>
      <c r="E945" s="68">
        <f>SUM(ЦТО!BB849:BI849)</f>
        <v>0</v>
      </c>
      <c r="F945" s="64" t="str">
        <f>IF(E945&lt;10,'вспомогательные данные'!$C$26,IF(E945&lt;19,'вспомогательные данные'!$C$25,'вспомогательные данные'!$C$24))</f>
        <v>положительный</v>
      </c>
      <c r="G945" s="65">
        <f>(18-ЦТО!AM849-ЦТО!AL849)/(18-ЦТО!AL849-ЦТО!AP849)</f>
        <v>1</v>
      </c>
      <c r="H945" s="66" t="str">
        <f>IF(G945&lt;0.51,'вспомогательные данные'!$C$19,IF(G945&lt;0.92,'вспомогательные данные'!$C$20, IF(G945&lt;2,'вспомогательные данные'!$C$21,'вспомогательные данные'!$C$22)))</f>
        <v>оптимальная работоспособность</v>
      </c>
      <c r="I945" s="61" t="b">
        <f>IF(OR(ЦТО!AT849=1,ЦТО!AU849=1,ЦТО!AV849=1,ЦТО!AX849=1),"Положительная",IF(OR(ЦТО!AY849=1,ЦТО!AZ849=1,ЦТО!BA849=1),"Отрицательная",IF(OR(ЦТО!AW849=1),"Инфантильная")))</f>
        <v>0</v>
      </c>
    </row>
    <row r="946" spans="1:9">
      <c r="A946" s="62">
        <f>ЦТО!A850</f>
        <v>0</v>
      </c>
      <c r="B946" s="62">
        <f>ЦТО!B850</f>
        <v>0</v>
      </c>
      <c r="C946" s="67">
        <f>ЦТО!C850</f>
        <v>0</v>
      </c>
      <c r="D946" s="63">
        <f>ЦТО!D850</f>
        <v>0</v>
      </c>
      <c r="E946" s="68">
        <f>SUM(ЦТО!BB850:BI850)</f>
        <v>0</v>
      </c>
      <c r="F946" s="64" t="str">
        <f>IF(E946&lt;10,'вспомогательные данные'!$C$26,IF(E946&lt;19,'вспомогательные данные'!$C$25,'вспомогательные данные'!$C$24))</f>
        <v>положительный</v>
      </c>
      <c r="G946" s="65">
        <f>(18-ЦТО!AM850-ЦТО!AL850)/(18-ЦТО!AL850-ЦТО!AP850)</f>
        <v>1</v>
      </c>
      <c r="H946" s="66" t="str">
        <f>IF(G946&lt;0.51,'вспомогательные данные'!$C$19,IF(G946&lt;0.92,'вспомогательные данные'!$C$20, IF(G946&lt;2,'вспомогательные данные'!$C$21,'вспомогательные данные'!$C$22)))</f>
        <v>оптимальная работоспособность</v>
      </c>
      <c r="I946" s="61" t="b">
        <f>IF(OR(ЦТО!AT850=1,ЦТО!AU850=1,ЦТО!AV850=1,ЦТО!AX850=1),"Положительная",IF(OR(ЦТО!AY850=1,ЦТО!AZ850=1,ЦТО!BA850=1),"Отрицательная",IF(OR(ЦТО!AW850=1),"Инфантильная")))</f>
        <v>0</v>
      </c>
    </row>
    <row r="947" spans="1:9">
      <c r="A947" s="62">
        <f>ЦТО!A851</f>
        <v>0</v>
      </c>
      <c r="B947" s="62">
        <f>ЦТО!B851</f>
        <v>0</v>
      </c>
      <c r="C947" s="67">
        <f>ЦТО!C851</f>
        <v>0</v>
      </c>
      <c r="D947" s="63">
        <f>ЦТО!D851</f>
        <v>0</v>
      </c>
      <c r="E947" s="68">
        <f>SUM(ЦТО!BB851:BI851)</f>
        <v>0</v>
      </c>
      <c r="F947" s="64" t="str">
        <f>IF(E947&lt;10,'вспомогательные данные'!$C$26,IF(E947&lt;19,'вспомогательные данные'!$C$25,'вспомогательные данные'!$C$24))</f>
        <v>положительный</v>
      </c>
      <c r="G947" s="65">
        <f>(18-ЦТО!AM851-ЦТО!AL851)/(18-ЦТО!AL851-ЦТО!AP851)</f>
        <v>1</v>
      </c>
      <c r="H947" s="66" t="str">
        <f>IF(G947&lt;0.51,'вспомогательные данные'!$C$19,IF(G947&lt;0.92,'вспомогательные данные'!$C$20, IF(G947&lt;2,'вспомогательные данные'!$C$21,'вспомогательные данные'!$C$22)))</f>
        <v>оптимальная работоспособность</v>
      </c>
      <c r="I947" s="61" t="b">
        <f>IF(OR(ЦТО!AT851=1,ЦТО!AU851=1,ЦТО!AV851=1,ЦТО!AX851=1),"Положительная",IF(OR(ЦТО!AY851=1,ЦТО!AZ851=1,ЦТО!BA851=1),"Отрицательная",IF(OR(ЦТО!AW851=1),"Инфантильная")))</f>
        <v>0</v>
      </c>
    </row>
    <row r="948" spans="1:9">
      <c r="A948" s="62">
        <f>ЦТО!A852</f>
        <v>0</v>
      </c>
      <c r="B948" s="62">
        <f>ЦТО!B852</f>
        <v>0</v>
      </c>
      <c r="C948" s="67">
        <f>ЦТО!C852</f>
        <v>0</v>
      </c>
      <c r="D948" s="63">
        <f>ЦТО!D852</f>
        <v>0</v>
      </c>
      <c r="E948" s="68">
        <f>SUM(ЦТО!BB852:BI852)</f>
        <v>0</v>
      </c>
      <c r="F948" s="64" t="str">
        <f>IF(E948&lt;10,'вспомогательные данные'!$C$26,IF(E948&lt;19,'вспомогательные данные'!$C$25,'вспомогательные данные'!$C$24))</f>
        <v>положительный</v>
      </c>
      <c r="G948" s="65">
        <f>(18-ЦТО!AM852-ЦТО!AL852)/(18-ЦТО!AL852-ЦТО!AP852)</f>
        <v>1</v>
      </c>
      <c r="H948" s="66" t="str">
        <f>IF(G948&lt;0.51,'вспомогательные данные'!$C$19,IF(G948&lt;0.92,'вспомогательные данные'!$C$20, IF(G948&lt;2,'вспомогательные данные'!$C$21,'вспомогательные данные'!$C$22)))</f>
        <v>оптимальная работоспособность</v>
      </c>
      <c r="I948" s="61" t="b">
        <f>IF(OR(ЦТО!AT852=1,ЦТО!AU852=1,ЦТО!AV852=1,ЦТО!AX852=1),"Положительная",IF(OR(ЦТО!AY852=1,ЦТО!AZ852=1,ЦТО!BA852=1),"Отрицательная",IF(OR(ЦТО!AW852=1),"Инфантильная")))</f>
        <v>0</v>
      </c>
    </row>
    <row r="949" spans="1:9">
      <c r="A949" s="62">
        <f>ЦТО!A853</f>
        <v>0</v>
      </c>
      <c r="B949" s="62">
        <f>ЦТО!B853</f>
        <v>0</v>
      </c>
      <c r="C949" s="67">
        <f>ЦТО!C853</f>
        <v>0</v>
      </c>
      <c r="D949" s="63">
        <f>ЦТО!D853</f>
        <v>0</v>
      </c>
      <c r="E949" s="68">
        <f>SUM(ЦТО!BB853:BI853)</f>
        <v>0</v>
      </c>
      <c r="F949" s="64" t="str">
        <f>IF(E949&lt;10,'вспомогательные данные'!$C$26,IF(E949&lt;19,'вспомогательные данные'!$C$25,'вспомогательные данные'!$C$24))</f>
        <v>положительный</v>
      </c>
      <c r="G949" s="65">
        <f>(18-ЦТО!AM853-ЦТО!AL853)/(18-ЦТО!AL853-ЦТО!AP853)</f>
        <v>1</v>
      </c>
      <c r="H949" s="66" t="str">
        <f>IF(G949&lt;0.51,'вспомогательные данные'!$C$19,IF(G949&lt;0.92,'вспомогательные данные'!$C$20, IF(G949&lt;2,'вспомогательные данные'!$C$21,'вспомогательные данные'!$C$22)))</f>
        <v>оптимальная работоспособность</v>
      </c>
      <c r="I949" s="61" t="b">
        <f>IF(OR(ЦТО!AT853=1,ЦТО!AU853=1,ЦТО!AV853=1,ЦТО!AX853=1),"Положительная",IF(OR(ЦТО!AY853=1,ЦТО!AZ853=1,ЦТО!BA853=1),"Отрицательная",IF(OR(ЦТО!AW853=1),"Инфантильная")))</f>
        <v>0</v>
      </c>
    </row>
    <row r="950" spans="1:9">
      <c r="A950" s="62">
        <f>ЦТО!A854</f>
        <v>0</v>
      </c>
      <c r="B950" s="62">
        <f>ЦТО!B854</f>
        <v>0</v>
      </c>
      <c r="C950" s="67">
        <f>ЦТО!C854</f>
        <v>0</v>
      </c>
      <c r="D950" s="63">
        <f>ЦТО!D854</f>
        <v>0</v>
      </c>
      <c r="E950" s="68">
        <f>SUM(ЦТО!BB854:BI854)</f>
        <v>0</v>
      </c>
      <c r="F950" s="64" t="str">
        <f>IF(E950&lt;10,'вспомогательные данные'!$C$26,IF(E950&lt;19,'вспомогательные данные'!$C$25,'вспомогательные данные'!$C$24))</f>
        <v>положительный</v>
      </c>
      <c r="G950" s="65">
        <f>(18-ЦТО!AM854-ЦТО!AL854)/(18-ЦТО!AL854-ЦТО!AP854)</f>
        <v>1</v>
      </c>
      <c r="H950" s="66" t="str">
        <f>IF(G950&lt;0.51,'вспомогательные данные'!$C$19,IF(G950&lt;0.92,'вспомогательные данные'!$C$20, IF(G950&lt;2,'вспомогательные данные'!$C$21,'вспомогательные данные'!$C$22)))</f>
        <v>оптимальная работоспособность</v>
      </c>
      <c r="I950" s="61" t="b">
        <f>IF(OR(ЦТО!AT854=1,ЦТО!AU854=1,ЦТО!AV854=1,ЦТО!AX854=1),"Положительная",IF(OR(ЦТО!AY854=1,ЦТО!AZ854=1,ЦТО!BA854=1),"Отрицательная",IF(OR(ЦТО!AW854=1),"Инфантильная")))</f>
        <v>0</v>
      </c>
    </row>
    <row r="951" spans="1:9">
      <c r="A951" s="62">
        <f>ЦТО!A855</f>
        <v>0</v>
      </c>
      <c r="B951" s="62">
        <f>ЦТО!B855</f>
        <v>0</v>
      </c>
      <c r="C951" s="67">
        <f>ЦТО!C855</f>
        <v>0</v>
      </c>
      <c r="D951" s="63">
        <f>ЦТО!D855</f>
        <v>0</v>
      </c>
      <c r="E951" s="68">
        <f>SUM(ЦТО!BB855:BI855)</f>
        <v>0</v>
      </c>
      <c r="F951" s="64" t="str">
        <f>IF(E951&lt;10,'вспомогательные данные'!$C$26,IF(E951&lt;19,'вспомогательные данные'!$C$25,'вспомогательные данные'!$C$24))</f>
        <v>положительный</v>
      </c>
      <c r="G951" s="65">
        <f>(18-ЦТО!AM855-ЦТО!AL855)/(18-ЦТО!AL855-ЦТО!AP855)</f>
        <v>1</v>
      </c>
      <c r="H951" s="66" t="str">
        <f>IF(G951&lt;0.51,'вспомогательные данные'!$C$19,IF(G951&lt;0.92,'вспомогательные данные'!$C$20, IF(G951&lt;2,'вспомогательные данные'!$C$21,'вспомогательные данные'!$C$22)))</f>
        <v>оптимальная работоспособность</v>
      </c>
      <c r="I951" s="61" t="b">
        <f>IF(OR(ЦТО!AT855=1,ЦТО!AU855=1,ЦТО!AV855=1,ЦТО!AX855=1),"Положительная",IF(OR(ЦТО!AY855=1,ЦТО!AZ855=1,ЦТО!BA855=1),"Отрицательная",IF(OR(ЦТО!AW855=1),"Инфантильная")))</f>
        <v>0</v>
      </c>
    </row>
    <row r="952" spans="1:9">
      <c r="A952" s="62">
        <f>ЦТО!A856</f>
        <v>0</v>
      </c>
      <c r="B952" s="62">
        <f>ЦТО!B856</f>
        <v>0</v>
      </c>
      <c r="C952" s="67">
        <f>ЦТО!C856</f>
        <v>0</v>
      </c>
      <c r="D952" s="63">
        <f>ЦТО!D856</f>
        <v>0</v>
      </c>
      <c r="E952" s="68">
        <f>SUM(ЦТО!BB856:BI856)</f>
        <v>0</v>
      </c>
      <c r="F952" s="64" t="str">
        <f>IF(E952&lt;10,'вспомогательные данные'!$C$26,IF(E952&lt;19,'вспомогательные данные'!$C$25,'вспомогательные данные'!$C$24))</f>
        <v>положительный</v>
      </c>
      <c r="G952" s="65">
        <f>(18-ЦТО!AM856-ЦТО!AL856)/(18-ЦТО!AL856-ЦТО!AP856)</f>
        <v>1</v>
      </c>
      <c r="H952" s="66" t="str">
        <f>IF(G952&lt;0.51,'вспомогательные данные'!$C$19,IF(G952&lt;0.92,'вспомогательные данные'!$C$20, IF(G952&lt;2,'вспомогательные данные'!$C$21,'вспомогательные данные'!$C$22)))</f>
        <v>оптимальная работоспособность</v>
      </c>
      <c r="I952" s="61" t="b">
        <f>IF(OR(ЦТО!AT856=1,ЦТО!AU856=1,ЦТО!AV856=1,ЦТО!AX856=1),"Положительная",IF(OR(ЦТО!AY856=1,ЦТО!AZ856=1,ЦТО!BA856=1),"Отрицательная",IF(OR(ЦТО!AW856=1),"Инфантильная")))</f>
        <v>0</v>
      </c>
    </row>
    <row r="953" spans="1:9">
      <c r="A953" s="62">
        <f>ЦТО!A857</f>
        <v>0</v>
      </c>
      <c r="B953" s="62">
        <f>ЦТО!B857</f>
        <v>0</v>
      </c>
      <c r="C953" s="67">
        <f>ЦТО!C857</f>
        <v>0</v>
      </c>
      <c r="D953" s="63">
        <f>ЦТО!D857</f>
        <v>0</v>
      </c>
      <c r="E953" s="68">
        <f>SUM(ЦТО!BB857:BI857)</f>
        <v>0</v>
      </c>
      <c r="F953" s="64" t="str">
        <f>IF(E953&lt;10,'вспомогательные данные'!$C$26,IF(E953&lt;19,'вспомогательные данные'!$C$25,'вспомогательные данные'!$C$24))</f>
        <v>положительный</v>
      </c>
      <c r="G953" s="65">
        <f>(18-ЦТО!AM857-ЦТО!AL857)/(18-ЦТО!AL857-ЦТО!AP857)</f>
        <v>1</v>
      </c>
      <c r="H953" s="66" t="str">
        <f>IF(G953&lt;0.51,'вспомогательные данные'!$C$19,IF(G953&lt;0.92,'вспомогательные данные'!$C$20, IF(G953&lt;2,'вспомогательные данные'!$C$21,'вспомогательные данные'!$C$22)))</f>
        <v>оптимальная работоспособность</v>
      </c>
      <c r="I953" s="61" t="b">
        <f>IF(OR(ЦТО!AT857=1,ЦТО!AU857=1,ЦТО!AV857=1,ЦТО!AX857=1),"Положительная",IF(OR(ЦТО!AY857=1,ЦТО!AZ857=1,ЦТО!BA857=1),"Отрицательная",IF(OR(ЦТО!AW857=1),"Инфантильная")))</f>
        <v>0</v>
      </c>
    </row>
    <row r="954" spans="1:9">
      <c r="A954" s="62">
        <f>ЦТО!A858</f>
        <v>0</v>
      </c>
      <c r="B954" s="62">
        <f>ЦТО!B858</f>
        <v>0</v>
      </c>
      <c r="C954" s="67">
        <f>ЦТО!C858</f>
        <v>0</v>
      </c>
      <c r="D954" s="63">
        <f>ЦТО!D858</f>
        <v>0</v>
      </c>
      <c r="E954" s="68">
        <f>SUM(ЦТО!BB858:BI858)</f>
        <v>0</v>
      </c>
      <c r="F954" s="64" t="str">
        <f>IF(E954&lt;10,'вспомогательные данные'!$C$26,IF(E954&lt;19,'вспомогательные данные'!$C$25,'вспомогательные данные'!$C$24))</f>
        <v>положительный</v>
      </c>
      <c r="G954" s="65">
        <f>(18-ЦТО!AM858-ЦТО!AL858)/(18-ЦТО!AL858-ЦТО!AP858)</f>
        <v>1</v>
      </c>
      <c r="H954" s="66" t="str">
        <f>IF(G954&lt;0.51,'вспомогательные данные'!$C$19,IF(G954&lt;0.92,'вспомогательные данные'!$C$20, IF(G954&lt;2,'вспомогательные данные'!$C$21,'вспомогательные данные'!$C$22)))</f>
        <v>оптимальная работоспособность</v>
      </c>
      <c r="I954" s="61" t="b">
        <f>IF(OR(ЦТО!AT858=1,ЦТО!AU858=1,ЦТО!AV858=1,ЦТО!AX858=1),"Положительная",IF(OR(ЦТО!AY858=1,ЦТО!AZ858=1,ЦТО!BA858=1),"Отрицательная",IF(OR(ЦТО!AW858=1),"Инфантильная")))</f>
        <v>0</v>
      </c>
    </row>
    <row r="955" spans="1:9">
      <c r="A955" s="62">
        <f>ЦТО!A859</f>
        <v>0</v>
      </c>
      <c r="B955" s="62">
        <f>ЦТО!B859</f>
        <v>0</v>
      </c>
      <c r="C955" s="67">
        <f>ЦТО!C859</f>
        <v>0</v>
      </c>
      <c r="D955" s="63">
        <f>ЦТО!D859</f>
        <v>0</v>
      </c>
      <c r="E955" s="68">
        <f>SUM(ЦТО!BB859:BI859)</f>
        <v>0</v>
      </c>
      <c r="F955" s="64" t="str">
        <f>IF(E955&lt;10,'вспомогательные данные'!$C$26,IF(E955&lt;19,'вспомогательные данные'!$C$25,'вспомогательные данные'!$C$24))</f>
        <v>положительный</v>
      </c>
      <c r="G955" s="65">
        <f>(18-ЦТО!AM859-ЦТО!AL859)/(18-ЦТО!AL859-ЦТО!AP859)</f>
        <v>1</v>
      </c>
      <c r="H955" s="66" t="str">
        <f>IF(G955&lt;0.51,'вспомогательные данные'!$C$19,IF(G955&lt;0.92,'вспомогательные данные'!$C$20, IF(G955&lt;2,'вспомогательные данные'!$C$21,'вспомогательные данные'!$C$22)))</f>
        <v>оптимальная работоспособность</v>
      </c>
      <c r="I955" s="61" t="b">
        <f>IF(OR(ЦТО!AT859=1,ЦТО!AU859=1,ЦТО!AV859=1,ЦТО!AX859=1),"Положительная",IF(OR(ЦТО!AY859=1,ЦТО!AZ859=1,ЦТО!BA859=1),"Отрицательная",IF(OR(ЦТО!AW859=1),"Инфантильная")))</f>
        <v>0</v>
      </c>
    </row>
    <row r="956" spans="1:9">
      <c r="A956" s="62">
        <f>ЦТО!A860</f>
        <v>0</v>
      </c>
      <c r="B956" s="62">
        <f>ЦТО!B860</f>
        <v>0</v>
      </c>
      <c r="C956" s="67">
        <f>ЦТО!C860</f>
        <v>0</v>
      </c>
      <c r="D956" s="63">
        <f>ЦТО!D860</f>
        <v>0</v>
      </c>
      <c r="E956" s="68">
        <f>SUM(ЦТО!BB860:BI860)</f>
        <v>0</v>
      </c>
      <c r="F956" s="64" t="str">
        <f>IF(E956&lt;10,'вспомогательные данные'!$C$26,IF(E956&lt;19,'вспомогательные данные'!$C$25,'вспомогательные данные'!$C$24))</f>
        <v>положительный</v>
      </c>
      <c r="G956" s="65">
        <f>(18-ЦТО!AM860-ЦТО!AL860)/(18-ЦТО!AL860-ЦТО!AP860)</f>
        <v>1</v>
      </c>
      <c r="H956" s="66" t="str">
        <f>IF(G956&lt;0.51,'вспомогательные данные'!$C$19,IF(G956&lt;0.92,'вспомогательные данные'!$C$20, IF(G956&lt;2,'вспомогательные данные'!$C$21,'вспомогательные данные'!$C$22)))</f>
        <v>оптимальная работоспособность</v>
      </c>
      <c r="I956" s="61" t="b">
        <f>IF(OR(ЦТО!AT860=1,ЦТО!AU860=1,ЦТО!AV860=1,ЦТО!AX860=1),"Положительная",IF(OR(ЦТО!AY860=1,ЦТО!AZ860=1,ЦТО!BA860=1),"Отрицательная",IF(OR(ЦТО!AW860=1),"Инфантильная")))</f>
        <v>0</v>
      </c>
    </row>
    <row r="957" spans="1:9">
      <c r="A957" s="62">
        <f>ЦТО!A861</f>
        <v>0</v>
      </c>
      <c r="B957" s="62">
        <f>ЦТО!B861</f>
        <v>0</v>
      </c>
      <c r="C957" s="67">
        <f>ЦТО!C861</f>
        <v>0</v>
      </c>
      <c r="D957" s="63">
        <f>ЦТО!D861</f>
        <v>0</v>
      </c>
      <c r="E957" s="68">
        <f>SUM(ЦТО!BB861:BI861)</f>
        <v>0</v>
      </c>
      <c r="F957" s="64" t="str">
        <f>IF(E957&lt;10,'вспомогательные данные'!$C$26,IF(E957&lt;19,'вспомогательные данные'!$C$25,'вспомогательные данные'!$C$24))</f>
        <v>положительный</v>
      </c>
      <c r="G957" s="65">
        <f>(18-ЦТО!AM861-ЦТО!AL861)/(18-ЦТО!AL861-ЦТО!AP861)</f>
        <v>1</v>
      </c>
      <c r="H957" s="66" t="str">
        <f>IF(G957&lt;0.51,'вспомогательные данные'!$C$19,IF(G957&lt;0.92,'вспомогательные данные'!$C$20, IF(G957&lt;2,'вспомогательные данные'!$C$21,'вспомогательные данные'!$C$22)))</f>
        <v>оптимальная работоспособность</v>
      </c>
      <c r="I957" s="61" t="b">
        <f>IF(OR(ЦТО!AT861=1,ЦТО!AU861=1,ЦТО!AV861=1,ЦТО!AX861=1),"Положительная",IF(OR(ЦТО!AY861=1,ЦТО!AZ861=1,ЦТО!BA861=1),"Отрицательная",IF(OR(ЦТО!AW861=1),"Инфантильная")))</f>
        <v>0</v>
      </c>
    </row>
    <row r="958" spans="1:9">
      <c r="A958" s="62">
        <f>ЦТО!A862</f>
        <v>0</v>
      </c>
      <c r="B958" s="62">
        <f>ЦТО!B862</f>
        <v>0</v>
      </c>
      <c r="C958" s="67">
        <f>ЦТО!C862</f>
        <v>0</v>
      </c>
      <c r="D958" s="63">
        <f>ЦТО!D862</f>
        <v>0</v>
      </c>
      <c r="E958" s="68">
        <f>SUM(ЦТО!BB862:BI862)</f>
        <v>0</v>
      </c>
      <c r="F958" s="64" t="str">
        <f>IF(E958&lt;10,'вспомогательные данные'!$C$26,IF(E958&lt;19,'вспомогательные данные'!$C$25,'вспомогательные данные'!$C$24))</f>
        <v>положительный</v>
      </c>
      <c r="G958" s="65">
        <f>(18-ЦТО!AM862-ЦТО!AL862)/(18-ЦТО!AL862-ЦТО!AP862)</f>
        <v>1</v>
      </c>
      <c r="H958" s="66" t="str">
        <f>IF(G958&lt;0.51,'вспомогательные данные'!$C$19,IF(G958&lt;0.92,'вспомогательные данные'!$C$20, IF(G958&lt;2,'вспомогательные данные'!$C$21,'вспомогательные данные'!$C$22)))</f>
        <v>оптимальная работоспособность</v>
      </c>
      <c r="I958" s="61" t="b">
        <f>IF(OR(ЦТО!AT862=1,ЦТО!AU862=1,ЦТО!AV862=1,ЦТО!AX862=1),"Положительная",IF(OR(ЦТО!AY862=1,ЦТО!AZ862=1,ЦТО!BA862=1),"Отрицательная",IF(OR(ЦТО!AW862=1),"Инфантильная")))</f>
        <v>0</v>
      </c>
    </row>
    <row r="959" spans="1:9">
      <c r="A959" s="62">
        <f>ЦТО!A863</f>
        <v>0</v>
      </c>
      <c r="B959" s="62">
        <f>ЦТО!B863</f>
        <v>0</v>
      </c>
      <c r="C959" s="67">
        <f>ЦТО!C863</f>
        <v>0</v>
      </c>
      <c r="D959" s="63">
        <f>ЦТО!D863</f>
        <v>0</v>
      </c>
      <c r="E959" s="68">
        <f>SUM(ЦТО!BB863:BI863)</f>
        <v>0</v>
      </c>
      <c r="F959" s="64" t="str">
        <f>IF(E959&lt;10,'вспомогательные данные'!$C$26,IF(E959&lt;19,'вспомогательные данные'!$C$25,'вспомогательные данные'!$C$24))</f>
        <v>положительный</v>
      </c>
      <c r="G959" s="65">
        <f>(18-ЦТО!AM863-ЦТО!AL863)/(18-ЦТО!AL863-ЦТО!AP863)</f>
        <v>1</v>
      </c>
      <c r="H959" s="66" t="str">
        <f>IF(G959&lt;0.51,'вспомогательные данные'!$C$19,IF(G959&lt;0.92,'вспомогательные данные'!$C$20, IF(G959&lt;2,'вспомогательные данные'!$C$21,'вспомогательные данные'!$C$22)))</f>
        <v>оптимальная работоспособность</v>
      </c>
      <c r="I959" s="61" t="b">
        <f>IF(OR(ЦТО!AT863=1,ЦТО!AU863=1,ЦТО!AV863=1,ЦТО!AX863=1),"Положительная",IF(OR(ЦТО!AY863=1,ЦТО!AZ863=1,ЦТО!BA863=1),"Отрицательная",IF(OR(ЦТО!AW863=1),"Инфантильная")))</f>
        <v>0</v>
      </c>
    </row>
    <row r="960" spans="1:9">
      <c r="A960" s="62">
        <f>ЦТО!A864</f>
        <v>0</v>
      </c>
      <c r="B960" s="62">
        <f>ЦТО!B864</f>
        <v>0</v>
      </c>
      <c r="C960" s="67">
        <f>ЦТО!C864</f>
        <v>0</v>
      </c>
      <c r="D960" s="63">
        <f>ЦТО!D864</f>
        <v>0</v>
      </c>
      <c r="E960" s="68">
        <f>SUM(ЦТО!BB864:BI864)</f>
        <v>0</v>
      </c>
      <c r="F960" s="64" t="str">
        <f>IF(E960&lt;10,'вспомогательные данные'!$C$26,IF(E960&lt;19,'вспомогательные данные'!$C$25,'вспомогательные данные'!$C$24))</f>
        <v>положительный</v>
      </c>
      <c r="G960" s="65">
        <f>(18-ЦТО!AM864-ЦТО!AL864)/(18-ЦТО!AL864-ЦТО!AP864)</f>
        <v>1</v>
      </c>
      <c r="H960" s="66" t="str">
        <f>IF(G960&lt;0.51,'вспомогательные данные'!$C$19,IF(G960&lt;0.92,'вспомогательные данные'!$C$20, IF(G960&lt;2,'вспомогательные данные'!$C$21,'вспомогательные данные'!$C$22)))</f>
        <v>оптимальная работоспособность</v>
      </c>
      <c r="I960" s="61" t="b">
        <f>IF(OR(ЦТО!AT864=1,ЦТО!AU864=1,ЦТО!AV864=1,ЦТО!AX864=1),"Положительная",IF(OR(ЦТО!AY864=1,ЦТО!AZ864=1,ЦТО!BA864=1),"Отрицательная",IF(OR(ЦТО!AW864=1),"Инфантильная")))</f>
        <v>0</v>
      </c>
    </row>
    <row r="961" spans="1:9">
      <c r="A961" s="62">
        <f>ЦТО!A865</f>
        <v>0</v>
      </c>
      <c r="B961" s="62">
        <f>ЦТО!B865</f>
        <v>0</v>
      </c>
      <c r="C961" s="67">
        <f>ЦТО!C865</f>
        <v>0</v>
      </c>
      <c r="D961" s="63">
        <f>ЦТО!D865</f>
        <v>0</v>
      </c>
      <c r="E961" s="68">
        <f>SUM(ЦТО!BB865:BI865)</f>
        <v>0</v>
      </c>
      <c r="F961" s="64" t="str">
        <f>IF(E961&lt;10,'вспомогательные данные'!$C$26,IF(E961&lt;19,'вспомогательные данные'!$C$25,'вспомогательные данные'!$C$24))</f>
        <v>положительный</v>
      </c>
      <c r="G961" s="65">
        <f>(18-ЦТО!AM865-ЦТО!AL865)/(18-ЦТО!AL865-ЦТО!AP865)</f>
        <v>1</v>
      </c>
      <c r="H961" s="66" t="str">
        <f>IF(G961&lt;0.51,'вспомогательные данные'!$C$19,IF(G961&lt;0.92,'вспомогательные данные'!$C$20, IF(G961&lt;2,'вспомогательные данные'!$C$21,'вспомогательные данные'!$C$22)))</f>
        <v>оптимальная работоспособность</v>
      </c>
      <c r="I961" s="61" t="b">
        <f>IF(OR(ЦТО!AT865=1,ЦТО!AU865=1,ЦТО!AV865=1,ЦТО!AX865=1),"Положительная",IF(OR(ЦТО!AY865=1,ЦТО!AZ865=1,ЦТО!BA865=1),"Отрицательная",IF(OR(ЦТО!AW865=1),"Инфантильная")))</f>
        <v>0</v>
      </c>
    </row>
    <row r="962" spans="1:9">
      <c r="A962" s="62">
        <f>ЦТО!A866</f>
        <v>0</v>
      </c>
      <c r="B962" s="62">
        <f>ЦТО!B866</f>
        <v>0</v>
      </c>
      <c r="C962" s="67">
        <f>ЦТО!C866</f>
        <v>0</v>
      </c>
      <c r="D962" s="63">
        <f>ЦТО!D866</f>
        <v>0</v>
      </c>
      <c r="E962" s="68">
        <f>SUM(ЦТО!BB866:BI866)</f>
        <v>0</v>
      </c>
      <c r="F962" s="64" t="str">
        <f>IF(E962&lt;10,'вспомогательные данные'!$C$26,IF(E962&lt;19,'вспомогательные данные'!$C$25,'вспомогательные данные'!$C$24))</f>
        <v>положительный</v>
      </c>
      <c r="G962" s="65">
        <f>(18-ЦТО!AM866-ЦТО!AL866)/(18-ЦТО!AL866-ЦТО!AP866)</f>
        <v>1</v>
      </c>
      <c r="H962" s="66" t="str">
        <f>IF(G962&lt;0.51,'вспомогательные данные'!$C$19,IF(G962&lt;0.92,'вспомогательные данные'!$C$20, IF(G962&lt;2,'вспомогательные данные'!$C$21,'вспомогательные данные'!$C$22)))</f>
        <v>оптимальная работоспособность</v>
      </c>
      <c r="I962" s="61" t="b">
        <f>IF(OR(ЦТО!AT866=1,ЦТО!AU866=1,ЦТО!AV866=1,ЦТО!AX866=1),"Положительная",IF(OR(ЦТО!AY866=1,ЦТО!AZ866=1,ЦТО!BA866=1),"Отрицательная",IF(OR(ЦТО!AW866=1),"Инфантильная")))</f>
        <v>0</v>
      </c>
    </row>
    <row r="963" spans="1:9">
      <c r="A963" s="62">
        <f>ЦТО!A867</f>
        <v>0</v>
      </c>
      <c r="B963" s="62">
        <f>ЦТО!B867</f>
        <v>0</v>
      </c>
      <c r="C963" s="67">
        <f>ЦТО!C867</f>
        <v>0</v>
      </c>
      <c r="D963" s="63">
        <f>ЦТО!D867</f>
        <v>0</v>
      </c>
      <c r="E963" s="68">
        <f>SUM(ЦТО!BB867:BI867)</f>
        <v>0</v>
      </c>
      <c r="F963" s="64" t="str">
        <f>IF(E963&lt;10,'вспомогательные данные'!$C$26,IF(E963&lt;19,'вспомогательные данные'!$C$25,'вспомогательные данные'!$C$24))</f>
        <v>положительный</v>
      </c>
      <c r="G963" s="65">
        <f>(18-ЦТО!AM867-ЦТО!AL867)/(18-ЦТО!AL867-ЦТО!AP867)</f>
        <v>1</v>
      </c>
      <c r="H963" s="66" t="str">
        <f>IF(G963&lt;0.51,'вспомогательные данные'!$C$19,IF(G963&lt;0.92,'вспомогательные данные'!$C$20, IF(G963&lt;2,'вспомогательные данные'!$C$21,'вспомогательные данные'!$C$22)))</f>
        <v>оптимальная работоспособность</v>
      </c>
      <c r="I963" s="61" t="b">
        <f>IF(OR(ЦТО!AT867=1,ЦТО!AU867=1,ЦТО!AV867=1,ЦТО!AX867=1),"Положительная",IF(OR(ЦТО!AY867=1,ЦТО!AZ867=1,ЦТО!BA867=1),"Отрицательная",IF(OR(ЦТО!AW867=1),"Инфантильная")))</f>
        <v>0</v>
      </c>
    </row>
    <row r="964" spans="1:9">
      <c r="A964" s="62">
        <f>ЦТО!A868</f>
        <v>0</v>
      </c>
      <c r="B964" s="62">
        <f>ЦТО!B868</f>
        <v>0</v>
      </c>
      <c r="C964" s="67">
        <f>ЦТО!C868</f>
        <v>0</v>
      </c>
      <c r="D964" s="63">
        <f>ЦТО!D868</f>
        <v>0</v>
      </c>
      <c r="E964" s="68">
        <f>SUM(ЦТО!BB868:BI868)</f>
        <v>0</v>
      </c>
      <c r="F964" s="64" t="str">
        <f>IF(E964&lt;10,'вспомогательные данные'!$C$26,IF(E964&lt;19,'вспомогательные данные'!$C$25,'вспомогательные данные'!$C$24))</f>
        <v>положительный</v>
      </c>
      <c r="G964" s="65">
        <f>(18-ЦТО!AM868-ЦТО!AL868)/(18-ЦТО!AL868-ЦТО!AP868)</f>
        <v>1</v>
      </c>
      <c r="H964" s="66" t="str">
        <f>IF(G964&lt;0.51,'вспомогательные данные'!$C$19,IF(G964&lt;0.92,'вспомогательные данные'!$C$20, IF(G964&lt;2,'вспомогательные данные'!$C$21,'вспомогательные данные'!$C$22)))</f>
        <v>оптимальная работоспособность</v>
      </c>
      <c r="I964" s="61" t="b">
        <f>IF(OR(ЦТО!AT868=1,ЦТО!AU868=1,ЦТО!AV868=1,ЦТО!AX868=1),"Положительная",IF(OR(ЦТО!AY868=1,ЦТО!AZ868=1,ЦТО!BA868=1),"Отрицательная",IF(OR(ЦТО!AW868=1),"Инфантильная")))</f>
        <v>0</v>
      </c>
    </row>
    <row r="965" spans="1:9">
      <c r="A965" s="62">
        <f>ЦТО!A869</f>
        <v>0</v>
      </c>
      <c r="B965" s="62">
        <f>ЦТО!B869</f>
        <v>0</v>
      </c>
      <c r="C965" s="67">
        <f>ЦТО!C869</f>
        <v>0</v>
      </c>
      <c r="D965" s="63">
        <f>ЦТО!D869</f>
        <v>0</v>
      </c>
      <c r="E965" s="68">
        <f>SUM(ЦТО!BB869:BI869)</f>
        <v>0</v>
      </c>
      <c r="F965" s="64" t="str">
        <f>IF(E965&lt;10,'вспомогательные данные'!$C$26,IF(E965&lt;19,'вспомогательные данные'!$C$25,'вспомогательные данные'!$C$24))</f>
        <v>положительный</v>
      </c>
      <c r="G965" s="65">
        <f>(18-ЦТО!AM869-ЦТО!AL869)/(18-ЦТО!AL869-ЦТО!AP869)</f>
        <v>1</v>
      </c>
      <c r="H965" s="66" t="str">
        <f>IF(G965&lt;0.51,'вспомогательные данные'!$C$19,IF(G965&lt;0.92,'вспомогательные данные'!$C$20, IF(G965&lt;2,'вспомогательные данные'!$C$21,'вспомогательные данные'!$C$22)))</f>
        <v>оптимальная работоспособность</v>
      </c>
      <c r="I965" s="61" t="b">
        <f>IF(OR(ЦТО!AT869=1,ЦТО!AU869=1,ЦТО!AV869=1,ЦТО!AX869=1),"Положительная",IF(OR(ЦТО!AY869=1,ЦТО!AZ869=1,ЦТО!BA869=1),"Отрицательная",IF(OR(ЦТО!AW869=1),"Инфантильная")))</f>
        <v>0</v>
      </c>
    </row>
    <row r="966" spans="1:9">
      <c r="A966" s="62">
        <f>ЦТО!A870</f>
        <v>0</v>
      </c>
      <c r="B966" s="62">
        <f>ЦТО!B870</f>
        <v>0</v>
      </c>
      <c r="C966" s="67">
        <f>ЦТО!C870</f>
        <v>0</v>
      </c>
      <c r="D966" s="63">
        <f>ЦТО!D870</f>
        <v>0</v>
      </c>
      <c r="E966" s="68">
        <f>SUM(ЦТО!BB870:BI870)</f>
        <v>0</v>
      </c>
      <c r="F966" s="64" t="str">
        <f>IF(E966&lt;10,'вспомогательные данные'!$C$26,IF(E966&lt;19,'вспомогательные данные'!$C$25,'вспомогательные данные'!$C$24))</f>
        <v>положительный</v>
      </c>
      <c r="G966" s="65">
        <f>(18-ЦТО!AM870-ЦТО!AL870)/(18-ЦТО!AL870-ЦТО!AP870)</f>
        <v>1</v>
      </c>
      <c r="H966" s="66" t="str">
        <f>IF(G966&lt;0.51,'вспомогательные данные'!$C$19,IF(G966&lt;0.92,'вспомогательные данные'!$C$20, IF(G966&lt;2,'вспомогательные данные'!$C$21,'вспомогательные данные'!$C$22)))</f>
        <v>оптимальная работоспособность</v>
      </c>
      <c r="I966" s="61" t="b">
        <f>IF(OR(ЦТО!AT870=1,ЦТО!AU870=1,ЦТО!AV870=1,ЦТО!AX870=1),"Положительная",IF(OR(ЦТО!AY870=1,ЦТО!AZ870=1,ЦТО!BA870=1),"Отрицательная",IF(OR(ЦТО!AW870=1),"Инфантильная")))</f>
        <v>0</v>
      </c>
    </row>
    <row r="967" spans="1:9">
      <c r="A967" s="62">
        <f>ЦТО!A871</f>
        <v>0</v>
      </c>
      <c r="B967" s="62">
        <f>ЦТО!B871</f>
        <v>0</v>
      </c>
      <c r="C967" s="67">
        <f>ЦТО!C871</f>
        <v>0</v>
      </c>
      <c r="D967" s="63">
        <f>ЦТО!D871</f>
        <v>0</v>
      </c>
      <c r="E967" s="68">
        <f>SUM(ЦТО!BB871:BI871)</f>
        <v>0</v>
      </c>
      <c r="F967" s="64" t="str">
        <f>IF(E967&lt;10,'вспомогательные данные'!$C$26,IF(E967&lt;19,'вспомогательные данные'!$C$25,'вспомогательные данные'!$C$24))</f>
        <v>положительный</v>
      </c>
      <c r="G967" s="65">
        <f>(18-ЦТО!AM871-ЦТО!AL871)/(18-ЦТО!AL871-ЦТО!AP871)</f>
        <v>1</v>
      </c>
      <c r="H967" s="66" t="str">
        <f>IF(G967&lt;0.51,'вспомогательные данные'!$C$19,IF(G967&lt;0.92,'вспомогательные данные'!$C$20, IF(G967&lt;2,'вспомогательные данные'!$C$21,'вспомогательные данные'!$C$22)))</f>
        <v>оптимальная работоспособность</v>
      </c>
      <c r="I967" s="61" t="b">
        <f>IF(OR(ЦТО!AT871=1,ЦТО!AU871=1,ЦТО!AV871=1,ЦТО!AX871=1),"Положительная",IF(OR(ЦТО!AY871=1,ЦТО!AZ871=1,ЦТО!BA871=1),"Отрицательная",IF(OR(ЦТО!AW871=1),"Инфантильная")))</f>
        <v>0</v>
      </c>
    </row>
    <row r="968" spans="1:9">
      <c r="A968" s="62">
        <f>ЦТО!A872</f>
        <v>0</v>
      </c>
      <c r="B968" s="62">
        <f>ЦТО!B872</f>
        <v>0</v>
      </c>
      <c r="C968" s="67">
        <f>ЦТО!C872</f>
        <v>0</v>
      </c>
      <c r="D968" s="63">
        <f>ЦТО!D872</f>
        <v>0</v>
      </c>
      <c r="E968" s="68">
        <f>SUM(ЦТО!BB872:BI872)</f>
        <v>0</v>
      </c>
      <c r="F968" s="64" t="str">
        <f>IF(E968&lt;10,'вспомогательные данные'!$C$26,IF(E968&lt;19,'вспомогательные данные'!$C$25,'вспомогательные данные'!$C$24))</f>
        <v>положительный</v>
      </c>
      <c r="G968" s="65">
        <f>(18-ЦТО!AM872-ЦТО!AL872)/(18-ЦТО!AL872-ЦТО!AP872)</f>
        <v>1</v>
      </c>
      <c r="H968" s="66" t="str">
        <f>IF(G968&lt;0.51,'вспомогательные данные'!$C$19,IF(G968&lt;0.92,'вспомогательные данные'!$C$20, IF(G968&lt;2,'вспомогательные данные'!$C$21,'вспомогательные данные'!$C$22)))</f>
        <v>оптимальная работоспособность</v>
      </c>
      <c r="I968" s="61" t="b">
        <f>IF(OR(ЦТО!AT872=1,ЦТО!AU872=1,ЦТО!AV872=1,ЦТО!AX872=1),"Положительная",IF(OR(ЦТО!AY872=1,ЦТО!AZ872=1,ЦТО!BA872=1),"Отрицательная",IF(OR(ЦТО!AW872=1),"Инфантильная")))</f>
        <v>0</v>
      </c>
    </row>
    <row r="969" spans="1:9">
      <c r="A969" s="62">
        <f>ЦТО!A873</f>
        <v>0</v>
      </c>
      <c r="B969" s="62">
        <f>ЦТО!B873</f>
        <v>0</v>
      </c>
      <c r="C969" s="67">
        <f>ЦТО!C873</f>
        <v>0</v>
      </c>
      <c r="D969" s="63">
        <f>ЦТО!D873</f>
        <v>0</v>
      </c>
      <c r="E969" s="68">
        <f>SUM(ЦТО!BB873:BI873)</f>
        <v>0</v>
      </c>
      <c r="F969" s="64" t="str">
        <f>IF(E969&lt;10,'вспомогательные данные'!$C$26,IF(E969&lt;19,'вспомогательные данные'!$C$25,'вспомогательные данные'!$C$24))</f>
        <v>положительный</v>
      </c>
      <c r="G969" s="65">
        <f>(18-ЦТО!AM873-ЦТО!AL873)/(18-ЦТО!AL873-ЦТО!AP873)</f>
        <v>1</v>
      </c>
      <c r="H969" s="66" t="str">
        <f>IF(G969&lt;0.51,'вспомогательные данные'!$C$19,IF(G969&lt;0.92,'вспомогательные данные'!$C$20, IF(G969&lt;2,'вспомогательные данные'!$C$21,'вспомогательные данные'!$C$22)))</f>
        <v>оптимальная работоспособность</v>
      </c>
      <c r="I969" s="61" t="b">
        <f>IF(OR(ЦТО!AT873=1,ЦТО!AU873=1,ЦТО!AV873=1,ЦТО!AX873=1),"Положительная",IF(OR(ЦТО!AY873=1,ЦТО!AZ873=1,ЦТО!BA873=1),"Отрицательная",IF(OR(ЦТО!AW873=1),"Инфантильная")))</f>
        <v>0</v>
      </c>
    </row>
    <row r="970" spans="1:9">
      <c r="A970" s="62">
        <f>ЦТО!A874</f>
        <v>0</v>
      </c>
      <c r="B970" s="62">
        <f>ЦТО!B874</f>
        <v>0</v>
      </c>
      <c r="C970" s="67">
        <f>ЦТО!C874</f>
        <v>0</v>
      </c>
      <c r="D970" s="63">
        <f>ЦТО!D874</f>
        <v>0</v>
      </c>
      <c r="E970" s="68">
        <f>SUM(ЦТО!BB874:BI874)</f>
        <v>0</v>
      </c>
      <c r="F970" s="64" t="str">
        <f>IF(E970&lt;10,'вспомогательные данные'!$C$26,IF(E970&lt;19,'вспомогательные данные'!$C$25,'вспомогательные данные'!$C$24))</f>
        <v>положительный</v>
      </c>
      <c r="G970" s="65">
        <f>(18-ЦТО!AM874-ЦТО!AL874)/(18-ЦТО!AL874-ЦТО!AP874)</f>
        <v>1</v>
      </c>
      <c r="H970" s="66" t="str">
        <f>IF(G970&lt;0.51,'вспомогательные данные'!$C$19,IF(G970&lt;0.92,'вспомогательные данные'!$C$20, IF(G970&lt;2,'вспомогательные данные'!$C$21,'вспомогательные данные'!$C$22)))</f>
        <v>оптимальная работоспособность</v>
      </c>
      <c r="I970" s="61" t="b">
        <f>IF(OR(ЦТО!AT874=1,ЦТО!AU874=1,ЦТО!AV874=1,ЦТО!AX874=1),"Положительная",IF(OR(ЦТО!AY874=1,ЦТО!AZ874=1,ЦТО!BA874=1),"Отрицательная",IF(OR(ЦТО!AW874=1),"Инфантильная")))</f>
        <v>0</v>
      </c>
    </row>
    <row r="971" spans="1:9">
      <c r="A971" s="62">
        <f>ЦТО!A875</f>
        <v>0</v>
      </c>
      <c r="B971" s="62">
        <f>ЦТО!B875</f>
        <v>0</v>
      </c>
      <c r="C971" s="67">
        <f>ЦТО!C875</f>
        <v>0</v>
      </c>
      <c r="D971" s="63">
        <f>ЦТО!D875</f>
        <v>0</v>
      </c>
      <c r="E971" s="68">
        <f>SUM(ЦТО!BB875:BI875)</f>
        <v>0</v>
      </c>
      <c r="F971" s="64" t="str">
        <f>IF(E971&lt;10,'вспомогательные данные'!$C$26,IF(E971&lt;19,'вспомогательные данные'!$C$25,'вспомогательные данные'!$C$24))</f>
        <v>положительный</v>
      </c>
      <c r="G971" s="65">
        <f>(18-ЦТО!AM875-ЦТО!AL875)/(18-ЦТО!AL875-ЦТО!AP875)</f>
        <v>1</v>
      </c>
      <c r="H971" s="66" t="str">
        <f>IF(G971&lt;0.51,'вспомогательные данные'!$C$19,IF(G971&lt;0.92,'вспомогательные данные'!$C$20, IF(G971&lt;2,'вспомогательные данные'!$C$21,'вспомогательные данные'!$C$22)))</f>
        <v>оптимальная работоспособность</v>
      </c>
      <c r="I971" s="61" t="b">
        <f>IF(OR(ЦТО!AT875=1,ЦТО!AU875=1,ЦТО!AV875=1,ЦТО!AX875=1),"Положительная",IF(OR(ЦТО!AY875=1,ЦТО!AZ875=1,ЦТО!BA875=1),"Отрицательная",IF(OR(ЦТО!AW875=1),"Инфантильная")))</f>
        <v>0</v>
      </c>
    </row>
    <row r="972" spans="1:9">
      <c r="A972" s="62">
        <f>ЦТО!A876</f>
        <v>0</v>
      </c>
      <c r="B972" s="62">
        <f>ЦТО!B876</f>
        <v>0</v>
      </c>
      <c r="C972" s="67">
        <f>ЦТО!C876</f>
        <v>0</v>
      </c>
      <c r="D972" s="63">
        <f>ЦТО!D876</f>
        <v>0</v>
      </c>
      <c r="E972" s="68">
        <f>SUM(ЦТО!BB876:BI876)</f>
        <v>0</v>
      </c>
      <c r="F972" s="64" t="str">
        <f>IF(E972&lt;10,'вспомогательные данные'!$C$26,IF(E972&lt;19,'вспомогательные данные'!$C$25,'вспомогательные данные'!$C$24))</f>
        <v>положительный</v>
      </c>
      <c r="G972" s="65">
        <f>(18-ЦТО!AM876-ЦТО!AL876)/(18-ЦТО!AL876-ЦТО!AP876)</f>
        <v>1</v>
      </c>
      <c r="H972" s="66" t="str">
        <f>IF(G972&lt;0.51,'вспомогательные данные'!$C$19,IF(G972&lt;0.92,'вспомогательные данные'!$C$20, IF(G972&lt;2,'вспомогательные данные'!$C$21,'вспомогательные данные'!$C$22)))</f>
        <v>оптимальная работоспособность</v>
      </c>
      <c r="I972" s="61" t="b">
        <f>IF(OR(ЦТО!AT876=1,ЦТО!AU876=1,ЦТО!AV876=1,ЦТО!AX876=1),"Положительная",IF(OR(ЦТО!AY876=1,ЦТО!AZ876=1,ЦТО!BA876=1),"Отрицательная",IF(OR(ЦТО!AW876=1),"Инфантильная")))</f>
        <v>0</v>
      </c>
    </row>
    <row r="973" spans="1:9">
      <c r="A973" s="62">
        <f>ЦТО!A877</f>
        <v>0</v>
      </c>
      <c r="B973" s="62">
        <f>ЦТО!B877</f>
        <v>0</v>
      </c>
      <c r="C973" s="67">
        <f>ЦТО!C877</f>
        <v>0</v>
      </c>
      <c r="D973" s="63">
        <f>ЦТО!D877</f>
        <v>0</v>
      </c>
      <c r="E973" s="68">
        <f>SUM(ЦТО!BB877:BI877)</f>
        <v>0</v>
      </c>
      <c r="F973" s="64" t="str">
        <f>IF(E973&lt;10,'вспомогательные данные'!$C$26,IF(E973&lt;19,'вспомогательные данные'!$C$25,'вспомогательные данные'!$C$24))</f>
        <v>положительный</v>
      </c>
      <c r="G973" s="65">
        <f>(18-ЦТО!AM877-ЦТО!AL877)/(18-ЦТО!AL877-ЦТО!AP877)</f>
        <v>1</v>
      </c>
      <c r="H973" s="66" t="str">
        <f>IF(G973&lt;0.51,'вспомогательные данные'!$C$19,IF(G973&lt;0.92,'вспомогательные данные'!$C$20, IF(G973&lt;2,'вспомогательные данные'!$C$21,'вспомогательные данные'!$C$22)))</f>
        <v>оптимальная работоспособность</v>
      </c>
      <c r="I973" s="61" t="b">
        <f>IF(OR(ЦТО!AT877=1,ЦТО!AU877=1,ЦТО!AV877=1,ЦТО!AX877=1),"Положительная",IF(OR(ЦТО!AY877=1,ЦТО!AZ877=1,ЦТО!BA877=1),"Отрицательная",IF(OR(ЦТО!AW877=1),"Инфантильная")))</f>
        <v>0</v>
      </c>
    </row>
    <row r="974" spans="1:9">
      <c r="A974" s="62">
        <f>ЦТО!A878</f>
        <v>0</v>
      </c>
      <c r="B974" s="62">
        <f>ЦТО!B878</f>
        <v>0</v>
      </c>
      <c r="C974" s="67">
        <f>ЦТО!C878</f>
        <v>0</v>
      </c>
      <c r="D974" s="63">
        <f>ЦТО!D878</f>
        <v>0</v>
      </c>
      <c r="E974" s="68">
        <f>SUM(ЦТО!BB878:BI878)</f>
        <v>0</v>
      </c>
      <c r="F974" s="64" t="str">
        <f>IF(E974&lt;10,'вспомогательные данные'!$C$26,IF(E974&lt;19,'вспомогательные данные'!$C$25,'вспомогательные данные'!$C$24))</f>
        <v>положительный</v>
      </c>
      <c r="G974" s="65">
        <f>(18-ЦТО!AM878-ЦТО!AL878)/(18-ЦТО!AL878-ЦТО!AP878)</f>
        <v>1</v>
      </c>
      <c r="H974" s="66" t="str">
        <f>IF(G974&lt;0.51,'вспомогательные данные'!$C$19,IF(G974&lt;0.92,'вспомогательные данные'!$C$20, IF(G974&lt;2,'вспомогательные данные'!$C$21,'вспомогательные данные'!$C$22)))</f>
        <v>оптимальная работоспособность</v>
      </c>
      <c r="I974" s="61" t="b">
        <f>IF(OR(ЦТО!AT878=1,ЦТО!AU878=1,ЦТО!AV878=1,ЦТО!AX878=1),"Положительная",IF(OR(ЦТО!AY878=1,ЦТО!AZ878=1,ЦТО!BA878=1),"Отрицательная",IF(OR(ЦТО!AW878=1),"Инфантильная")))</f>
        <v>0</v>
      </c>
    </row>
    <row r="975" spans="1:9">
      <c r="A975" s="62">
        <f>ЦТО!A879</f>
        <v>0</v>
      </c>
      <c r="B975" s="62">
        <f>ЦТО!B879</f>
        <v>0</v>
      </c>
      <c r="C975" s="67">
        <f>ЦТО!C879</f>
        <v>0</v>
      </c>
      <c r="D975" s="63">
        <f>ЦТО!D879</f>
        <v>0</v>
      </c>
      <c r="E975" s="68">
        <f>SUM(ЦТО!BB879:BI879)</f>
        <v>0</v>
      </c>
      <c r="F975" s="64" t="str">
        <f>IF(E975&lt;10,'вспомогательные данные'!$C$26,IF(E975&lt;19,'вспомогательные данные'!$C$25,'вспомогательные данные'!$C$24))</f>
        <v>положительный</v>
      </c>
      <c r="G975" s="65">
        <f>(18-ЦТО!AM879-ЦТО!AL879)/(18-ЦТО!AL879-ЦТО!AP879)</f>
        <v>1</v>
      </c>
      <c r="H975" s="66" t="str">
        <f>IF(G975&lt;0.51,'вспомогательные данные'!$C$19,IF(G975&lt;0.92,'вспомогательные данные'!$C$20, IF(G975&lt;2,'вспомогательные данные'!$C$21,'вспомогательные данные'!$C$22)))</f>
        <v>оптимальная работоспособность</v>
      </c>
      <c r="I975" s="61" t="b">
        <f>IF(OR(ЦТО!AT879=1,ЦТО!AU879=1,ЦТО!AV879=1,ЦТО!AX879=1),"Положительная",IF(OR(ЦТО!AY879=1,ЦТО!AZ879=1,ЦТО!BA879=1),"Отрицательная",IF(OR(ЦТО!AW879=1),"Инфантильная")))</f>
        <v>0</v>
      </c>
    </row>
    <row r="976" spans="1:9">
      <c r="A976" s="62">
        <f>ЦТО!A880</f>
        <v>0</v>
      </c>
      <c r="B976" s="62">
        <f>ЦТО!B880</f>
        <v>0</v>
      </c>
      <c r="C976" s="67">
        <f>ЦТО!C880</f>
        <v>0</v>
      </c>
      <c r="D976" s="63">
        <f>ЦТО!D880</f>
        <v>0</v>
      </c>
      <c r="E976" s="68">
        <f>SUM(ЦТО!BB880:BI880)</f>
        <v>0</v>
      </c>
      <c r="F976" s="64" t="str">
        <f>IF(E976&lt;10,'вспомогательные данные'!$C$26,IF(E976&lt;19,'вспомогательные данные'!$C$25,'вспомогательные данные'!$C$24))</f>
        <v>положительный</v>
      </c>
      <c r="G976" s="65">
        <f>(18-ЦТО!AM880-ЦТО!AL880)/(18-ЦТО!AL880-ЦТО!AP880)</f>
        <v>1</v>
      </c>
      <c r="H976" s="66" t="str">
        <f>IF(G976&lt;0.51,'вспомогательные данные'!$C$19,IF(G976&lt;0.92,'вспомогательные данные'!$C$20, IF(G976&lt;2,'вспомогательные данные'!$C$21,'вспомогательные данные'!$C$22)))</f>
        <v>оптимальная работоспособность</v>
      </c>
      <c r="I976" s="61" t="b">
        <f>IF(OR(ЦТО!AT880=1,ЦТО!AU880=1,ЦТО!AV880=1,ЦТО!AX880=1),"Положительная",IF(OR(ЦТО!AY880=1,ЦТО!AZ880=1,ЦТО!BA880=1),"Отрицательная",IF(OR(ЦТО!AW880=1),"Инфантильная")))</f>
        <v>0</v>
      </c>
    </row>
    <row r="977" spans="1:9">
      <c r="A977" s="62">
        <f>ЦТО!A881</f>
        <v>0</v>
      </c>
      <c r="B977" s="62">
        <f>ЦТО!B881</f>
        <v>0</v>
      </c>
      <c r="C977" s="67">
        <f>ЦТО!C881</f>
        <v>0</v>
      </c>
      <c r="D977" s="63">
        <f>ЦТО!D881</f>
        <v>0</v>
      </c>
      <c r="E977" s="68">
        <f>SUM(ЦТО!BB881:BI881)</f>
        <v>0</v>
      </c>
      <c r="F977" s="64" t="str">
        <f>IF(E977&lt;10,'вспомогательные данные'!$C$26,IF(E977&lt;19,'вспомогательные данные'!$C$25,'вспомогательные данные'!$C$24))</f>
        <v>положительный</v>
      </c>
      <c r="G977" s="65">
        <f>(18-ЦТО!AM881-ЦТО!AL881)/(18-ЦТО!AL881-ЦТО!AP881)</f>
        <v>1</v>
      </c>
      <c r="H977" s="66" t="str">
        <f>IF(G977&lt;0.51,'вспомогательные данные'!$C$19,IF(G977&lt;0.92,'вспомогательные данные'!$C$20, IF(G977&lt;2,'вспомогательные данные'!$C$21,'вспомогательные данные'!$C$22)))</f>
        <v>оптимальная работоспособность</v>
      </c>
      <c r="I977" s="61" t="b">
        <f>IF(OR(ЦТО!AT881=1,ЦТО!AU881=1,ЦТО!AV881=1,ЦТО!AX881=1),"Положительная",IF(OR(ЦТО!AY881=1,ЦТО!AZ881=1,ЦТО!BA881=1),"Отрицательная",IF(OR(ЦТО!AW881=1),"Инфантильная")))</f>
        <v>0</v>
      </c>
    </row>
    <row r="978" spans="1:9">
      <c r="A978" s="62">
        <f>ЦТО!A882</f>
        <v>0</v>
      </c>
      <c r="B978" s="62">
        <f>ЦТО!B882</f>
        <v>0</v>
      </c>
      <c r="C978" s="67">
        <f>ЦТО!C882</f>
        <v>0</v>
      </c>
      <c r="D978" s="63">
        <f>ЦТО!D882</f>
        <v>0</v>
      </c>
      <c r="E978" s="68">
        <f>SUM(ЦТО!BB882:BI882)</f>
        <v>0</v>
      </c>
      <c r="F978" s="64" t="str">
        <f>IF(E978&lt;10,'вспомогательные данные'!$C$26,IF(E978&lt;19,'вспомогательные данные'!$C$25,'вспомогательные данные'!$C$24))</f>
        <v>положительный</v>
      </c>
      <c r="G978" s="65">
        <f>(18-ЦТО!AM882-ЦТО!AL882)/(18-ЦТО!AL882-ЦТО!AP882)</f>
        <v>1</v>
      </c>
      <c r="H978" s="66" t="str">
        <f>IF(G978&lt;0.51,'вспомогательные данные'!$C$19,IF(G978&lt;0.92,'вспомогательные данные'!$C$20, IF(G978&lt;2,'вспомогательные данные'!$C$21,'вспомогательные данные'!$C$22)))</f>
        <v>оптимальная работоспособность</v>
      </c>
      <c r="I978" s="61" t="b">
        <f>IF(OR(ЦТО!AT882=1,ЦТО!AU882=1,ЦТО!AV882=1,ЦТО!AX882=1),"Положительная",IF(OR(ЦТО!AY882=1,ЦТО!AZ882=1,ЦТО!BA882=1),"Отрицательная",IF(OR(ЦТО!AW882=1),"Инфантильная")))</f>
        <v>0</v>
      </c>
    </row>
    <row r="979" spans="1:9">
      <c r="A979" s="62">
        <f>ЦТО!A883</f>
        <v>0</v>
      </c>
      <c r="B979" s="62">
        <f>ЦТО!B883</f>
        <v>0</v>
      </c>
      <c r="C979" s="67">
        <f>ЦТО!C883</f>
        <v>0</v>
      </c>
      <c r="D979" s="63">
        <f>ЦТО!D883</f>
        <v>0</v>
      </c>
      <c r="E979" s="68">
        <f>SUM(ЦТО!BB883:BI883)</f>
        <v>0</v>
      </c>
      <c r="F979" s="64" t="str">
        <f>IF(E979&lt;10,'вспомогательные данные'!$C$26,IF(E979&lt;19,'вспомогательные данные'!$C$25,'вспомогательные данные'!$C$24))</f>
        <v>положительный</v>
      </c>
      <c r="G979" s="65">
        <f>(18-ЦТО!AM883-ЦТО!AL883)/(18-ЦТО!AL883-ЦТО!AP883)</f>
        <v>1</v>
      </c>
      <c r="H979" s="66" t="str">
        <f>IF(G979&lt;0.51,'вспомогательные данные'!$C$19,IF(G979&lt;0.92,'вспомогательные данные'!$C$20, IF(G979&lt;2,'вспомогательные данные'!$C$21,'вспомогательные данные'!$C$22)))</f>
        <v>оптимальная работоспособность</v>
      </c>
      <c r="I979" s="61" t="b">
        <f>IF(OR(ЦТО!AT883=1,ЦТО!AU883=1,ЦТО!AV883=1,ЦТО!AX883=1),"Положительная",IF(OR(ЦТО!AY883=1,ЦТО!AZ883=1,ЦТО!BA883=1),"Отрицательная",IF(OR(ЦТО!AW883=1),"Инфантильная")))</f>
        <v>0</v>
      </c>
    </row>
    <row r="980" spans="1:9">
      <c r="A980" s="62">
        <f>ЦТО!A884</f>
        <v>0</v>
      </c>
      <c r="B980" s="62">
        <f>ЦТО!B884</f>
        <v>0</v>
      </c>
      <c r="C980" s="67">
        <f>ЦТО!C884</f>
        <v>0</v>
      </c>
      <c r="D980" s="63">
        <f>ЦТО!D884</f>
        <v>0</v>
      </c>
      <c r="E980" s="68">
        <f>SUM(ЦТО!BB884:BI884)</f>
        <v>0</v>
      </c>
      <c r="F980" s="64" t="str">
        <f>IF(E980&lt;10,'вспомогательные данные'!$C$26,IF(E980&lt;19,'вспомогательные данные'!$C$25,'вспомогательные данные'!$C$24))</f>
        <v>положительный</v>
      </c>
      <c r="G980" s="65">
        <f>(18-ЦТО!AM884-ЦТО!AL884)/(18-ЦТО!AL884-ЦТО!AP884)</f>
        <v>1</v>
      </c>
      <c r="H980" s="66" t="str">
        <f>IF(G980&lt;0.51,'вспомогательные данные'!$C$19,IF(G980&lt;0.92,'вспомогательные данные'!$C$20, IF(G980&lt;2,'вспомогательные данные'!$C$21,'вспомогательные данные'!$C$22)))</f>
        <v>оптимальная работоспособность</v>
      </c>
      <c r="I980" s="61" t="b">
        <f>IF(OR(ЦТО!AT884=1,ЦТО!AU884=1,ЦТО!AV884=1,ЦТО!AX884=1),"Положительная",IF(OR(ЦТО!AY884=1,ЦТО!AZ884=1,ЦТО!BA884=1),"Отрицательная",IF(OR(ЦТО!AW884=1),"Инфантильная")))</f>
        <v>0</v>
      </c>
    </row>
    <row r="981" spans="1:9">
      <c r="A981" s="62">
        <f>ЦТО!A885</f>
        <v>0</v>
      </c>
      <c r="B981" s="62">
        <f>ЦТО!B885</f>
        <v>0</v>
      </c>
      <c r="C981" s="67">
        <f>ЦТО!C885</f>
        <v>0</v>
      </c>
      <c r="D981" s="63">
        <f>ЦТО!D885</f>
        <v>0</v>
      </c>
      <c r="E981" s="68">
        <f>SUM(ЦТО!BB885:BI885)</f>
        <v>0</v>
      </c>
      <c r="F981" s="64" t="str">
        <f>IF(E981&lt;10,'вспомогательные данные'!$C$26,IF(E981&lt;19,'вспомогательные данные'!$C$25,'вспомогательные данные'!$C$24))</f>
        <v>положительный</v>
      </c>
      <c r="G981" s="65">
        <f>(18-ЦТО!AM885-ЦТО!AL885)/(18-ЦТО!AL885-ЦТО!AP885)</f>
        <v>1</v>
      </c>
      <c r="H981" s="66" t="str">
        <f>IF(G981&lt;0.51,'вспомогательные данные'!$C$19,IF(G981&lt;0.92,'вспомогательные данные'!$C$20, IF(G981&lt;2,'вспомогательные данные'!$C$21,'вспомогательные данные'!$C$22)))</f>
        <v>оптимальная работоспособность</v>
      </c>
      <c r="I981" s="61" t="b">
        <f>IF(OR(ЦТО!AT885=1,ЦТО!AU885=1,ЦТО!AV885=1,ЦТО!AX885=1),"Положительная",IF(OR(ЦТО!AY885=1,ЦТО!AZ885=1,ЦТО!BA885=1),"Отрицательная",IF(OR(ЦТО!AW885=1),"Инфантильная")))</f>
        <v>0</v>
      </c>
    </row>
    <row r="982" spans="1:9">
      <c r="A982" s="62">
        <f>ЦТО!A886</f>
        <v>0</v>
      </c>
      <c r="B982" s="62">
        <f>ЦТО!B886</f>
        <v>0</v>
      </c>
      <c r="C982" s="67">
        <f>ЦТО!C886</f>
        <v>0</v>
      </c>
      <c r="D982" s="63">
        <f>ЦТО!D886</f>
        <v>0</v>
      </c>
      <c r="E982" s="68">
        <f>SUM(ЦТО!BB886:BI886)</f>
        <v>0</v>
      </c>
      <c r="F982" s="64" t="str">
        <f>IF(E982&lt;10,'вспомогательные данные'!$C$26,IF(E982&lt;19,'вспомогательные данные'!$C$25,'вспомогательные данные'!$C$24))</f>
        <v>положительный</v>
      </c>
      <c r="G982" s="65">
        <f>(18-ЦТО!AM886-ЦТО!AL886)/(18-ЦТО!AL886-ЦТО!AP886)</f>
        <v>1</v>
      </c>
      <c r="H982" s="66" t="str">
        <f>IF(G982&lt;0.51,'вспомогательные данные'!$C$19,IF(G982&lt;0.92,'вспомогательные данные'!$C$20, IF(G982&lt;2,'вспомогательные данные'!$C$21,'вспомогательные данные'!$C$22)))</f>
        <v>оптимальная работоспособность</v>
      </c>
      <c r="I982" s="61" t="b">
        <f>IF(OR(ЦТО!AT886=1,ЦТО!AU886=1,ЦТО!AV886=1,ЦТО!AX886=1),"Положительная",IF(OR(ЦТО!AY886=1,ЦТО!AZ886=1,ЦТО!BA886=1),"Отрицательная",IF(OR(ЦТО!AW886=1),"Инфантильная")))</f>
        <v>0</v>
      </c>
    </row>
    <row r="983" spans="1:9">
      <c r="A983" s="62">
        <f>ЦТО!A887</f>
        <v>0</v>
      </c>
      <c r="B983" s="62">
        <f>ЦТО!B887</f>
        <v>0</v>
      </c>
      <c r="C983" s="67">
        <f>ЦТО!C887</f>
        <v>0</v>
      </c>
      <c r="D983" s="63">
        <f>ЦТО!D887</f>
        <v>0</v>
      </c>
      <c r="E983" s="68">
        <f>SUM(ЦТО!BB887:BI887)</f>
        <v>0</v>
      </c>
      <c r="F983" s="64" t="str">
        <f>IF(E983&lt;10,'вспомогательные данные'!$C$26,IF(E983&lt;19,'вспомогательные данные'!$C$25,'вспомогательные данные'!$C$24))</f>
        <v>положительный</v>
      </c>
      <c r="G983" s="65">
        <f>(18-ЦТО!AM887-ЦТО!AL887)/(18-ЦТО!AL887-ЦТО!AP887)</f>
        <v>1</v>
      </c>
      <c r="H983" s="66" t="str">
        <f>IF(G983&lt;0.51,'вспомогательные данные'!$C$19,IF(G983&lt;0.92,'вспомогательные данные'!$C$20, IF(G983&lt;2,'вспомогательные данные'!$C$21,'вспомогательные данные'!$C$22)))</f>
        <v>оптимальная работоспособность</v>
      </c>
      <c r="I983" s="61" t="b">
        <f>IF(OR(ЦТО!AT887=1,ЦТО!AU887=1,ЦТО!AV887=1,ЦТО!AX887=1),"Положительная",IF(OR(ЦТО!AY887=1,ЦТО!AZ887=1,ЦТО!BA887=1),"Отрицательная",IF(OR(ЦТО!AW887=1),"Инфантильная")))</f>
        <v>0</v>
      </c>
    </row>
    <row r="984" spans="1:9">
      <c r="A984" s="62">
        <f>ЦТО!A888</f>
        <v>0</v>
      </c>
      <c r="B984" s="62">
        <f>ЦТО!B888</f>
        <v>0</v>
      </c>
      <c r="C984" s="67">
        <f>ЦТО!C888</f>
        <v>0</v>
      </c>
      <c r="D984" s="63">
        <f>ЦТО!D888</f>
        <v>0</v>
      </c>
      <c r="E984" s="68">
        <f>SUM(ЦТО!BB888:BI888)</f>
        <v>0</v>
      </c>
      <c r="F984" s="64" t="str">
        <f>IF(E984&lt;10,'вспомогательные данные'!$C$26,IF(E984&lt;19,'вспомогательные данные'!$C$25,'вспомогательные данные'!$C$24))</f>
        <v>положительный</v>
      </c>
      <c r="G984" s="65">
        <f>(18-ЦТО!AM888-ЦТО!AL888)/(18-ЦТО!AL888-ЦТО!AP888)</f>
        <v>1</v>
      </c>
      <c r="H984" s="66" t="str">
        <f>IF(G984&lt;0.51,'вспомогательные данные'!$C$19,IF(G984&lt;0.92,'вспомогательные данные'!$C$20, IF(G984&lt;2,'вспомогательные данные'!$C$21,'вспомогательные данные'!$C$22)))</f>
        <v>оптимальная работоспособность</v>
      </c>
      <c r="I984" s="61" t="b">
        <f>IF(OR(ЦТО!AT888=1,ЦТО!AU888=1,ЦТО!AV888=1,ЦТО!AX888=1),"Положительная",IF(OR(ЦТО!AY888=1,ЦТО!AZ888=1,ЦТО!BA888=1),"Отрицательная",IF(OR(ЦТО!AW888=1),"Инфантильная")))</f>
        <v>0</v>
      </c>
    </row>
    <row r="985" spans="1:9">
      <c r="A985" s="62">
        <f>ЦТО!A889</f>
        <v>0</v>
      </c>
      <c r="B985" s="62">
        <f>ЦТО!B889</f>
        <v>0</v>
      </c>
      <c r="C985" s="67">
        <f>ЦТО!C889</f>
        <v>0</v>
      </c>
      <c r="D985" s="63">
        <f>ЦТО!D889</f>
        <v>0</v>
      </c>
      <c r="E985" s="68">
        <f>SUM(ЦТО!BB889:BI889)</f>
        <v>0</v>
      </c>
      <c r="F985" s="64" t="str">
        <f>IF(E985&lt;10,'вспомогательные данные'!$C$26,IF(E985&lt;19,'вспомогательные данные'!$C$25,'вспомогательные данные'!$C$24))</f>
        <v>положительный</v>
      </c>
      <c r="G985" s="65">
        <f>(18-ЦТО!AM889-ЦТО!AL889)/(18-ЦТО!AL889-ЦТО!AP889)</f>
        <v>1</v>
      </c>
      <c r="H985" s="66" t="str">
        <f>IF(G985&lt;0.51,'вспомогательные данные'!$C$19,IF(G985&lt;0.92,'вспомогательные данные'!$C$20, IF(G985&lt;2,'вспомогательные данные'!$C$21,'вспомогательные данные'!$C$22)))</f>
        <v>оптимальная работоспособность</v>
      </c>
      <c r="I985" s="61" t="b">
        <f>IF(OR(ЦТО!AT889=1,ЦТО!AU889=1,ЦТО!AV889=1,ЦТО!AX889=1),"Положительная",IF(OR(ЦТО!AY889=1,ЦТО!AZ889=1,ЦТО!BA889=1),"Отрицательная",IF(OR(ЦТО!AW889=1),"Инфантильная")))</f>
        <v>0</v>
      </c>
    </row>
    <row r="986" spans="1:9">
      <c r="A986" s="62">
        <f>ЦТО!A890</f>
        <v>0</v>
      </c>
      <c r="B986" s="62">
        <f>ЦТО!B890</f>
        <v>0</v>
      </c>
      <c r="C986" s="67">
        <f>ЦТО!C890</f>
        <v>0</v>
      </c>
      <c r="D986" s="63">
        <f>ЦТО!D890</f>
        <v>0</v>
      </c>
      <c r="E986" s="68">
        <f>SUM(ЦТО!BB890:BI890)</f>
        <v>0</v>
      </c>
      <c r="F986" s="64" t="str">
        <f>IF(E986&lt;10,'вспомогательные данные'!$C$26,IF(E986&lt;19,'вспомогательные данные'!$C$25,'вспомогательные данные'!$C$24))</f>
        <v>положительный</v>
      </c>
      <c r="G986" s="65">
        <f>(18-ЦТО!AM890-ЦТО!AL890)/(18-ЦТО!AL890-ЦТО!AP890)</f>
        <v>1</v>
      </c>
      <c r="H986" s="66" t="str">
        <f>IF(G986&lt;0.51,'вспомогательные данные'!$C$19,IF(G986&lt;0.92,'вспомогательные данные'!$C$20, IF(G986&lt;2,'вспомогательные данные'!$C$21,'вспомогательные данные'!$C$22)))</f>
        <v>оптимальная работоспособность</v>
      </c>
      <c r="I986" s="61" t="b">
        <f>IF(OR(ЦТО!AT890=1,ЦТО!AU890=1,ЦТО!AV890=1,ЦТО!AX890=1),"Положительная",IF(OR(ЦТО!AY890=1,ЦТО!AZ890=1,ЦТО!BA890=1),"Отрицательная",IF(OR(ЦТО!AW890=1),"Инфантильная")))</f>
        <v>0</v>
      </c>
    </row>
    <row r="987" spans="1:9">
      <c r="A987" s="62">
        <f>ЦТО!A891</f>
        <v>0</v>
      </c>
      <c r="B987" s="62">
        <f>ЦТО!B891</f>
        <v>0</v>
      </c>
      <c r="C987" s="67">
        <f>ЦТО!C891</f>
        <v>0</v>
      </c>
      <c r="D987" s="63">
        <f>ЦТО!D891</f>
        <v>0</v>
      </c>
      <c r="E987" s="68">
        <f>SUM(ЦТО!BB891:BI891)</f>
        <v>0</v>
      </c>
      <c r="F987" s="64" t="str">
        <f>IF(E987&lt;10,'вспомогательные данные'!$C$26,IF(E987&lt;19,'вспомогательные данные'!$C$25,'вспомогательные данные'!$C$24))</f>
        <v>положительный</v>
      </c>
      <c r="G987" s="65">
        <f>(18-ЦТО!AM891-ЦТО!AL891)/(18-ЦТО!AL891-ЦТО!AP891)</f>
        <v>1</v>
      </c>
      <c r="H987" s="66" t="str">
        <f>IF(G987&lt;0.51,'вспомогательные данные'!$C$19,IF(G987&lt;0.92,'вспомогательные данные'!$C$20, IF(G987&lt;2,'вспомогательные данные'!$C$21,'вспомогательные данные'!$C$22)))</f>
        <v>оптимальная работоспособность</v>
      </c>
      <c r="I987" s="61" t="b">
        <f>IF(OR(ЦТО!AT891=1,ЦТО!AU891=1,ЦТО!AV891=1,ЦТО!AX891=1),"Положительная",IF(OR(ЦТО!AY891=1,ЦТО!AZ891=1,ЦТО!BA891=1),"Отрицательная",IF(OR(ЦТО!AW891=1),"Инфантильная")))</f>
        <v>0</v>
      </c>
    </row>
    <row r="988" spans="1:9">
      <c r="A988" s="62">
        <f>ЦТО!A892</f>
        <v>0</v>
      </c>
      <c r="B988" s="62">
        <f>ЦТО!B892</f>
        <v>0</v>
      </c>
      <c r="C988" s="67">
        <f>ЦТО!C892</f>
        <v>0</v>
      </c>
      <c r="D988" s="63">
        <f>ЦТО!D892</f>
        <v>0</v>
      </c>
      <c r="E988" s="68">
        <f>SUM(ЦТО!BB892:BI892)</f>
        <v>0</v>
      </c>
      <c r="F988" s="64" t="str">
        <f>IF(E988&lt;10,'вспомогательные данные'!$C$26,IF(E988&lt;19,'вспомогательные данные'!$C$25,'вспомогательные данные'!$C$24))</f>
        <v>положительный</v>
      </c>
      <c r="G988" s="65">
        <f>(18-ЦТО!AM892-ЦТО!AL892)/(18-ЦТО!AL892-ЦТО!AP892)</f>
        <v>1</v>
      </c>
      <c r="H988" s="66" t="str">
        <f>IF(G988&lt;0.51,'вспомогательные данные'!$C$19,IF(G988&lt;0.92,'вспомогательные данные'!$C$20, IF(G988&lt;2,'вспомогательные данные'!$C$21,'вспомогательные данные'!$C$22)))</f>
        <v>оптимальная работоспособность</v>
      </c>
      <c r="I988" s="61" t="b">
        <f>IF(OR(ЦТО!AT892=1,ЦТО!AU892=1,ЦТО!AV892=1,ЦТО!AX892=1),"Положительная",IF(OR(ЦТО!AY892=1,ЦТО!AZ892=1,ЦТО!BA892=1),"Отрицательная",IF(OR(ЦТО!AW892=1),"Инфантильная")))</f>
        <v>0</v>
      </c>
    </row>
    <row r="989" spans="1:9">
      <c r="A989" s="62">
        <f>ЦТО!A893</f>
        <v>0</v>
      </c>
      <c r="B989" s="62">
        <f>ЦТО!B893</f>
        <v>0</v>
      </c>
      <c r="C989" s="67">
        <f>ЦТО!C893</f>
        <v>0</v>
      </c>
      <c r="D989" s="63">
        <f>ЦТО!D893</f>
        <v>0</v>
      </c>
      <c r="E989" s="68">
        <f>SUM(ЦТО!BB893:BI893)</f>
        <v>0</v>
      </c>
      <c r="F989" s="64" t="str">
        <f>IF(E989&lt;10,'вспомогательные данные'!$C$26,IF(E989&lt;19,'вспомогательные данные'!$C$25,'вспомогательные данные'!$C$24))</f>
        <v>положительный</v>
      </c>
      <c r="G989" s="65">
        <f>(18-ЦТО!AM893-ЦТО!AL893)/(18-ЦТО!AL893-ЦТО!AP893)</f>
        <v>1</v>
      </c>
      <c r="H989" s="66" t="str">
        <f>IF(G989&lt;0.51,'вспомогательные данные'!$C$19,IF(G989&lt;0.92,'вспомогательные данные'!$C$20, IF(G989&lt;2,'вспомогательные данные'!$C$21,'вспомогательные данные'!$C$22)))</f>
        <v>оптимальная работоспособность</v>
      </c>
      <c r="I989" s="61" t="b">
        <f>IF(OR(ЦТО!AT893=1,ЦТО!AU893=1,ЦТО!AV893=1,ЦТО!AX893=1),"Положительная",IF(OR(ЦТО!AY893=1,ЦТО!AZ893=1,ЦТО!BA893=1),"Отрицательная",IF(OR(ЦТО!AW893=1),"Инфантильная")))</f>
        <v>0</v>
      </c>
    </row>
    <row r="990" spans="1:9">
      <c r="A990" s="62">
        <f>ЦТО!A894</f>
        <v>0</v>
      </c>
      <c r="B990" s="62">
        <f>ЦТО!B894</f>
        <v>0</v>
      </c>
      <c r="C990" s="67">
        <f>ЦТО!C894</f>
        <v>0</v>
      </c>
      <c r="D990" s="63">
        <f>ЦТО!D894</f>
        <v>0</v>
      </c>
      <c r="E990" s="68">
        <f>SUM(ЦТО!BB894:BI894)</f>
        <v>0</v>
      </c>
      <c r="F990" s="64" t="str">
        <f>IF(E990&lt;10,'вспомогательные данные'!$C$26,IF(E990&lt;19,'вспомогательные данные'!$C$25,'вспомогательные данные'!$C$24))</f>
        <v>положительный</v>
      </c>
      <c r="G990" s="65">
        <f>(18-ЦТО!AM894-ЦТО!AL894)/(18-ЦТО!AL894-ЦТО!AP894)</f>
        <v>1</v>
      </c>
      <c r="H990" s="66" t="str">
        <f>IF(G990&lt;0.51,'вспомогательные данные'!$C$19,IF(G990&lt;0.92,'вспомогательные данные'!$C$20, IF(G990&lt;2,'вспомогательные данные'!$C$21,'вспомогательные данные'!$C$22)))</f>
        <v>оптимальная работоспособность</v>
      </c>
      <c r="I990" s="61" t="b">
        <f>IF(OR(ЦТО!AT894=1,ЦТО!AU894=1,ЦТО!AV894=1,ЦТО!AX894=1),"Положительная",IF(OR(ЦТО!AY894=1,ЦТО!AZ894=1,ЦТО!BA894=1),"Отрицательная",IF(OR(ЦТО!AW894=1),"Инфантильная")))</f>
        <v>0</v>
      </c>
    </row>
    <row r="991" spans="1:9">
      <c r="A991" s="62">
        <f>ЦТО!A895</f>
        <v>0</v>
      </c>
      <c r="B991" s="62">
        <f>ЦТО!B895</f>
        <v>0</v>
      </c>
      <c r="C991" s="67">
        <f>ЦТО!C895</f>
        <v>0</v>
      </c>
      <c r="D991" s="63">
        <f>ЦТО!D895</f>
        <v>0</v>
      </c>
      <c r="E991" s="68">
        <f>SUM(ЦТО!BB895:BI895)</f>
        <v>0</v>
      </c>
      <c r="F991" s="64" t="str">
        <f>IF(E991&lt;10,'вспомогательные данные'!$C$26,IF(E991&lt;19,'вспомогательные данные'!$C$25,'вспомогательные данные'!$C$24))</f>
        <v>положительный</v>
      </c>
      <c r="G991" s="65">
        <f>(18-ЦТО!AM895-ЦТО!AL895)/(18-ЦТО!AL895-ЦТО!AP895)</f>
        <v>1</v>
      </c>
      <c r="H991" s="66" t="str">
        <f>IF(G991&lt;0.51,'вспомогательные данные'!$C$19,IF(G991&lt;0.92,'вспомогательные данные'!$C$20, IF(G991&lt;2,'вспомогательные данные'!$C$21,'вспомогательные данные'!$C$22)))</f>
        <v>оптимальная работоспособность</v>
      </c>
      <c r="I991" s="61" t="b">
        <f>IF(OR(ЦТО!AT895=1,ЦТО!AU895=1,ЦТО!AV895=1,ЦТО!AX895=1),"Положительная",IF(OR(ЦТО!AY895=1,ЦТО!AZ895=1,ЦТО!BA895=1),"Отрицательная",IF(OR(ЦТО!AW895=1),"Инфантильная")))</f>
        <v>0</v>
      </c>
    </row>
    <row r="992" spans="1:9">
      <c r="A992" s="62">
        <f>ЦТО!A896</f>
        <v>0</v>
      </c>
      <c r="B992" s="62">
        <f>ЦТО!B896</f>
        <v>0</v>
      </c>
      <c r="C992" s="67">
        <f>ЦТО!C896</f>
        <v>0</v>
      </c>
      <c r="D992" s="63">
        <f>ЦТО!D896</f>
        <v>0</v>
      </c>
      <c r="E992" s="68">
        <f>SUM(ЦТО!BB896:BI896)</f>
        <v>0</v>
      </c>
      <c r="F992" s="64" t="str">
        <f>IF(E992&lt;10,'вспомогательные данные'!$C$26,IF(E992&lt;19,'вспомогательные данные'!$C$25,'вспомогательные данные'!$C$24))</f>
        <v>положительный</v>
      </c>
      <c r="G992" s="65">
        <f>(18-ЦТО!AM896-ЦТО!AL896)/(18-ЦТО!AL896-ЦТО!AP896)</f>
        <v>1</v>
      </c>
      <c r="H992" s="66" t="str">
        <f>IF(G992&lt;0.51,'вспомогательные данные'!$C$19,IF(G992&lt;0.92,'вспомогательные данные'!$C$20, IF(G992&lt;2,'вспомогательные данные'!$C$21,'вспомогательные данные'!$C$22)))</f>
        <v>оптимальная работоспособность</v>
      </c>
      <c r="I992" s="61" t="b">
        <f>IF(OR(ЦТО!AT896=1,ЦТО!AU896=1,ЦТО!AV896=1,ЦТО!AX896=1),"Положительная",IF(OR(ЦТО!AY896=1,ЦТО!AZ896=1,ЦТО!BA896=1),"Отрицательная",IF(OR(ЦТО!AW896=1),"Инфантильная")))</f>
        <v>0</v>
      </c>
    </row>
    <row r="993" spans="1:9">
      <c r="A993" s="62">
        <f>ЦТО!A897</f>
        <v>0</v>
      </c>
      <c r="B993" s="62">
        <f>ЦТО!B897</f>
        <v>0</v>
      </c>
      <c r="C993" s="67">
        <f>ЦТО!C897</f>
        <v>0</v>
      </c>
      <c r="D993" s="63">
        <f>ЦТО!D897</f>
        <v>0</v>
      </c>
      <c r="E993" s="68">
        <f>SUM(ЦТО!BB897:BI897)</f>
        <v>0</v>
      </c>
      <c r="F993" s="64" t="str">
        <f>IF(E993&lt;10,'вспомогательные данные'!$C$26,IF(E993&lt;19,'вспомогательные данные'!$C$25,'вспомогательные данные'!$C$24))</f>
        <v>положительный</v>
      </c>
      <c r="G993" s="65">
        <f>(18-ЦТО!AM897-ЦТО!AL897)/(18-ЦТО!AL897-ЦТО!AP897)</f>
        <v>1</v>
      </c>
      <c r="H993" s="66" t="str">
        <f>IF(G993&lt;0.51,'вспомогательные данные'!$C$19,IF(G993&lt;0.92,'вспомогательные данные'!$C$20, IF(G993&lt;2,'вспомогательные данные'!$C$21,'вспомогательные данные'!$C$22)))</f>
        <v>оптимальная работоспособность</v>
      </c>
      <c r="I993" s="61" t="b">
        <f>IF(OR(ЦТО!AT897=1,ЦТО!AU897=1,ЦТО!AV897=1,ЦТО!AX897=1),"Положительная",IF(OR(ЦТО!AY897=1,ЦТО!AZ897=1,ЦТО!BA897=1),"Отрицательная",IF(OR(ЦТО!AW897=1),"Инфантильная")))</f>
        <v>0</v>
      </c>
    </row>
    <row r="994" spans="1:9">
      <c r="A994" s="62">
        <f>ЦТО!A898</f>
        <v>0</v>
      </c>
      <c r="B994" s="62">
        <f>ЦТО!B898</f>
        <v>0</v>
      </c>
      <c r="C994" s="67">
        <f>ЦТО!C898</f>
        <v>0</v>
      </c>
      <c r="D994" s="63">
        <f>ЦТО!D898</f>
        <v>0</v>
      </c>
      <c r="E994" s="68">
        <f>SUM(ЦТО!BB898:BI898)</f>
        <v>0</v>
      </c>
      <c r="F994" s="64" t="str">
        <f>IF(E994&lt;10,'вспомогательные данные'!$C$26,IF(E994&lt;19,'вспомогательные данные'!$C$25,'вспомогательные данные'!$C$24))</f>
        <v>положительный</v>
      </c>
      <c r="G994" s="65">
        <f>(18-ЦТО!AM898-ЦТО!AL898)/(18-ЦТО!AL898-ЦТО!AP898)</f>
        <v>1</v>
      </c>
      <c r="H994" s="66" t="str">
        <f>IF(G994&lt;0.51,'вспомогательные данные'!$C$19,IF(G994&lt;0.92,'вспомогательные данные'!$C$20, IF(G994&lt;2,'вспомогательные данные'!$C$21,'вспомогательные данные'!$C$22)))</f>
        <v>оптимальная работоспособность</v>
      </c>
      <c r="I994" s="61" t="b">
        <f>IF(OR(ЦТО!AT898=1,ЦТО!AU898=1,ЦТО!AV898=1,ЦТО!AX898=1),"Положительная",IF(OR(ЦТО!AY898=1,ЦТО!AZ898=1,ЦТО!BA898=1),"Отрицательная",IF(OR(ЦТО!AW898=1),"Инфантильная")))</f>
        <v>0</v>
      </c>
    </row>
    <row r="995" spans="1:9">
      <c r="A995" s="62">
        <f>ЦТО!A899</f>
        <v>0</v>
      </c>
      <c r="B995" s="62">
        <f>ЦТО!B899</f>
        <v>0</v>
      </c>
      <c r="C995" s="67">
        <f>ЦТО!C899</f>
        <v>0</v>
      </c>
      <c r="D995" s="63">
        <f>ЦТО!D899</f>
        <v>0</v>
      </c>
      <c r="E995" s="68">
        <f>SUM(ЦТО!BB899:BI899)</f>
        <v>0</v>
      </c>
      <c r="F995" s="64" t="str">
        <f>IF(E995&lt;10,'вспомогательные данные'!$C$26,IF(E995&lt;19,'вспомогательные данные'!$C$25,'вспомогательные данные'!$C$24))</f>
        <v>положительный</v>
      </c>
      <c r="G995" s="65">
        <f>(18-ЦТО!AM899-ЦТО!AL899)/(18-ЦТО!AL899-ЦТО!AP899)</f>
        <v>1</v>
      </c>
      <c r="H995" s="66" t="str">
        <f>IF(G995&lt;0.51,'вспомогательные данные'!$C$19,IF(G995&lt;0.92,'вспомогательные данные'!$C$20, IF(G995&lt;2,'вспомогательные данные'!$C$21,'вспомогательные данные'!$C$22)))</f>
        <v>оптимальная работоспособность</v>
      </c>
      <c r="I995" s="61" t="b">
        <f>IF(OR(ЦТО!AT899=1,ЦТО!AU899=1,ЦТО!AV899=1,ЦТО!AX899=1),"Положительная",IF(OR(ЦТО!AY899=1,ЦТО!AZ899=1,ЦТО!BA899=1),"Отрицательная",IF(OR(ЦТО!AW899=1),"Инфантильная")))</f>
        <v>0</v>
      </c>
    </row>
    <row r="996" spans="1:9">
      <c r="A996" s="62">
        <f>ЦТО!A900</f>
        <v>0</v>
      </c>
      <c r="B996" s="62">
        <f>ЦТО!B900</f>
        <v>0</v>
      </c>
      <c r="C996" s="67">
        <f>ЦТО!C900</f>
        <v>0</v>
      </c>
      <c r="D996" s="63">
        <f>ЦТО!D900</f>
        <v>0</v>
      </c>
      <c r="E996" s="68">
        <f>SUM(ЦТО!BB900:BI900)</f>
        <v>0</v>
      </c>
      <c r="F996" s="64" t="str">
        <f>IF(E996&lt;10,'вспомогательные данные'!$C$26,IF(E996&lt;19,'вспомогательные данные'!$C$25,'вспомогательные данные'!$C$24))</f>
        <v>положительный</v>
      </c>
      <c r="G996" s="65">
        <f>(18-ЦТО!AM900-ЦТО!AL900)/(18-ЦТО!AL900-ЦТО!AP900)</f>
        <v>1</v>
      </c>
      <c r="H996" s="66" t="str">
        <f>IF(G996&lt;0.51,'вспомогательные данные'!$C$19,IF(G996&lt;0.92,'вспомогательные данные'!$C$20, IF(G996&lt;2,'вспомогательные данные'!$C$21,'вспомогательные данные'!$C$22)))</f>
        <v>оптимальная работоспособность</v>
      </c>
      <c r="I996" s="61" t="b">
        <f>IF(OR(ЦТО!AT900=1,ЦТО!AU900=1,ЦТО!AV900=1,ЦТО!AX900=1),"Положительная",IF(OR(ЦТО!AY900=1,ЦТО!AZ900=1,ЦТО!BA900=1),"Отрицательная",IF(OR(ЦТО!AW900=1),"Инфантильная")))</f>
        <v>0</v>
      </c>
    </row>
    <row r="997" spans="1:9">
      <c r="A997" s="62">
        <f>ЦТО!A901</f>
        <v>0</v>
      </c>
      <c r="B997" s="62">
        <f>ЦТО!B901</f>
        <v>0</v>
      </c>
      <c r="C997" s="67">
        <f>ЦТО!C901</f>
        <v>0</v>
      </c>
      <c r="D997" s="63">
        <f>ЦТО!D901</f>
        <v>0</v>
      </c>
      <c r="E997" s="68">
        <f>SUM(ЦТО!BB901:BI901)</f>
        <v>0</v>
      </c>
      <c r="F997" s="64" t="str">
        <f>IF(E997&lt;10,'вспомогательные данные'!$C$26,IF(E997&lt;19,'вспомогательные данные'!$C$25,'вспомогательные данные'!$C$24))</f>
        <v>положительный</v>
      </c>
      <c r="G997" s="65">
        <f>(18-ЦТО!AM901-ЦТО!AL901)/(18-ЦТО!AL901-ЦТО!AP901)</f>
        <v>1</v>
      </c>
      <c r="H997" s="66" t="str">
        <f>IF(G997&lt;0.51,'вспомогательные данные'!$C$19,IF(G997&lt;0.92,'вспомогательные данные'!$C$20, IF(G997&lt;2,'вспомогательные данные'!$C$21,'вспомогательные данные'!$C$22)))</f>
        <v>оптимальная работоспособность</v>
      </c>
      <c r="I997" s="61" t="b">
        <f>IF(OR(ЦТО!AT901=1,ЦТО!AU901=1,ЦТО!AV901=1,ЦТО!AX901=1),"Положительная",IF(OR(ЦТО!AY901=1,ЦТО!AZ901=1,ЦТО!BA901=1),"Отрицательная",IF(OR(ЦТО!AW901=1),"Инфантильная")))</f>
        <v>0</v>
      </c>
    </row>
    <row r="998" spans="1:9">
      <c r="A998" s="62">
        <f>ЦТО!A902</f>
        <v>0</v>
      </c>
      <c r="B998" s="62">
        <f>ЦТО!B902</f>
        <v>0</v>
      </c>
      <c r="C998" s="67">
        <f>ЦТО!C902</f>
        <v>0</v>
      </c>
      <c r="D998" s="63">
        <f>ЦТО!D902</f>
        <v>0</v>
      </c>
      <c r="E998" s="68">
        <f>SUM(ЦТО!BB902:BI902)</f>
        <v>0</v>
      </c>
      <c r="F998" s="64" t="str">
        <f>IF(E998&lt;10,'вспомогательные данные'!$C$26,IF(E998&lt;19,'вспомогательные данные'!$C$25,'вспомогательные данные'!$C$24))</f>
        <v>положительный</v>
      </c>
      <c r="G998" s="65">
        <f>(18-ЦТО!AM902-ЦТО!AL902)/(18-ЦТО!AL902-ЦТО!AP902)</f>
        <v>1</v>
      </c>
      <c r="H998" s="66" t="str">
        <f>IF(G998&lt;0.51,'вспомогательные данные'!$C$19,IF(G998&lt;0.92,'вспомогательные данные'!$C$20, IF(G998&lt;2,'вспомогательные данные'!$C$21,'вспомогательные данные'!$C$22)))</f>
        <v>оптимальная работоспособность</v>
      </c>
      <c r="I998" s="61" t="b">
        <f>IF(OR(ЦТО!AT902=1,ЦТО!AU902=1,ЦТО!AV902=1,ЦТО!AX902=1),"Положительная",IF(OR(ЦТО!AY902=1,ЦТО!AZ902=1,ЦТО!BA902=1),"Отрицательная",IF(OR(ЦТО!AW902=1),"Инфантильная")))</f>
        <v>0</v>
      </c>
    </row>
    <row r="999" spans="1:9">
      <c r="A999" s="62">
        <f>ЦТО!A903</f>
        <v>0</v>
      </c>
      <c r="B999" s="62">
        <f>ЦТО!B903</f>
        <v>0</v>
      </c>
      <c r="C999" s="67">
        <f>ЦТО!C903</f>
        <v>0</v>
      </c>
      <c r="D999" s="63">
        <f>ЦТО!D903</f>
        <v>0</v>
      </c>
      <c r="E999" s="68">
        <f>SUM(ЦТО!BB903:BI903)</f>
        <v>0</v>
      </c>
      <c r="F999" s="64" t="str">
        <f>IF(E999&lt;10,'вспомогательные данные'!$C$26,IF(E999&lt;19,'вспомогательные данные'!$C$25,'вспомогательные данные'!$C$24))</f>
        <v>положительный</v>
      </c>
      <c r="G999" s="65">
        <f>(18-ЦТО!AM903-ЦТО!AL903)/(18-ЦТО!AL903-ЦТО!AP903)</f>
        <v>1</v>
      </c>
      <c r="H999" s="66" t="str">
        <f>IF(G999&lt;0.51,'вспомогательные данные'!$C$19,IF(G999&lt;0.92,'вспомогательные данные'!$C$20, IF(G999&lt;2,'вспомогательные данные'!$C$21,'вспомогательные данные'!$C$22)))</f>
        <v>оптимальная работоспособность</v>
      </c>
      <c r="I999" s="61" t="b">
        <f>IF(OR(ЦТО!AT903=1,ЦТО!AU903=1,ЦТО!AV903=1,ЦТО!AX903=1),"Положительная",IF(OR(ЦТО!AY903=1,ЦТО!AZ903=1,ЦТО!BA903=1),"Отрицательная",IF(OR(ЦТО!AW903=1),"Инфантильная")))</f>
        <v>0</v>
      </c>
    </row>
  </sheetData>
  <mergeCells count="10">
    <mergeCell ref="A2:A3"/>
    <mergeCell ref="E1:I1"/>
    <mergeCell ref="J1:S1"/>
    <mergeCell ref="T1:AC1"/>
    <mergeCell ref="B2:B3"/>
    <mergeCell ref="C2:C3"/>
    <mergeCell ref="D2:D3"/>
    <mergeCell ref="E2:F3"/>
    <mergeCell ref="G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0"/>
  <sheetViews>
    <sheetView zoomScale="77" zoomScaleNormal="77" workbookViewId="0">
      <selection activeCell="E3" sqref="E3"/>
    </sheetView>
  </sheetViews>
  <sheetFormatPr defaultColWidth="8.81640625" defaultRowHeight="14.5"/>
  <cols>
    <col min="1" max="1" width="6.6328125" style="10" customWidth="1"/>
    <col min="2" max="2" width="18.453125" style="10" customWidth="1"/>
    <col min="3" max="3" width="8.81640625" style="10"/>
    <col min="4" max="4" width="9.81640625" style="37" bestFit="1" customWidth="1"/>
    <col min="5" max="5" width="14.36328125" style="91" customWidth="1"/>
    <col min="6" max="6" width="13.81640625" style="91" customWidth="1"/>
    <col min="7" max="7" width="11.453125" style="91" customWidth="1"/>
    <col min="8" max="8" width="8.81640625" style="91" customWidth="1"/>
    <col min="9" max="9" width="12" style="91" customWidth="1"/>
    <col min="10" max="10" width="21.36328125" style="46" customWidth="1"/>
    <col min="11" max="21" width="21.36328125" style="10" customWidth="1"/>
    <col min="22" max="24" width="21.36328125" style="46" customWidth="1"/>
    <col min="25" max="16384" width="8.81640625" style="10"/>
  </cols>
  <sheetData>
    <row r="1" spans="1:24">
      <c r="B1" s="113" t="s">
        <v>10</v>
      </c>
      <c r="C1" s="113" t="s">
        <v>0</v>
      </c>
      <c r="D1" s="114" t="s">
        <v>24</v>
      </c>
      <c r="E1" s="115" t="s">
        <v>60</v>
      </c>
      <c r="F1" s="115"/>
      <c r="G1" s="115"/>
      <c r="H1" s="115"/>
      <c r="I1" s="115"/>
    </row>
    <row r="2" spans="1:24" ht="29" customHeight="1">
      <c r="B2" s="113"/>
      <c r="C2" s="113"/>
      <c r="D2" s="114"/>
      <c r="E2" s="90" t="s">
        <v>14</v>
      </c>
      <c r="F2" s="90" t="s">
        <v>16</v>
      </c>
      <c r="G2" s="90" t="s">
        <v>18</v>
      </c>
      <c r="H2" s="90" t="s">
        <v>20</v>
      </c>
      <c r="I2" s="90" t="s">
        <v>21</v>
      </c>
      <c r="J2" s="79" t="str">
        <f>ЦТО!W2</f>
        <v>Душа</v>
      </c>
      <c r="K2" s="39" t="str">
        <f>ЦТО!X2</f>
        <v>Школа</v>
      </c>
      <c r="L2" s="39" t="str">
        <f>ЦТО!Y2</f>
        <v>Чтение</v>
      </c>
      <c r="M2" s="39" t="str">
        <f>ЦТО!Z2</f>
        <v>Математика</v>
      </c>
      <c r="N2" s="39" t="str">
        <f>ЦТО!AA2</f>
        <v>Русский яз</v>
      </c>
      <c r="O2" s="39" t="str">
        <f>ЦТО!AB2</f>
        <v>Английский яз</v>
      </c>
      <c r="P2" s="39" t="str">
        <f>ЦТО!AC2</f>
        <v>Исследование</v>
      </c>
      <c r="Q2" s="39" t="str">
        <f>ЦТО!AD2</f>
        <v>Педагог</v>
      </c>
      <c r="R2" s="39" t="str">
        <f>ЦТО!AE2</f>
        <v>Одноклассники</v>
      </c>
      <c r="S2" s="39" t="str">
        <f>ЦТО!AF2</f>
        <v>Дом</v>
      </c>
      <c r="T2" s="39" t="str">
        <f>ЦТО!AG2</f>
        <v>Уроки</v>
      </c>
      <c r="U2" s="39" t="str">
        <f>ЦТО!AH2</f>
        <v>Свое</v>
      </c>
      <c r="V2" s="79" t="str">
        <f>ЦТО!AI2</f>
        <v>Наставник</v>
      </c>
      <c r="W2" s="79" t="str">
        <f>ЦТО!AJ2</f>
        <v>Одноклассники</v>
      </c>
      <c r="X2" s="79" t="str">
        <f>ЦТО!AK2</f>
        <v>Домашнее задание</v>
      </c>
    </row>
    <row r="3" spans="1:24" ht="18" customHeight="1">
      <c r="A3" s="10">
        <v>1</v>
      </c>
      <c r="B3" s="14" t="str">
        <f>IF(ЦТО!B3="","",ЦТО!B3)</f>
        <v>А</v>
      </c>
      <c r="C3" s="14" t="str">
        <f>IF(ЦТО!C3="","",ЦТО!C3)</f>
        <v>2 а</v>
      </c>
      <c r="D3" s="36" t="str">
        <f>IF(ЦТО!D3="","",ЦТО!D3)</f>
        <v/>
      </c>
      <c r="E3" s="89" t="str">
        <f>IF(ЦТО!$N3=ЦТО!$W3,"Душа",IF(ЦТО!$N3=ЦТО!$X3,ЦТО!$X$2,IF(ЦТО!$N3=ЦТО!$Y3,ЦТО!$Y$2,IF(ЦТО!$N3=ЦТО!$AE3,ЦТО!$AE$2,IF(ЦТО!$N3=ЦТО!$AF3,ЦТО!$AF$2,IF(ЦТО!$N3=ЦТО!$AG3,ЦТО!$AG$2,IF(ЦТО!$N3=ЦТО!$AH3,ЦТО!$AH$2,IF(ЦТО!$N3=ЦТО!$AI3,ЦТО!$AI$2,IF(ЦТО!$N3=ЦТО!$AJ3,ЦТО!$AJ$2,IF(ЦТО!$N3=ЦТО!$AK3,ЦТО!$AK$2))))))))))</f>
        <v>Душа</v>
      </c>
      <c r="F3" s="89" t="str">
        <f>IF(ЦТО!P3=ЦТО!W3,"Душа",IF(ЦТО!P3=ЦТО!X3,ЦТО!$X$2,IF(ЦТО!P3=ЦТО!Y3,ЦТО!$Y$2,IF(ЦТО!P3=ЦТО!AE3,ЦТО!$AE$2,IF(ЦТО!P3=ЦТО!AF3,ЦТО!$AF$2,IF(ЦТО!P3=ЦТО!AG3,ЦТО!$AG$2,IF(ЦТО!P3=ЦТО!AH3,ЦТО!$AH$2,IF(ЦТО!P3=ЦТО!AI3,ЦТО!$AI$2,IF(ЦТО!P3=ЦТО!AJ3,ЦТО!$AJ$2,IF(ЦТО!P3=ЦТО!AK3,ЦТО!$AK$2))))))))))</f>
        <v>Душа</v>
      </c>
      <c r="G3" s="89" t="str">
        <f>IF(ЦТО!$R3=ЦТО!$W3,"Душа",IF(ЦТО!$R3=ЦТО!$X3,ЦТО!$X$2,IF(ЦТО!$R3=ЦТО!$Y3,ЦТО!$Y$2,IF(ЦТО!$R3=ЦТО!$AE3,ЦТО!$AE$2,IF(ЦТО!$R3=ЦТО!$AF3,ЦТО!$AF$2,IF(ЦТО!$R3=ЦТО!$AG3,ЦТО!$AG$2,IF(ЦТО!$R3=ЦТО!$AH3,ЦТО!$AH$2,IF(ЦТО!$R3=ЦТО!$AI3,ЦТО!$AI$2,IF(ЦТО!$R3=ЦТО!$AJ3,ЦТО!$AJ$2,IF(ЦТО!$R3=ЦТО!$AK3,ЦТО!$AK$2))))))))))</f>
        <v>Душа</v>
      </c>
      <c r="H3" s="89" t="str">
        <f>IF(ЦТО!$T3=ЦТО!$W3,"Душа",IF(ЦТО!$T3=ЦТО!$X3,ЦТО!$X$2,IF(ЦТО!$T3=ЦТО!$Y3,ЦТО!$Y$2,IF(ЦТО!$T3=ЦТО!$AE3,ЦТО!$AE$2,IF(ЦТО!$T3=ЦТО!$AF3,ЦТО!$AF$2,IF(ЦТО!$T3=ЦТО!$AG3,ЦТО!$AG$2,IF(ЦТО!$T3=ЦТО!$AH3,ЦТО!$AH$2,IF(ЦТО!$T3=ЦТО!$AI3,ЦТО!$AI$2,IF(ЦТО!$T3=ЦТО!$AJ3,ЦТО!$AJ$2,IF(ЦТО!$T3=ЦТО!$AK3,ЦТО!$AK$2))))))))))</f>
        <v>Душа</v>
      </c>
      <c r="I3" s="89" t="str">
        <f>IF(ЦТО!$U3=ЦТО!$W3,"Душа",IF(ЦТО!$U3=ЦТО!$X3,ЦТО!$X$2,IF(ЦТО!$U3=ЦТО!$Y3,ЦТО!$Y$2,IF(ЦТО!$U3=ЦТО!$AE3,ЦТО!$AE$2,IF(ЦТО!$U3=ЦТО!$AF3,ЦТО!$AF$2,IF(ЦТО!$U3=ЦТО!$AG3,ЦТО!$AG$2,IF(ЦТО!$U3=ЦТО!$AH3,ЦТО!$AH$2,IF(ЦТО!$U3=ЦТО!$AI3,ЦТО!$AI$2,IF(ЦТО!$U3=ЦТО!$AJ3,ЦТО!$AJ$2,IF(ЦТО!$U3=ЦТО!$AK3,ЦТО!$AK$2))))))))))</f>
        <v>Душа</v>
      </c>
      <c r="J3" s="47" t="str">
        <f>IF(OR(ЦТО!W3=ЦТО!$BK$8,ЦТО!W3=ЦТО!$BK$9,ЦТО!W3=ЦТО!$BK$10),"Обратить внимание","Отклонений нет")</f>
        <v>Отклонений нет</v>
      </c>
      <c r="K3" s="14" t="str">
        <f>IF(OR(ЦТО!X3=ЦТО!$BK$8,ЦТО!X3=ЦТО!$BK$9,ЦТО!X3=ЦТО!$BK$10),"Обратить внимание","Отклонений нет")</f>
        <v>Отклонений нет</v>
      </c>
      <c r="L3" s="14" t="str">
        <f>IF(OR(ЦТО!Y3=ЦТО!$BK$8,ЦТО!Y3=ЦТО!$BK$9,ЦТО!Y3=ЦТО!$BK$10),"Обратить внимание","Отклонений нет")</f>
        <v>Отклонений нет</v>
      </c>
      <c r="M3" s="14" t="str">
        <f>IF(OR(ЦТО!Z3=ЦТО!$BK$8,ЦТО!Z3=ЦТО!$BK$9,ЦТО!Z3=ЦТО!$BK$10),"Обратить внимание","Отклонений нет")</f>
        <v>Отклонений нет</v>
      </c>
      <c r="N3" s="14" t="str">
        <f>IF(OR(ЦТО!AA3=ЦТО!$BK$8,ЦТО!AA3=ЦТО!$BK$9,ЦТО!AA3=ЦТО!$BK$10),"Обратить внимание","Отклонений нет")</f>
        <v>Отклонений нет</v>
      </c>
      <c r="O3" s="14" t="str">
        <f>IF(OR(ЦТО!AB3=ЦТО!$BK$8,ЦТО!AB3=ЦТО!$BK$9,ЦТО!AB3=ЦТО!$BK$10),"Обратить внимание","Отклонений нет")</f>
        <v>Отклонений нет</v>
      </c>
      <c r="P3" s="14" t="str">
        <f>IF(OR(ЦТО!AC3=ЦТО!$BK$8,ЦТО!AC3=ЦТО!$BK$9,ЦТО!AC3=ЦТО!$BK$10),"Обратить внимание","Отклонений нет")</f>
        <v>Отклонений нет</v>
      </c>
      <c r="Q3" s="14" t="str">
        <f>IF(OR(ЦТО!AD3=ЦТО!$BK$8,ЦТО!AD3=ЦТО!$BK$9,ЦТО!AD3=ЦТО!$BK$10),"Обратить внимание","Отклонений нет")</f>
        <v>Отклонений нет</v>
      </c>
      <c r="R3" s="14" t="str">
        <f>IF(OR(ЦТО!AE3=ЦТО!$BK$8,ЦТО!AE3=ЦТО!$BK$9,ЦТО!AE3=ЦТО!$BK$10),"Обратить внимание","Отклонений нет")</f>
        <v>Отклонений нет</v>
      </c>
      <c r="S3" s="14" t="str">
        <f>IF(OR(ЦТО!AF3=ЦТО!$BK$8,ЦТО!AF3=ЦТО!$BK$9,ЦТО!AF3=ЦТО!$BK$10),"Обратить внимание","Отклонений нет")</f>
        <v>Отклонений нет</v>
      </c>
      <c r="T3" s="14" t="str">
        <f>IF(OR(ЦТО!AG3=ЦТО!$BK$8,ЦТО!AG3=ЦТО!$BK$9,ЦТО!AG3=ЦТО!$BK$10),"Обратить внимание","Отклонений нет")</f>
        <v>Отклонений нет</v>
      </c>
      <c r="U3" s="14" t="str">
        <f>IF(OR(ЦТО!AH3=ЦТО!$BK$8,ЦТО!AH3=ЦТО!$BK$9,ЦТО!AH3=ЦТО!$BK$10),"Обратить внимание","Отклонений нет")</f>
        <v>Отклонений нет</v>
      </c>
      <c r="V3" s="47" t="str">
        <f>IF(OR(ЦТО!AI3=ЦТО!$BK$8,ЦТО!AI3=ЦТО!$BK$9,ЦТО!AI3=ЦТО!$BK$10),"Обратить внимание","Отклонений нет")</f>
        <v>Отклонений нет</v>
      </c>
      <c r="W3" s="47" t="str">
        <f>IF(OR(ЦТО!AJ3=ЦТО!$BK$8,ЦТО!AJ3=ЦТО!$BK$9,ЦТО!AJ3=ЦТО!$BK$10),"Обратить внимание","Отклонений нет")</f>
        <v>Отклонений нет</v>
      </c>
      <c r="X3" s="47" t="str">
        <f>IF(OR(ЦТО!AK3=ЦТО!$BK$8,ЦТО!AK3=ЦТО!$BK$9,ЦТО!AK3=ЦТО!$BK$10),"Обратить внимание","Отклонений нет")</f>
        <v>Отклонений нет</v>
      </c>
    </row>
    <row r="4" spans="1:24" ht="18" customHeight="1">
      <c r="A4" s="10">
        <v>2</v>
      </c>
      <c r="B4" s="14" t="str">
        <f>IF(ЦТО!B4="","",ЦТО!B4)</f>
        <v>Б</v>
      </c>
      <c r="C4" s="14" t="str">
        <f>IF(ЦТО!C4="","",ЦТО!C4)</f>
        <v>2 а</v>
      </c>
      <c r="D4" s="36" t="str">
        <f>IF(ЦТО!D4="","",ЦТО!D4)</f>
        <v/>
      </c>
      <c r="E4" s="89" t="b">
        <f>IF(ЦТО!$N4=ЦТО!$W4,"Душа",IF(ЦТО!$N4=ЦТО!$X4,ЦТО!$X$2,IF(ЦТО!$N4=ЦТО!$Y4,ЦТО!$Y$2,IF(ЦТО!$N4=ЦТО!$AE4,ЦТО!$AE$2,IF(ЦТО!$N4=ЦТО!$AF4,ЦТО!$AF$2,IF(ЦТО!$N4=ЦТО!$AG4,ЦТО!$AG$2,IF(ЦТО!$N4=ЦТО!$AH4,ЦТО!$AH$2,IF(ЦТО!$N4=ЦТО!$AI4,ЦТО!$AI$2,IF(ЦТО!$N4=ЦТО!$AJ4,ЦТО!$AJ$2,IF(ЦТО!$N4=ЦТО!$AK4,ЦТО!$AK$2))))))))))</f>
        <v>0</v>
      </c>
      <c r="F4" s="89" t="str">
        <f>IF(ЦТО!P4=ЦТО!W4,"Душа",IF(ЦТО!P4=ЦТО!X4,ЦТО!$X$2,IF(ЦТО!P4=ЦТО!Y4,ЦТО!$Y$2,IF(ЦТО!P4=ЦТО!AE4,ЦТО!$AE$2,IF(ЦТО!P4=ЦТО!AF4,ЦТО!$AF$2,IF(ЦТО!P4=ЦТО!AG4,ЦТО!$AG$2,IF(ЦТО!P4=ЦТО!AH4,ЦТО!$AH$2,IF(ЦТО!P4=ЦТО!AI4,ЦТО!$AI$2,IF(ЦТО!P4=ЦТО!AJ4,ЦТО!$AJ$2,IF(ЦТО!P4=ЦТО!AK4,ЦТО!$AK$2))))))))))</f>
        <v>Уроки</v>
      </c>
      <c r="G4" s="89" t="str">
        <f>IF(ЦТО!$R4=ЦТО!$W4,"Душа",IF(ЦТО!$R4=ЦТО!$X4,ЦТО!$X$2,IF(ЦТО!$R4=ЦТО!$Y4,ЦТО!$Y$2,IF(ЦТО!$R4=ЦТО!$AE4,ЦТО!$AE$2,IF(ЦТО!$R4=ЦТО!$AF4,ЦТО!$AF$2,IF(ЦТО!$R4=ЦТО!$AG4,ЦТО!$AG$2,IF(ЦТО!$R4=ЦТО!$AH4,ЦТО!$AH$2,IF(ЦТО!$R4=ЦТО!$AI4,ЦТО!$AI$2,IF(ЦТО!$R4=ЦТО!$AJ4,ЦТО!$AJ$2,IF(ЦТО!$R4=ЦТО!$AK4,ЦТО!$AK$2))))))))))</f>
        <v>Школа</v>
      </c>
      <c r="H4" s="89" t="b">
        <f>IF(ЦТО!$T4=ЦТО!$W4,"Душа",IF(ЦТО!$T4=ЦТО!$X4,ЦТО!$X$2,IF(ЦТО!$T4=ЦТО!$Y4,ЦТО!$Y$2,IF(ЦТО!$T4=ЦТО!$AE4,ЦТО!$AE$2,IF(ЦТО!$T4=ЦТО!$AF4,ЦТО!$AF$2,IF(ЦТО!$T4=ЦТО!$AG4,ЦТО!$AG$2,IF(ЦТО!$T4=ЦТО!$AH4,ЦТО!$AH$2,IF(ЦТО!$T4=ЦТО!$AI4,ЦТО!$AI$2,IF(ЦТО!$T4=ЦТО!$AJ4,ЦТО!$AJ$2,IF(ЦТО!$T4=ЦТО!$AK4,ЦТО!$AK$2))))))))))</f>
        <v>0</v>
      </c>
      <c r="I4" s="89" t="str">
        <f>IF(ЦТО!$U4=ЦТО!$W4,"Душа",IF(ЦТО!$U4=ЦТО!$X4,ЦТО!$X$2,IF(ЦТО!$U4=ЦТО!$Y4,ЦТО!$Y$2,IF(ЦТО!$U4=ЦТО!$AE4,ЦТО!$AE$2,IF(ЦТО!$U4=ЦТО!$AF4,ЦТО!$AF$2,IF(ЦТО!$U4=ЦТО!$AG4,ЦТО!$AG$2,IF(ЦТО!$U4=ЦТО!$AH4,ЦТО!$AH$2,IF(ЦТО!$U4=ЦТО!$AI4,ЦТО!$AI$2,IF(ЦТО!$U4=ЦТО!$AJ4,ЦТО!$AJ$2,IF(ЦТО!$U4=ЦТО!$AK4,ЦТО!$AK$2))))))))))</f>
        <v>Школа</v>
      </c>
      <c r="J4" s="47" t="str">
        <f>IF(OR(ЦТО!W4=ЦТО!$BK$8,ЦТО!W4=ЦТО!$BK$9,ЦТО!W4=ЦТО!$BK$10),"Обратить внимание","Отклонений нет")</f>
        <v>Отклонений нет</v>
      </c>
      <c r="K4" s="14" t="str">
        <f>IF(OR(ЦТО!X4=ЦТО!$BK$8,ЦТО!X4=ЦТО!$BK$9,ЦТО!X4=ЦТО!$BK$10),"Обратить внимание","Отклонений нет")</f>
        <v>Обратить внимание</v>
      </c>
      <c r="L4" s="14" t="str">
        <f>IF(OR(ЦТО!Y4=ЦТО!$BK$8,ЦТО!Y4=ЦТО!$BK$9,ЦТО!Y4=ЦТО!$BK$10),"Обратить внимание","Отклонений нет")</f>
        <v>Отклонений нет</v>
      </c>
      <c r="M4" s="14" t="str">
        <f>IF(OR(ЦТО!Z4=ЦТО!$BK$8,ЦТО!Z4=ЦТО!$BK$9,ЦТО!Z4=ЦТО!$BK$10),"Обратить внимание","Отклонений нет")</f>
        <v>Отклонений нет</v>
      </c>
      <c r="N4" s="14" t="str">
        <f>IF(OR(ЦТО!AA4=ЦТО!$BK$8,ЦТО!AA4=ЦТО!$BK$9,ЦТО!AA4=ЦТО!$BK$10),"Обратить внимание","Отклонений нет")</f>
        <v>Обратить внимание</v>
      </c>
      <c r="O4" s="14" t="str">
        <f>IF(OR(ЦТО!AB4=ЦТО!$BK$8,ЦТО!AB4=ЦТО!$BK$9,ЦТО!AB4=ЦТО!$BK$10),"Обратить внимание","Отклонений нет")</f>
        <v>Обратить внимание</v>
      </c>
      <c r="P4" s="14" t="str">
        <f>IF(OR(ЦТО!AC4=ЦТО!$BK$8,ЦТО!AC4=ЦТО!$BK$9,ЦТО!AC4=ЦТО!$BK$10),"Обратить внимание","Отклонений нет")</f>
        <v>Отклонений нет</v>
      </c>
      <c r="Q4" s="14" t="str">
        <f>IF(OR(ЦТО!AD4=ЦТО!$BK$8,ЦТО!AD4=ЦТО!$BK$9,ЦТО!AD4=ЦТО!$BK$10),"Обратить внимание","Отклонений нет")</f>
        <v>Отклонений нет</v>
      </c>
      <c r="R4" s="14" t="str">
        <f>IF(OR(ЦТО!AE4=ЦТО!$BK$8,ЦТО!AE4=ЦТО!$BK$9,ЦТО!AE4=ЦТО!$BK$10),"Обратить внимание","Отклонений нет")</f>
        <v>Отклонений нет</v>
      </c>
      <c r="S4" s="14" t="str">
        <f>IF(OR(ЦТО!AF4=ЦТО!$BK$8,ЦТО!AF4=ЦТО!$BK$9,ЦТО!AF4=ЦТО!$BK$10),"Обратить внимание","Отклонений нет")</f>
        <v>Отклонений нет</v>
      </c>
      <c r="T4" s="14" t="str">
        <f>IF(OR(ЦТО!AG4=ЦТО!$BK$8,ЦТО!AG4=ЦТО!$BK$9,ЦТО!AG4=ЦТО!$BK$10),"Обратить внимание","Отклонений нет")</f>
        <v>Обратить внимание</v>
      </c>
      <c r="U4" s="14" t="str">
        <f>IF(OR(ЦТО!AH4=ЦТО!$BK$8,ЦТО!AH4=ЦТО!$BK$9,ЦТО!AH4=ЦТО!$BK$10),"Обратить внимание","Отклонений нет")</f>
        <v>Обратить внимание</v>
      </c>
      <c r="V4" s="47" t="str">
        <f>IF(OR(ЦТО!AI4=ЦТО!$BK$8,ЦТО!AI4=ЦТО!$BK$9,ЦТО!AI4=ЦТО!$BK$10),"Обратить внимание","Отклонений нет")</f>
        <v>Отклонений нет</v>
      </c>
      <c r="W4" s="47" t="str">
        <f>IF(OR(ЦТО!AJ4=ЦТО!$BK$8,ЦТО!AJ4=ЦТО!$BK$9,ЦТО!AJ4=ЦТО!$BK$10),"Обратить внимание","Отклонений нет")</f>
        <v>Отклонений нет</v>
      </c>
      <c r="X4" s="47" t="str">
        <f>IF(OR(ЦТО!AK4=ЦТО!$BK$8,ЦТО!AK4=ЦТО!$BK$9,ЦТО!AK4=ЦТО!$BK$10),"Обратить внимание","Отклонений нет")</f>
        <v>Отклонений нет</v>
      </c>
    </row>
    <row r="5" spans="1:24" ht="18" customHeight="1">
      <c r="A5" s="10">
        <v>3</v>
      </c>
      <c r="B5" s="14" t="str">
        <f>IF(ЦТО!B5="","",ЦТО!B5)</f>
        <v>В</v>
      </c>
      <c r="C5" s="14" t="str">
        <f>IF(ЦТО!C5="","",ЦТО!C5)</f>
        <v>2 а</v>
      </c>
      <c r="D5" s="36" t="str">
        <f>IF(ЦТО!D5="","",ЦТО!D5)</f>
        <v/>
      </c>
      <c r="E5" s="89" t="b">
        <f>IF(ЦТО!$N5=ЦТО!$W5,"Душа",IF(ЦТО!$N5=ЦТО!$X5,ЦТО!$X$2,IF(ЦТО!$N5=ЦТО!$Y5,ЦТО!$Y$2,IF(ЦТО!$N5=ЦТО!$AE5,ЦТО!$AE$2,IF(ЦТО!$N5=ЦТО!$AF5,ЦТО!$AF$2,IF(ЦТО!$N5=ЦТО!$AG5,ЦТО!$AG$2,IF(ЦТО!$N5=ЦТО!$AH5,ЦТО!$AH$2,IF(ЦТО!$N5=ЦТО!$AI5,ЦТО!$AI$2,IF(ЦТО!$N5=ЦТО!$AJ5,ЦТО!$AJ$2,IF(ЦТО!$N5=ЦТО!$AK5,ЦТО!$AK$2))))))))))</f>
        <v>0</v>
      </c>
      <c r="F5" s="89" t="str">
        <f>IF(ЦТО!P5=ЦТО!W5,"Душа",IF(ЦТО!P5=ЦТО!X5,ЦТО!$X$2,IF(ЦТО!P5=ЦТО!Y5,ЦТО!$Y$2,IF(ЦТО!P5=ЦТО!AE5,ЦТО!$AE$2,IF(ЦТО!P5=ЦТО!AF5,ЦТО!$AF$2,IF(ЦТО!P5=ЦТО!AG5,ЦТО!$AG$2,IF(ЦТО!P5=ЦТО!AH5,ЦТО!$AH$2,IF(ЦТО!P5=ЦТО!AI5,ЦТО!$AI$2,IF(ЦТО!P5=ЦТО!AJ5,ЦТО!$AJ$2,IF(ЦТО!P5=ЦТО!AK5,ЦТО!$AK$2))))))))))</f>
        <v>Уроки</v>
      </c>
      <c r="G5" s="89" t="str">
        <f>IF(ЦТО!$R5=ЦТО!$W5,"Душа",IF(ЦТО!$R5=ЦТО!$X5,ЦТО!$X$2,IF(ЦТО!$R5=ЦТО!$Y5,ЦТО!$Y$2,IF(ЦТО!$R5=ЦТО!$AE5,ЦТО!$AE$2,IF(ЦТО!$R5=ЦТО!$AF5,ЦТО!$AF$2,IF(ЦТО!$R5=ЦТО!$AG5,ЦТО!$AG$2,IF(ЦТО!$R5=ЦТО!$AH5,ЦТО!$AH$2,IF(ЦТО!$R5=ЦТО!$AI5,ЦТО!$AI$2,IF(ЦТО!$R5=ЦТО!$AJ5,ЦТО!$AJ$2,IF(ЦТО!$R5=ЦТО!$AK5,ЦТО!$AK$2))))))))))</f>
        <v>Школа</v>
      </c>
      <c r="H5" s="89" t="b">
        <f>IF(ЦТО!$T5=ЦТО!$W5,"Душа",IF(ЦТО!$T5=ЦТО!$X5,ЦТО!$X$2,IF(ЦТО!$T5=ЦТО!$Y5,ЦТО!$Y$2,IF(ЦТО!$T5=ЦТО!$AE5,ЦТО!$AE$2,IF(ЦТО!$T5=ЦТО!$AF5,ЦТО!$AF$2,IF(ЦТО!$T5=ЦТО!$AG5,ЦТО!$AG$2,IF(ЦТО!$T5=ЦТО!$AH5,ЦТО!$AH$2,IF(ЦТО!$T5=ЦТО!$AI5,ЦТО!$AI$2,IF(ЦТО!$T5=ЦТО!$AJ5,ЦТО!$AJ$2,IF(ЦТО!$T5=ЦТО!$AK5,ЦТО!$AK$2))))))))))</f>
        <v>0</v>
      </c>
      <c r="I5" s="89" t="str">
        <f>IF(ЦТО!$U5=ЦТО!$W5,"Душа",IF(ЦТО!$U5=ЦТО!$X5,ЦТО!$X$2,IF(ЦТО!$U5=ЦТО!$Y5,ЦТО!$Y$2,IF(ЦТО!$U5=ЦТО!$AE5,ЦТО!$AE$2,IF(ЦТО!$U5=ЦТО!$AF5,ЦТО!$AF$2,IF(ЦТО!$U5=ЦТО!$AG5,ЦТО!$AG$2,IF(ЦТО!$U5=ЦТО!$AH5,ЦТО!$AH$2,IF(ЦТО!$U5=ЦТО!$AI5,ЦТО!$AI$2,IF(ЦТО!$U5=ЦТО!$AJ5,ЦТО!$AJ$2,IF(ЦТО!$U5=ЦТО!$AK5,ЦТО!$AK$2))))))))))</f>
        <v>Школа</v>
      </c>
      <c r="J5" s="47" t="str">
        <f>IF(OR(ЦТО!W5=ЦТО!$BK$8,ЦТО!W5=ЦТО!$BK$9,ЦТО!W5=ЦТО!$BK$10),"Обратить внимание","Отклонений нет")</f>
        <v>Отклонений нет</v>
      </c>
      <c r="K5" s="14" t="str">
        <f>IF(OR(ЦТО!X5=ЦТО!$BK$8,ЦТО!X5=ЦТО!$BK$9,ЦТО!X5=ЦТО!$BK$10),"Обратить внимание","Отклонений нет")</f>
        <v>Обратить внимание</v>
      </c>
      <c r="L5" s="14" t="str">
        <f>IF(OR(ЦТО!Y5=ЦТО!$BK$8,ЦТО!Y5=ЦТО!$BK$9,ЦТО!Y5=ЦТО!$BK$10),"Обратить внимание","Отклонений нет")</f>
        <v>Отклонений нет</v>
      </c>
      <c r="M5" s="14" t="str">
        <f>IF(OR(ЦТО!Z5=ЦТО!$BK$8,ЦТО!Z5=ЦТО!$BK$9,ЦТО!Z5=ЦТО!$BK$10),"Обратить внимание","Отклонений нет")</f>
        <v>Отклонений нет</v>
      </c>
      <c r="N5" s="14" t="str">
        <f>IF(OR(ЦТО!AA5=ЦТО!$BK$8,ЦТО!AA5=ЦТО!$BK$9,ЦТО!AA5=ЦТО!$BK$10),"Обратить внимание","Отклонений нет")</f>
        <v>Обратить внимание</v>
      </c>
      <c r="O5" s="14" t="str">
        <f>IF(OR(ЦТО!AB5=ЦТО!$BK$8,ЦТО!AB5=ЦТО!$BK$9,ЦТО!AB5=ЦТО!$BK$10),"Обратить внимание","Отклонений нет")</f>
        <v>Обратить внимание</v>
      </c>
      <c r="P5" s="14" t="str">
        <f>IF(OR(ЦТО!AC5=ЦТО!$BK$8,ЦТО!AC5=ЦТО!$BK$9,ЦТО!AC5=ЦТО!$BK$10),"Обратить внимание","Отклонений нет")</f>
        <v>Отклонений нет</v>
      </c>
      <c r="Q5" s="14" t="str">
        <f>IF(OR(ЦТО!AD5=ЦТО!$BK$8,ЦТО!AD5=ЦТО!$BK$9,ЦТО!AD5=ЦТО!$BK$10),"Обратить внимание","Отклонений нет")</f>
        <v>Отклонений нет</v>
      </c>
      <c r="R5" s="14" t="str">
        <f>IF(OR(ЦТО!AE5=ЦТО!$BK$8,ЦТО!AE5=ЦТО!$BK$9,ЦТО!AE5=ЦТО!$BK$10),"Обратить внимание","Отклонений нет")</f>
        <v>Отклонений нет</v>
      </c>
      <c r="S5" s="14" t="str">
        <f>IF(OR(ЦТО!AF5=ЦТО!$BK$8,ЦТО!AF5=ЦТО!$BK$9,ЦТО!AF5=ЦТО!$BK$10),"Обратить внимание","Отклонений нет")</f>
        <v>Отклонений нет</v>
      </c>
      <c r="T5" s="14" t="str">
        <f>IF(OR(ЦТО!AG5=ЦТО!$BK$8,ЦТО!AG5=ЦТО!$BK$9,ЦТО!AG5=ЦТО!$BK$10),"Обратить внимание","Отклонений нет")</f>
        <v>Обратить внимание</v>
      </c>
      <c r="U5" s="14" t="str">
        <f>IF(OR(ЦТО!AH5=ЦТО!$BK$8,ЦТО!AH5=ЦТО!$BK$9,ЦТО!AH5=ЦТО!$BK$10),"Обратить внимание","Отклонений нет")</f>
        <v>Отклонений нет</v>
      </c>
      <c r="V5" s="47" t="str">
        <f>IF(OR(ЦТО!AI5=ЦТО!$BK$8,ЦТО!AI5=ЦТО!$BK$9,ЦТО!AI5=ЦТО!$BK$10),"Обратить внимание","Отклонений нет")</f>
        <v>Отклонений нет</v>
      </c>
      <c r="W5" s="47" t="str">
        <f>IF(OR(ЦТО!AJ5=ЦТО!$BK$8,ЦТО!AJ5=ЦТО!$BK$9,ЦТО!AJ5=ЦТО!$BK$10),"Обратить внимание","Отклонений нет")</f>
        <v>Отклонений нет</v>
      </c>
      <c r="X5" s="47" t="str">
        <f>IF(OR(ЦТО!AK5=ЦТО!$BK$8,ЦТО!AK5=ЦТО!$BK$9,ЦТО!AK5=ЦТО!$BK$10),"Обратить внимание","Отклонений нет")</f>
        <v>Отклонений нет</v>
      </c>
    </row>
    <row r="6" spans="1:24" ht="18" customHeight="1">
      <c r="A6" s="10">
        <v>4</v>
      </c>
      <c r="B6" s="14" t="str">
        <f>IF(ЦТО!B6="","",ЦТО!B6)</f>
        <v>Г</v>
      </c>
      <c r="C6" s="14" t="str">
        <f>IF(ЦТО!C6="","",ЦТО!C6)</f>
        <v>2 а</v>
      </c>
      <c r="D6" s="36" t="str">
        <f>IF(ЦТО!D6="","",ЦТО!D6)</f>
        <v/>
      </c>
      <c r="E6" s="89" t="b">
        <f>IF(ЦТО!$N6=ЦТО!$W6,"Душа",IF(ЦТО!$N6=ЦТО!$X6,ЦТО!$X$2,IF(ЦТО!$N6=ЦТО!$Y6,ЦТО!$Y$2,IF(ЦТО!$N6=ЦТО!$AE6,ЦТО!$AE$2,IF(ЦТО!$N6=ЦТО!$AF6,ЦТО!$AF$2,IF(ЦТО!$N6=ЦТО!$AG6,ЦТО!$AG$2,IF(ЦТО!$N6=ЦТО!$AH6,ЦТО!$AH$2,IF(ЦТО!$N6=ЦТО!$AI6,ЦТО!$AI$2,IF(ЦТО!$N6=ЦТО!$AJ6,ЦТО!$AJ$2,IF(ЦТО!$N6=ЦТО!$AK6,ЦТО!$AK$2))))))))))</f>
        <v>0</v>
      </c>
      <c r="F6" s="89" t="str">
        <f>IF(ЦТО!P6=ЦТО!W6,"Душа",IF(ЦТО!P6=ЦТО!X6,ЦТО!$X$2,IF(ЦТО!P6=ЦТО!Y6,ЦТО!$Y$2,IF(ЦТО!P6=ЦТО!AE6,ЦТО!$AE$2,IF(ЦТО!P6=ЦТО!AF6,ЦТО!$AF$2,IF(ЦТО!P6=ЦТО!AG6,ЦТО!$AG$2,IF(ЦТО!P6=ЦТО!AH6,ЦТО!$AH$2,IF(ЦТО!P6=ЦТО!AI6,ЦТО!$AI$2,IF(ЦТО!P6=ЦТО!AJ6,ЦТО!$AJ$2,IF(ЦТО!P6=ЦТО!AK6,ЦТО!$AK$2))))))))))</f>
        <v>Школа</v>
      </c>
      <c r="G6" s="89" t="b">
        <f>IF(ЦТО!$R6=ЦТО!$W6,"Душа",IF(ЦТО!$R6=ЦТО!$X6,ЦТО!$X$2,IF(ЦТО!$R6=ЦТО!$Y6,ЦТО!$Y$2,IF(ЦТО!$R6=ЦТО!$AE6,ЦТО!$AE$2,IF(ЦТО!$R6=ЦТО!$AF6,ЦТО!$AF$2,IF(ЦТО!$R6=ЦТО!$AG6,ЦТО!$AG$2,IF(ЦТО!$R6=ЦТО!$AH6,ЦТО!$AH$2,IF(ЦТО!$R6=ЦТО!$AI6,ЦТО!$AI$2,IF(ЦТО!$R6=ЦТО!$AJ6,ЦТО!$AJ$2,IF(ЦТО!$R6=ЦТО!$AK6,ЦТО!$AK$2))))))))))</f>
        <v>0</v>
      </c>
      <c r="H6" s="89" t="b">
        <f>IF(ЦТО!$T6=ЦТО!$W6,"Душа",IF(ЦТО!$T6=ЦТО!$X6,ЦТО!$X$2,IF(ЦТО!$T6=ЦТО!$Y6,ЦТО!$Y$2,IF(ЦТО!$T6=ЦТО!$AE6,ЦТО!$AE$2,IF(ЦТО!$T6=ЦТО!$AF6,ЦТО!$AF$2,IF(ЦТО!$T6=ЦТО!$AG6,ЦТО!$AG$2,IF(ЦТО!$T6=ЦТО!$AH6,ЦТО!$AH$2,IF(ЦТО!$T6=ЦТО!$AI6,ЦТО!$AI$2,IF(ЦТО!$T6=ЦТО!$AJ6,ЦТО!$AJ$2,IF(ЦТО!$T6=ЦТО!$AK6,ЦТО!$AK$2))))))))))</f>
        <v>0</v>
      </c>
      <c r="I6" s="89" t="b">
        <f>IF(ЦТО!$U6=ЦТО!$W6,"Душа",IF(ЦТО!$U6=ЦТО!$X6,ЦТО!$X$2,IF(ЦТО!$U6=ЦТО!$Y6,ЦТО!$Y$2,IF(ЦТО!$U6=ЦТО!$AE6,ЦТО!$AE$2,IF(ЦТО!$U6=ЦТО!$AF6,ЦТО!$AF$2,IF(ЦТО!$U6=ЦТО!$AG6,ЦТО!$AG$2,IF(ЦТО!$U6=ЦТО!$AH6,ЦТО!$AH$2,IF(ЦТО!$U6=ЦТО!$AI6,ЦТО!$AI$2,IF(ЦТО!$U6=ЦТО!$AJ6,ЦТО!$AJ$2,IF(ЦТО!$U6=ЦТО!$AK6,ЦТО!$AK$2))))))))))</f>
        <v>0</v>
      </c>
      <c r="J6" s="47" t="str">
        <f>IF(OR(ЦТО!W6=ЦТО!$BK$8,ЦТО!W6=ЦТО!$BK$9,ЦТО!W6=ЦТО!$BK$10),"Обратить внимание","Отклонений нет")</f>
        <v>Отклонений нет</v>
      </c>
      <c r="K6" s="14" t="str">
        <f>IF(OR(ЦТО!X6=ЦТО!$BK$8,ЦТО!X6=ЦТО!$BK$9,ЦТО!X6=ЦТО!$BK$10),"Обратить внимание","Отклонений нет")</f>
        <v>Обратить внимание</v>
      </c>
      <c r="L6" s="14" t="str">
        <f>IF(OR(ЦТО!Y6=ЦТО!$BK$8,ЦТО!Y6=ЦТО!$BK$9,ЦТО!Y6=ЦТО!$BK$10),"Обратить внимание","Отклонений нет")</f>
        <v>Обратить внимание</v>
      </c>
      <c r="M6" s="14" t="str">
        <f>IF(OR(ЦТО!Z6=ЦТО!$BK$8,ЦТО!Z6=ЦТО!$BK$9,ЦТО!Z6=ЦТО!$BK$10),"Обратить внимание","Отклонений нет")</f>
        <v>Обратить внимание</v>
      </c>
      <c r="N6" s="14" t="str">
        <f>IF(OR(ЦТО!AA6=ЦТО!$BK$8,ЦТО!AA6=ЦТО!$BK$9,ЦТО!AA6=ЦТО!$BK$10),"Обратить внимание","Отклонений нет")</f>
        <v>Обратить внимание</v>
      </c>
      <c r="O6" s="14" t="str">
        <f>IF(OR(ЦТО!AB6=ЦТО!$BK$8,ЦТО!AB6=ЦТО!$BK$9,ЦТО!AB6=ЦТО!$BK$10),"Обратить внимание","Отклонений нет")</f>
        <v>Обратить внимание</v>
      </c>
      <c r="P6" s="14" t="str">
        <f>IF(OR(ЦТО!AC6=ЦТО!$BK$8,ЦТО!AC6=ЦТО!$BK$9,ЦТО!AC6=ЦТО!$BK$10),"Обратить внимание","Отклонений нет")</f>
        <v>Обратить внимание</v>
      </c>
      <c r="Q6" s="14" t="str">
        <f>IF(OR(ЦТО!AD6=ЦТО!$BK$8,ЦТО!AD6=ЦТО!$BK$9,ЦТО!AD6=ЦТО!$BK$10),"Обратить внимание","Отклонений нет")</f>
        <v>Обратить внимание</v>
      </c>
      <c r="R6" s="14" t="str">
        <f>IF(OR(ЦТО!AE6=ЦТО!$BK$8,ЦТО!AE6=ЦТО!$BK$9,ЦТО!AE6=ЦТО!$BK$10),"Обратить внимание","Отклонений нет")</f>
        <v>Отклонений нет</v>
      </c>
      <c r="S6" s="14" t="str">
        <f>IF(OR(ЦТО!AF6=ЦТО!$BK$8,ЦТО!AF6=ЦТО!$BK$9,ЦТО!AF6=ЦТО!$BK$10),"Обратить внимание","Отклонений нет")</f>
        <v>Отклонений нет</v>
      </c>
      <c r="T6" s="14" t="str">
        <f>IF(OR(ЦТО!AG6=ЦТО!$BK$8,ЦТО!AG6=ЦТО!$BK$9,ЦТО!AG6=ЦТО!$BK$10),"Обратить внимание","Отклонений нет")</f>
        <v>Обратить внимание</v>
      </c>
      <c r="U6" s="14" t="str">
        <f>IF(OR(ЦТО!AH6=ЦТО!$BK$8,ЦТО!AH6=ЦТО!$BK$9,ЦТО!AH6=ЦТО!$BK$10),"Обратить внимание","Отклонений нет")</f>
        <v>Отклонений нет</v>
      </c>
      <c r="V6" s="47" t="str">
        <f>IF(OR(ЦТО!AI6=ЦТО!$BK$8,ЦТО!AI6=ЦТО!$BK$9,ЦТО!AI6=ЦТО!$BK$10),"Обратить внимание","Отклонений нет")</f>
        <v>Отклонений нет</v>
      </c>
      <c r="W6" s="47" t="str">
        <f>IF(OR(ЦТО!AJ6=ЦТО!$BK$8,ЦТО!AJ6=ЦТО!$BK$9,ЦТО!AJ6=ЦТО!$BK$10),"Обратить внимание","Отклонений нет")</f>
        <v>Отклонений нет</v>
      </c>
      <c r="X6" s="47" t="str">
        <f>IF(OR(ЦТО!AK6=ЦТО!$BK$8,ЦТО!AK6=ЦТО!$BK$9,ЦТО!AK6=ЦТО!$BK$10),"Обратить внимание","Отклонений нет")</f>
        <v>Отклонений нет</v>
      </c>
    </row>
    <row r="7" spans="1:24" ht="18" customHeight="1">
      <c r="A7" s="10">
        <v>5</v>
      </c>
      <c r="B7" s="14" t="str">
        <f>IF(ЦТО!B7="","",ЦТО!B7)</f>
        <v>Д</v>
      </c>
      <c r="C7" s="14" t="str">
        <f>IF(ЦТО!C7="","",ЦТО!C7)</f>
        <v>2 а</v>
      </c>
      <c r="D7" s="36" t="str">
        <f>IF(ЦТО!D7="","",ЦТО!D7)</f>
        <v/>
      </c>
      <c r="E7" s="89" t="b">
        <f>IF(ЦТО!$N7=ЦТО!$W7,"Душа",IF(ЦТО!$N7=ЦТО!$X7,ЦТО!$X$2,IF(ЦТО!$N7=ЦТО!$Y7,ЦТО!$Y$2,IF(ЦТО!$N7=ЦТО!$AE7,ЦТО!$AE$2,IF(ЦТО!$N7=ЦТО!$AF7,ЦТО!$AF$2,IF(ЦТО!$N7=ЦТО!$AG7,ЦТО!$AG$2,IF(ЦТО!$N7=ЦТО!$AH7,ЦТО!$AH$2,IF(ЦТО!$N7=ЦТО!$AI7,ЦТО!$AI$2,IF(ЦТО!$N7=ЦТО!$AJ7,ЦТО!$AJ$2,IF(ЦТО!$N7=ЦТО!$AK7,ЦТО!$AK$2))))))))))</f>
        <v>0</v>
      </c>
      <c r="F7" s="89" t="b">
        <f>IF(ЦТО!P7=ЦТО!W7,"Душа",IF(ЦТО!P7=ЦТО!X7,ЦТО!$X$2,IF(ЦТО!P7=ЦТО!Y7,ЦТО!$Y$2,IF(ЦТО!P7=ЦТО!AE7,ЦТО!$AE$2,IF(ЦТО!P7=ЦТО!AF7,ЦТО!$AF$2,IF(ЦТО!P7=ЦТО!AG7,ЦТО!$AG$2,IF(ЦТО!P7=ЦТО!AH7,ЦТО!$AH$2,IF(ЦТО!P7=ЦТО!AI7,ЦТО!$AI$2,IF(ЦТО!P7=ЦТО!AJ7,ЦТО!$AJ$2,IF(ЦТО!P7=ЦТО!AK7,ЦТО!$AK$2))))))))))</f>
        <v>0</v>
      </c>
      <c r="G7" s="89" t="b">
        <f>IF(ЦТО!$R7=ЦТО!$W7,"Душа",IF(ЦТО!$R7=ЦТО!$X7,ЦТО!$X$2,IF(ЦТО!$R7=ЦТО!$Y7,ЦТО!$Y$2,IF(ЦТО!$R7=ЦТО!$AE7,ЦТО!$AE$2,IF(ЦТО!$R7=ЦТО!$AF7,ЦТО!$AF$2,IF(ЦТО!$R7=ЦТО!$AG7,ЦТО!$AG$2,IF(ЦТО!$R7=ЦТО!$AH7,ЦТО!$AH$2,IF(ЦТО!$R7=ЦТО!$AI7,ЦТО!$AI$2,IF(ЦТО!$R7=ЦТО!$AJ7,ЦТО!$AJ$2,IF(ЦТО!$R7=ЦТО!$AK7,ЦТО!$AK$2))))))))))</f>
        <v>0</v>
      </c>
      <c r="H7" s="89" t="b">
        <f>IF(ЦТО!$T7=ЦТО!$W7,"Душа",IF(ЦТО!$T7=ЦТО!$X7,ЦТО!$X$2,IF(ЦТО!$T7=ЦТО!$Y7,ЦТО!$Y$2,IF(ЦТО!$T7=ЦТО!$AE7,ЦТО!$AE$2,IF(ЦТО!$T7=ЦТО!$AF7,ЦТО!$AF$2,IF(ЦТО!$T7=ЦТО!$AG7,ЦТО!$AG$2,IF(ЦТО!$T7=ЦТО!$AH7,ЦТО!$AH$2,IF(ЦТО!$T7=ЦТО!$AI7,ЦТО!$AI$2,IF(ЦТО!$T7=ЦТО!$AJ7,ЦТО!$AJ$2,IF(ЦТО!$T7=ЦТО!$AK7,ЦТО!$AK$2))))))))))</f>
        <v>0</v>
      </c>
      <c r="I7" s="89" t="str">
        <f>IF(ЦТО!$U7=ЦТО!$W7,"Душа",IF(ЦТО!$U7=ЦТО!$X7,ЦТО!$X$2,IF(ЦТО!$U7=ЦТО!$Y7,ЦТО!$Y$2,IF(ЦТО!$U7=ЦТО!$AE7,ЦТО!$AE$2,IF(ЦТО!$U7=ЦТО!$AF7,ЦТО!$AF$2,IF(ЦТО!$U7=ЦТО!$AG7,ЦТО!$AG$2,IF(ЦТО!$U7=ЦТО!$AH7,ЦТО!$AH$2,IF(ЦТО!$U7=ЦТО!$AI7,ЦТО!$AI$2,IF(ЦТО!$U7=ЦТО!$AJ7,ЦТО!$AJ$2,IF(ЦТО!$U7=ЦТО!$AK7,ЦТО!$AK$2))))))))))</f>
        <v>Школа</v>
      </c>
      <c r="J7" s="47" t="str">
        <f>IF(OR(ЦТО!W7=ЦТО!$BK$8,ЦТО!W7=ЦТО!$BK$9,ЦТО!W7=ЦТО!$BK$10),"Обратить внимание","Отклонений нет")</f>
        <v>Отклонений нет</v>
      </c>
      <c r="K7" s="14" t="str">
        <f>IF(OR(ЦТО!X7=ЦТО!$BK$8,ЦТО!X7=ЦТО!$BK$9,ЦТО!X7=ЦТО!$BK$10),"Обратить внимание","Отклонений нет")</f>
        <v>Отклонений нет</v>
      </c>
      <c r="L7" s="14" t="str">
        <f>IF(OR(ЦТО!Y7=ЦТО!$BK$8,ЦТО!Y7=ЦТО!$BK$9,ЦТО!Y7=ЦТО!$BK$10),"Обратить внимание","Отклонений нет")</f>
        <v>Отклонений нет</v>
      </c>
      <c r="M7" s="14" t="str">
        <f>IF(OR(ЦТО!Z7=ЦТО!$BK$8,ЦТО!Z7=ЦТО!$BK$9,ЦТО!Z7=ЦТО!$BK$10),"Обратить внимание","Отклонений нет")</f>
        <v>Отклонений нет</v>
      </c>
      <c r="N7" s="14" t="str">
        <f>IF(OR(ЦТО!AA7=ЦТО!$BK$8,ЦТО!AA7=ЦТО!$BK$9,ЦТО!AA7=ЦТО!$BK$10),"Обратить внимание","Отклонений нет")</f>
        <v>Отклонений нет</v>
      </c>
      <c r="O7" s="14" t="str">
        <f>IF(OR(ЦТО!AB7=ЦТО!$BK$8,ЦТО!AB7=ЦТО!$BK$9,ЦТО!AB7=ЦТО!$BK$10),"Обратить внимание","Отклонений нет")</f>
        <v>Отклонений нет</v>
      </c>
      <c r="P7" s="14" t="str">
        <f>IF(OR(ЦТО!AC7=ЦТО!$BK$8,ЦТО!AC7=ЦТО!$BK$9,ЦТО!AC7=ЦТО!$BK$10),"Обратить внимание","Отклонений нет")</f>
        <v>Обратить внимание</v>
      </c>
      <c r="Q7" s="14" t="str">
        <f>IF(OR(ЦТО!AD7=ЦТО!$BK$8,ЦТО!AD7=ЦТО!$BK$9,ЦТО!AD7=ЦТО!$BK$10),"Обратить внимание","Отклонений нет")</f>
        <v>Отклонений нет</v>
      </c>
      <c r="R7" s="14" t="str">
        <f>IF(OR(ЦТО!AE7=ЦТО!$BK$8,ЦТО!AE7=ЦТО!$BK$9,ЦТО!AE7=ЦТО!$BK$10),"Обратить внимание","Отклонений нет")</f>
        <v>Отклонений нет</v>
      </c>
      <c r="S7" s="14" t="str">
        <f>IF(OR(ЦТО!AF7=ЦТО!$BK$8,ЦТО!AF7=ЦТО!$BK$9,ЦТО!AF7=ЦТО!$BK$10),"Обратить внимание","Отклонений нет")</f>
        <v>Отклонений нет</v>
      </c>
      <c r="T7" s="14" t="str">
        <f>IF(OR(ЦТО!AG7=ЦТО!$BK$8,ЦТО!AG7=ЦТО!$BK$9,ЦТО!AG7=ЦТО!$BK$10),"Обратить внимание","Отклонений нет")</f>
        <v>Отклонений нет</v>
      </c>
      <c r="U7" s="14" t="str">
        <f>IF(OR(ЦТО!AH7=ЦТО!$BK$8,ЦТО!AH7=ЦТО!$BK$9,ЦТО!AH7=ЦТО!$BK$10),"Обратить внимание","Отклонений нет")</f>
        <v>Отклонений нет</v>
      </c>
      <c r="V7" s="47" t="str">
        <f>IF(OR(ЦТО!AI7=ЦТО!$BK$8,ЦТО!AI7=ЦТО!$BK$9,ЦТО!AI7=ЦТО!$BK$10),"Обратить внимание","Отклонений нет")</f>
        <v>Отклонений нет</v>
      </c>
      <c r="W7" s="47" t="str">
        <f>IF(OR(ЦТО!AJ7=ЦТО!$BK$8,ЦТО!AJ7=ЦТО!$BK$9,ЦТО!AJ7=ЦТО!$BK$10),"Обратить внимание","Отклонений нет")</f>
        <v>Отклонений нет</v>
      </c>
      <c r="X7" s="47" t="str">
        <f>IF(OR(ЦТО!AK7=ЦТО!$BK$8,ЦТО!AK7=ЦТО!$BK$9,ЦТО!AK7=ЦТО!$BK$10),"Обратить внимание","Отклонений нет")</f>
        <v>Отклонений нет</v>
      </c>
    </row>
    <row r="8" spans="1:24" ht="18" customHeight="1">
      <c r="A8" s="10">
        <v>6</v>
      </c>
      <c r="B8" s="14" t="str">
        <f>IF(ЦТО!B8="","",ЦТО!B8)</f>
        <v>Е</v>
      </c>
      <c r="C8" s="14" t="str">
        <f>IF(ЦТО!C8="","",ЦТО!C8)</f>
        <v>2 а</v>
      </c>
      <c r="D8" s="36" t="str">
        <f>IF(ЦТО!D8="","",ЦТО!D8)</f>
        <v/>
      </c>
      <c r="E8" s="89" t="str">
        <f>IF(ЦТО!$N8=ЦТО!$W8,"Душа",IF(ЦТО!$N8=ЦТО!$X8,ЦТО!$X$2,IF(ЦТО!$N8=ЦТО!$Y8,ЦТО!$Y$2,IF(ЦТО!$N8=ЦТО!$AE8,ЦТО!$AE$2,IF(ЦТО!$N8=ЦТО!$AF8,ЦТО!$AF$2,IF(ЦТО!$N8=ЦТО!$AG8,ЦТО!$AG$2,IF(ЦТО!$N8=ЦТО!$AH8,ЦТО!$AH$2,IF(ЦТО!$N8=ЦТО!$AI8,ЦТО!$AI$2,IF(ЦТО!$N8=ЦТО!$AJ8,ЦТО!$AJ$2,IF(ЦТО!$N8=ЦТО!$AK8,ЦТО!$AK$2))))))))))</f>
        <v>Душа</v>
      </c>
      <c r="F8" s="89" t="str">
        <f>IF(ЦТО!P8=ЦТО!W8,"Душа",IF(ЦТО!P8=ЦТО!X8,ЦТО!$X$2,IF(ЦТО!P8=ЦТО!Y8,ЦТО!$Y$2,IF(ЦТО!P8=ЦТО!AE8,ЦТО!$AE$2,IF(ЦТО!P8=ЦТО!AF8,ЦТО!$AF$2,IF(ЦТО!P8=ЦТО!AG8,ЦТО!$AG$2,IF(ЦТО!P8=ЦТО!AH8,ЦТО!$AH$2,IF(ЦТО!P8=ЦТО!AI8,ЦТО!$AI$2,IF(ЦТО!P8=ЦТО!AJ8,ЦТО!$AJ$2,IF(ЦТО!P8=ЦТО!AK8,ЦТО!$AK$2))))))))))</f>
        <v>Душа</v>
      </c>
      <c r="G8" s="89" t="str">
        <f>IF(ЦТО!$R8=ЦТО!$W8,"Душа",IF(ЦТО!$R8=ЦТО!$X8,ЦТО!$X$2,IF(ЦТО!$R8=ЦТО!$Y8,ЦТО!$Y$2,IF(ЦТО!$R8=ЦТО!$AE8,ЦТО!$AE$2,IF(ЦТО!$R8=ЦТО!$AF8,ЦТО!$AF$2,IF(ЦТО!$R8=ЦТО!$AG8,ЦТО!$AG$2,IF(ЦТО!$R8=ЦТО!$AH8,ЦТО!$AH$2,IF(ЦТО!$R8=ЦТО!$AI8,ЦТО!$AI$2,IF(ЦТО!$R8=ЦТО!$AJ8,ЦТО!$AJ$2,IF(ЦТО!$R8=ЦТО!$AK8,ЦТО!$AK$2))))))))))</f>
        <v>Душа</v>
      </c>
      <c r="H8" s="89" t="str">
        <f>IF(ЦТО!$T8=ЦТО!$W8,"Душа",IF(ЦТО!$T8=ЦТО!$X8,ЦТО!$X$2,IF(ЦТО!$T8=ЦТО!$Y8,ЦТО!$Y$2,IF(ЦТО!$T8=ЦТО!$AE8,ЦТО!$AE$2,IF(ЦТО!$T8=ЦТО!$AF8,ЦТО!$AF$2,IF(ЦТО!$T8=ЦТО!$AG8,ЦТО!$AG$2,IF(ЦТО!$T8=ЦТО!$AH8,ЦТО!$AH$2,IF(ЦТО!$T8=ЦТО!$AI8,ЦТО!$AI$2,IF(ЦТО!$T8=ЦТО!$AJ8,ЦТО!$AJ$2,IF(ЦТО!$T8=ЦТО!$AK8,ЦТО!$AK$2))))))))))</f>
        <v>Душа</v>
      </c>
      <c r="I8" s="89" t="str">
        <f>IF(ЦТО!$U8=ЦТО!$W8,"Душа",IF(ЦТО!$U8=ЦТО!$X8,ЦТО!$X$2,IF(ЦТО!$U8=ЦТО!$Y8,ЦТО!$Y$2,IF(ЦТО!$U8=ЦТО!$AE8,ЦТО!$AE$2,IF(ЦТО!$U8=ЦТО!$AF8,ЦТО!$AF$2,IF(ЦТО!$U8=ЦТО!$AG8,ЦТО!$AG$2,IF(ЦТО!$U8=ЦТО!$AH8,ЦТО!$AH$2,IF(ЦТО!$U8=ЦТО!$AI8,ЦТО!$AI$2,IF(ЦТО!$U8=ЦТО!$AJ8,ЦТО!$AJ$2,IF(ЦТО!$U8=ЦТО!$AK8,ЦТО!$AK$2))))))))))</f>
        <v>Душа</v>
      </c>
      <c r="J8" s="47" t="str">
        <f>IF(OR(ЦТО!W8=ЦТО!$BK$8,ЦТО!W8=ЦТО!$BK$9,ЦТО!W8=ЦТО!$BK$10),"Обратить внимание","Отклонений нет")</f>
        <v>Отклонений нет</v>
      </c>
      <c r="K8" s="14" t="str">
        <f>IF(OR(ЦТО!X8=ЦТО!$BK$8,ЦТО!X8=ЦТО!$BK$9,ЦТО!X8=ЦТО!$BK$10),"Обратить внимание","Отклонений нет")</f>
        <v>Отклонений нет</v>
      </c>
      <c r="L8" s="14" t="str">
        <f>IF(OR(ЦТО!Y8=ЦТО!$BK$8,ЦТО!Y8=ЦТО!$BK$9,ЦТО!Y8=ЦТО!$BK$10),"Обратить внимание","Отклонений нет")</f>
        <v>Отклонений нет</v>
      </c>
      <c r="M8" s="14" t="str">
        <f>IF(OR(ЦТО!Z8=ЦТО!$BK$8,ЦТО!Z8=ЦТО!$BK$9,ЦТО!Z8=ЦТО!$BK$10),"Обратить внимание","Отклонений нет")</f>
        <v>Отклонений нет</v>
      </c>
      <c r="N8" s="14" t="str">
        <f>IF(OR(ЦТО!AA8=ЦТО!$BK$8,ЦТО!AA8=ЦТО!$BK$9,ЦТО!AA8=ЦТО!$BK$10),"Обратить внимание","Отклонений нет")</f>
        <v>Отклонений нет</v>
      </c>
      <c r="O8" s="14" t="str">
        <f>IF(OR(ЦТО!AB8=ЦТО!$BK$8,ЦТО!AB8=ЦТО!$BK$9,ЦТО!AB8=ЦТО!$BK$10),"Обратить внимание","Отклонений нет")</f>
        <v>Отклонений нет</v>
      </c>
      <c r="P8" s="14" t="str">
        <f>IF(OR(ЦТО!AC8=ЦТО!$BK$8,ЦТО!AC8=ЦТО!$BK$9,ЦТО!AC8=ЦТО!$BK$10),"Обратить внимание","Отклонений нет")</f>
        <v>Отклонений нет</v>
      </c>
      <c r="Q8" s="14" t="str">
        <f>IF(OR(ЦТО!AD8=ЦТО!$BK$8,ЦТО!AD8=ЦТО!$BK$9,ЦТО!AD8=ЦТО!$BK$10),"Обратить внимание","Отклонений нет")</f>
        <v>Отклонений нет</v>
      </c>
      <c r="R8" s="14" t="str">
        <f>IF(OR(ЦТО!AE8=ЦТО!$BK$8,ЦТО!AE8=ЦТО!$BK$9,ЦТО!AE8=ЦТО!$BK$10),"Обратить внимание","Отклонений нет")</f>
        <v>Отклонений нет</v>
      </c>
      <c r="S8" s="14" t="str">
        <f>IF(OR(ЦТО!AF8=ЦТО!$BK$8,ЦТО!AF8=ЦТО!$BK$9,ЦТО!AF8=ЦТО!$BK$10),"Обратить внимание","Отклонений нет")</f>
        <v>Отклонений нет</v>
      </c>
      <c r="T8" s="14" t="str">
        <f>IF(OR(ЦТО!AG8=ЦТО!$BK$8,ЦТО!AG8=ЦТО!$BK$9,ЦТО!AG8=ЦТО!$BK$10),"Обратить внимание","Отклонений нет")</f>
        <v>Отклонений нет</v>
      </c>
      <c r="U8" s="14" t="str">
        <f>IF(OR(ЦТО!AH8=ЦТО!$BK$8,ЦТО!AH8=ЦТО!$BK$9,ЦТО!AH8=ЦТО!$BK$10),"Обратить внимание","Отклонений нет")</f>
        <v>Отклонений нет</v>
      </c>
      <c r="V8" s="47" t="str">
        <f>IF(OR(ЦТО!AI8=ЦТО!$BK$8,ЦТО!AI8=ЦТО!$BK$9,ЦТО!AI8=ЦТО!$BK$10),"Обратить внимание","Отклонений нет")</f>
        <v>Отклонений нет</v>
      </c>
      <c r="W8" s="47" t="str">
        <f>IF(OR(ЦТО!AJ8=ЦТО!$BK$8,ЦТО!AJ8=ЦТО!$BK$9,ЦТО!AJ8=ЦТО!$BK$10),"Обратить внимание","Отклонений нет")</f>
        <v>Отклонений нет</v>
      </c>
      <c r="X8" s="47" t="str">
        <f>IF(OR(ЦТО!AK8=ЦТО!$BK$8,ЦТО!AK8=ЦТО!$BK$9,ЦТО!AK8=ЦТО!$BK$10),"Обратить внимание","Отклонений нет")</f>
        <v>Отклонений нет</v>
      </c>
    </row>
    <row r="9" spans="1:24" ht="18" customHeight="1">
      <c r="A9" s="10">
        <v>7</v>
      </c>
      <c r="B9" s="14" t="str">
        <f>IF(ЦТО!B9="","",ЦТО!B9)</f>
        <v>Ж</v>
      </c>
      <c r="C9" s="14" t="str">
        <f>IF(ЦТО!C9="","",ЦТО!C9)</f>
        <v>2 а</v>
      </c>
      <c r="D9" s="36" t="str">
        <f>IF(ЦТО!D9="","",ЦТО!D9)</f>
        <v/>
      </c>
      <c r="E9" s="89" t="b">
        <f>IF(ЦТО!$N9=ЦТО!$W9,"Душа",IF(ЦТО!$N9=ЦТО!$X9,ЦТО!$X$2,IF(ЦТО!$N9=ЦТО!$Y9,ЦТО!$Y$2,IF(ЦТО!$N9=ЦТО!$AE9,ЦТО!$AE$2,IF(ЦТО!$N9=ЦТО!$AF9,ЦТО!$AF$2,IF(ЦТО!$N9=ЦТО!$AG9,ЦТО!$AG$2,IF(ЦТО!$N9=ЦТО!$AH9,ЦТО!$AH$2,IF(ЦТО!$N9=ЦТО!$AI9,ЦТО!$AI$2,IF(ЦТО!$N9=ЦТО!$AJ9,ЦТО!$AJ$2,IF(ЦТО!$N9=ЦТО!$AK9,ЦТО!$AK$2))))))))))</f>
        <v>0</v>
      </c>
      <c r="F9" s="89" t="str">
        <f>IF(ЦТО!P9=ЦТО!W9,"Душа",IF(ЦТО!P9=ЦТО!X9,ЦТО!$X$2,IF(ЦТО!P9=ЦТО!Y9,ЦТО!$Y$2,IF(ЦТО!P9=ЦТО!AE9,ЦТО!$AE$2,IF(ЦТО!P9=ЦТО!AF9,ЦТО!$AF$2,IF(ЦТО!P9=ЦТО!AG9,ЦТО!$AG$2,IF(ЦТО!P9=ЦТО!AH9,ЦТО!$AH$2,IF(ЦТО!P9=ЦТО!AI9,ЦТО!$AI$2,IF(ЦТО!P9=ЦТО!AJ9,ЦТО!$AJ$2,IF(ЦТО!P9=ЦТО!AK9,ЦТО!$AK$2))))))))))</f>
        <v>Уроки</v>
      </c>
      <c r="G9" s="89" t="b">
        <f>IF(ЦТО!$R9=ЦТО!$W9,"Душа",IF(ЦТО!$R9=ЦТО!$X9,ЦТО!$X$2,IF(ЦТО!$R9=ЦТО!$Y9,ЦТО!$Y$2,IF(ЦТО!$R9=ЦТО!$AE9,ЦТО!$AE$2,IF(ЦТО!$R9=ЦТО!$AF9,ЦТО!$AF$2,IF(ЦТО!$R9=ЦТО!$AG9,ЦТО!$AG$2,IF(ЦТО!$R9=ЦТО!$AH9,ЦТО!$AH$2,IF(ЦТО!$R9=ЦТО!$AI9,ЦТО!$AI$2,IF(ЦТО!$R9=ЦТО!$AJ9,ЦТО!$AJ$2,IF(ЦТО!$R9=ЦТО!$AK9,ЦТО!$AK$2))))))))))</f>
        <v>0</v>
      </c>
      <c r="H9" s="89" t="b">
        <f>IF(ЦТО!$T9=ЦТО!$W9,"Душа",IF(ЦТО!$T9=ЦТО!$X9,ЦТО!$X$2,IF(ЦТО!$T9=ЦТО!$Y9,ЦТО!$Y$2,IF(ЦТО!$T9=ЦТО!$AE9,ЦТО!$AE$2,IF(ЦТО!$T9=ЦТО!$AF9,ЦТО!$AF$2,IF(ЦТО!$T9=ЦТО!$AG9,ЦТО!$AG$2,IF(ЦТО!$T9=ЦТО!$AH9,ЦТО!$AH$2,IF(ЦТО!$T9=ЦТО!$AI9,ЦТО!$AI$2,IF(ЦТО!$T9=ЦТО!$AJ9,ЦТО!$AJ$2,IF(ЦТО!$T9=ЦТО!$AK9,ЦТО!$AK$2))))))))))</f>
        <v>0</v>
      </c>
      <c r="I9" s="89" t="str">
        <f>IF(ЦТО!$U9=ЦТО!$W9,"Душа",IF(ЦТО!$U9=ЦТО!$X9,ЦТО!$X$2,IF(ЦТО!$U9=ЦТО!$Y9,ЦТО!$Y$2,IF(ЦТО!$U9=ЦТО!$AE9,ЦТО!$AE$2,IF(ЦТО!$U9=ЦТО!$AF9,ЦТО!$AF$2,IF(ЦТО!$U9=ЦТО!$AG9,ЦТО!$AG$2,IF(ЦТО!$U9=ЦТО!$AH9,ЦТО!$AH$2,IF(ЦТО!$U9=ЦТО!$AI9,ЦТО!$AI$2,IF(ЦТО!$U9=ЦТО!$AJ9,ЦТО!$AJ$2,IF(ЦТО!$U9=ЦТО!$AK9,ЦТО!$AK$2))))))))))</f>
        <v>Уроки</v>
      </c>
      <c r="J9" s="47" t="str">
        <f>IF(OR(ЦТО!W9=ЦТО!$BK$8,ЦТО!W9=ЦТО!$BK$9,ЦТО!W9=ЦТО!$BK$10),"Обратить внимание","Отклонений нет")</f>
        <v>Отклонений нет</v>
      </c>
      <c r="K9" s="14" t="str">
        <f>IF(OR(ЦТО!X9=ЦТО!$BK$8,ЦТО!X9=ЦТО!$BK$9,ЦТО!X9=ЦТО!$BK$10),"Обратить внимание","Отклонений нет")</f>
        <v>Отклонений нет</v>
      </c>
      <c r="L9" s="14" t="str">
        <f>IF(OR(ЦТО!Y9=ЦТО!$BK$8,ЦТО!Y9=ЦТО!$BK$9,ЦТО!Y9=ЦТО!$BK$10),"Обратить внимание","Отклонений нет")</f>
        <v>Отклонений нет</v>
      </c>
      <c r="M9" s="14" t="str">
        <f>IF(OR(ЦТО!Z9=ЦТО!$BK$8,ЦТО!Z9=ЦТО!$BK$9,ЦТО!Z9=ЦТО!$BK$10),"Обратить внимание","Отклонений нет")</f>
        <v>Отклонений нет</v>
      </c>
      <c r="N9" s="14" t="str">
        <f>IF(OR(ЦТО!AA9=ЦТО!$BK$8,ЦТО!AA9=ЦТО!$BK$9,ЦТО!AA9=ЦТО!$BK$10),"Обратить внимание","Отклонений нет")</f>
        <v>Отклонений нет</v>
      </c>
      <c r="O9" s="14" t="str">
        <f>IF(OR(ЦТО!AB9=ЦТО!$BK$8,ЦТО!AB9=ЦТО!$BK$9,ЦТО!AB9=ЦТО!$BK$10),"Обратить внимание","Отклонений нет")</f>
        <v>Отклонений нет</v>
      </c>
      <c r="P9" s="14" t="str">
        <f>IF(OR(ЦТО!AC9=ЦТО!$BK$8,ЦТО!AC9=ЦТО!$BK$9,ЦТО!AC9=ЦТО!$BK$10),"Обратить внимание","Отклонений нет")</f>
        <v>Отклонений нет</v>
      </c>
      <c r="Q9" s="14" t="str">
        <f>IF(OR(ЦТО!AD9=ЦТО!$BK$8,ЦТО!AD9=ЦТО!$BK$9,ЦТО!AD9=ЦТО!$BK$10),"Обратить внимание","Отклонений нет")</f>
        <v>Отклонений нет</v>
      </c>
      <c r="R9" s="14" t="str">
        <f>IF(OR(ЦТО!AE9=ЦТО!$BK$8,ЦТО!AE9=ЦТО!$BK$9,ЦТО!AE9=ЦТО!$BK$10),"Обратить внимание","Отклонений нет")</f>
        <v>Отклонений нет</v>
      </c>
      <c r="S9" s="14" t="str">
        <f>IF(OR(ЦТО!AF9=ЦТО!$BK$8,ЦТО!AF9=ЦТО!$BK$9,ЦТО!AF9=ЦТО!$BK$10),"Обратить внимание","Отклонений нет")</f>
        <v>Отклонений нет</v>
      </c>
      <c r="T9" s="14" t="str">
        <f>IF(OR(ЦТО!AG9=ЦТО!$BK$8,ЦТО!AG9=ЦТО!$BK$9,ЦТО!AG9=ЦТО!$BK$10),"Обратить внимание","Отклонений нет")</f>
        <v>Обратить внимание</v>
      </c>
      <c r="U9" s="14" t="str">
        <f>IF(OR(ЦТО!AH9=ЦТО!$BK$8,ЦТО!AH9=ЦТО!$BK$9,ЦТО!AH9=ЦТО!$BK$10),"Обратить внимание","Отклонений нет")</f>
        <v>Отклонений нет</v>
      </c>
      <c r="V9" s="47" t="str">
        <f>IF(OR(ЦТО!AI9=ЦТО!$BK$8,ЦТО!AI9=ЦТО!$BK$9,ЦТО!AI9=ЦТО!$BK$10),"Обратить внимание","Отклонений нет")</f>
        <v>Отклонений нет</v>
      </c>
      <c r="W9" s="47" t="str">
        <f>IF(OR(ЦТО!AJ9=ЦТО!$BK$8,ЦТО!AJ9=ЦТО!$BK$9,ЦТО!AJ9=ЦТО!$BK$10),"Обратить внимание","Отклонений нет")</f>
        <v>Отклонений нет</v>
      </c>
      <c r="X9" s="47" t="str">
        <f>IF(OR(ЦТО!AK9=ЦТО!$BK$8,ЦТО!AK9=ЦТО!$BK$9,ЦТО!AK9=ЦТО!$BK$10),"Обратить внимание","Отклонений нет")</f>
        <v>Отклонений нет</v>
      </c>
    </row>
    <row r="10" spans="1:24" ht="18" customHeight="1">
      <c r="A10" s="10">
        <v>8</v>
      </c>
      <c r="B10" s="14" t="str">
        <f>IF(ЦТО!B10="","",ЦТО!B10)</f>
        <v>З</v>
      </c>
      <c r="C10" s="14" t="str">
        <f>IF(ЦТО!C10="","",ЦТО!C10)</f>
        <v>2 а</v>
      </c>
      <c r="D10" s="36" t="str">
        <f>IF(ЦТО!D10="","",ЦТО!D10)</f>
        <v/>
      </c>
      <c r="E10" s="89" t="b">
        <f>IF(ЦТО!$N10=ЦТО!$W10,"Душа",IF(ЦТО!$N10=ЦТО!$X10,ЦТО!$X$2,IF(ЦТО!$N10=ЦТО!$Y10,ЦТО!$Y$2,IF(ЦТО!$N10=ЦТО!$AE10,ЦТО!$AE$2,IF(ЦТО!$N10=ЦТО!$AF10,ЦТО!$AF$2,IF(ЦТО!$N10=ЦТО!$AG10,ЦТО!$AG$2,IF(ЦТО!$N10=ЦТО!$AH10,ЦТО!$AH$2,IF(ЦТО!$N10=ЦТО!$AI10,ЦТО!$AI$2,IF(ЦТО!$N10=ЦТО!$AJ10,ЦТО!$AJ$2,IF(ЦТО!$N10=ЦТО!$AK10,ЦТО!$AK$2))))))))))</f>
        <v>0</v>
      </c>
      <c r="F10" s="89" t="str">
        <f>IF(ЦТО!P10=ЦТО!W10,"Душа",IF(ЦТО!P10=ЦТО!X10,ЦТО!$X$2,IF(ЦТО!P10=ЦТО!Y10,ЦТО!$Y$2,IF(ЦТО!P10=ЦТО!AE10,ЦТО!$AE$2,IF(ЦТО!P10=ЦТО!AF10,ЦТО!$AF$2,IF(ЦТО!P10=ЦТО!AG10,ЦТО!$AG$2,IF(ЦТО!P10=ЦТО!AH10,ЦТО!$AH$2,IF(ЦТО!P10=ЦТО!AI10,ЦТО!$AI$2,IF(ЦТО!P10=ЦТО!AJ10,ЦТО!$AJ$2,IF(ЦТО!P10=ЦТО!AK10,ЦТО!$AK$2))))))))))</f>
        <v>Чтение</v>
      </c>
      <c r="G10" s="89" t="b">
        <f>IF(ЦТО!$R10=ЦТО!$W10,"Душа",IF(ЦТО!$R10=ЦТО!$X10,ЦТО!$X$2,IF(ЦТО!$R10=ЦТО!$Y10,ЦТО!$Y$2,IF(ЦТО!$R10=ЦТО!$AE10,ЦТО!$AE$2,IF(ЦТО!$R10=ЦТО!$AF10,ЦТО!$AF$2,IF(ЦТО!$R10=ЦТО!$AG10,ЦТО!$AG$2,IF(ЦТО!$R10=ЦТО!$AH10,ЦТО!$AH$2,IF(ЦТО!$R10=ЦТО!$AI10,ЦТО!$AI$2,IF(ЦТО!$R10=ЦТО!$AJ10,ЦТО!$AJ$2,IF(ЦТО!$R10=ЦТО!$AK10,ЦТО!$AK$2))))))))))</f>
        <v>0</v>
      </c>
      <c r="H10" s="89" t="b">
        <f>IF(ЦТО!$T10=ЦТО!$W10,"Душа",IF(ЦТО!$T10=ЦТО!$X10,ЦТО!$X$2,IF(ЦТО!$T10=ЦТО!$Y10,ЦТО!$Y$2,IF(ЦТО!$T10=ЦТО!$AE10,ЦТО!$AE$2,IF(ЦТО!$T10=ЦТО!$AF10,ЦТО!$AF$2,IF(ЦТО!$T10=ЦТО!$AG10,ЦТО!$AG$2,IF(ЦТО!$T10=ЦТО!$AH10,ЦТО!$AH$2,IF(ЦТО!$T10=ЦТО!$AI10,ЦТО!$AI$2,IF(ЦТО!$T10=ЦТО!$AJ10,ЦТО!$AJ$2,IF(ЦТО!$T10=ЦТО!$AK10,ЦТО!$AK$2))))))))))</f>
        <v>0</v>
      </c>
      <c r="I10" s="89" t="b">
        <f>IF(ЦТО!$U10=ЦТО!$W10,"Душа",IF(ЦТО!$U10=ЦТО!$X10,ЦТО!$X$2,IF(ЦТО!$U10=ЦТО!$Y10,ЦТО!$Y$2,IF(ЦТО!$U10=ЦТО!$AE10,ЦТО!$AE$2,IF(ЦТО!$U10=ЦТО!$AF10,ЦТО!$AF$2,IF(ЦТО!$U10=ЦТО!$AG10,ЦТО!$AG$2,IF(ЦТО!$U10=ЦТО!$AH10,ЦТО!$AH$2,IF(ЦТО!$U10=ЦТО!$AI10,ЦТО!$AI$2,IF(ЦТО!$U10=ЦТО!$AJ10,ЦТО!$AJ$2,IF(ЦТО!$U10=ЦТО!$AK10,ЦТО!$AK$2))))))))))</f>
        <v>0</v>
      </c>
      <c r="J10" s="47" t="str">
        <f>IF(OR(ЦТО!W10=ЦТО!$BK$8,ЦТО!W10=ЦТО!$BK$9,ЦТО!W10=ЦТО!$BK$10),"Обратить внимание","Отклонений нет")</f>
        <v>Отклонений нет</v>
      </c>
      <c r="K10" s="14" t="str">
        <f>IF(OR(ЦТО!X10=ЦТО!$BK$8,ЦТО!X10=ЦТО!$BK$9,ЦТО!X10=ЦТО!$BK$10),"Обратить внимание","Отклонений нет")</f>
        <v>Отклонений нет</v>
      </c>
      <c r="L10" s="14" t="str">
        <f>IF(OR(ЦТО!Y10=ЦТО!$BK$8,ЦТО!Y10=ЦТО!$BK$9,ЦТО!Y10=ЦТО!$BK$10),"Обратить внимание","Отклонений нет")</f>
        <v>Отклонений нет</v>
      </c>
      <c r="M10" s="14" t="str">
        <f>IF(OR(ЦТО!Z10=ЦТО!$BK$8,ЦТО!Z10=ЦТО!$BK$9,ЦТО!Z10=ЦТО!$BK$10),"Обратить внимание","Отклонений нет")</f>
        <v>Отклонений нет</v>
      </c>
      <c r="N10" s="14" t="str">
        <f>IF(OR(ЦТО!AA10=ЦТО!$BK$8,ЦТО!AA10=ЦТО!$BK$9,ЦТО!AA10=ЦТО!$BK$10),"Обратить внимание","Отклонений нет")</f>
        <v>Отклонений нет</v>
      </c>
      <c r="O10" s="14" t="str">
        <f>IF(OR(ЦТО!AB10=ЦТО!$BK$8,ЦТО!AB10=ЦТО!$BK$9,ЦТО!AB10=ЦТО!$BK$10),"Обратить внимание","Отклонений нет")</f>
        <v>Обратить внимание</v>
      </c>
      <c r="P10" s="14" t="str">
        <f>IF(OR(ЦТО!AC10=ЦТО!$BK$8,ЦТО!AC10=ЦТО!$BK$9,ЦТО!AC10=ЦТО!$BK$10),"Обратить внимание","Отклонений нет")</f>
        <v>Отклонений нет</v>
      </c>
      <c r="Q10" s="14" t="str">
        <f>IF(OR(ЦТО!AD10=ЦТО!$BK$8,ЦТО!AD10=ЦТО!$BK$9,ЦТО!AD10=ЦТО!$BK$10),"Обратить внимание","Отклонений нет")</f>
        <v>Отклонений нет</v>
      </c>
      <c r="R10" s="14" t="str">
        <f>IF(OR(ЦТО!AE10=ЦТО!$BK$8,ЦТО!AE10=ЦТО!$BK$9,ЦТО!AE10=ЦТО!$BK$10),"Обратить внимание","Отклонений нет")</f>
        <v>Отклонений нет</v>
      </c>
      <c r="S10" s="14" t="str">
        <f>IF(OR(ЦТО!AF10=ЦТО!$BK$8,ЦТО!AF10=ЦТО!$BK$9,ЦТО!AF10=ЦТО!$BK$10),"Обратить внимание","Отклонений нет")</f>
        <v>Отклонений нет</v>
      </c>
      <c r="T10" s="14" t="str">
        <f>IF(OR(ЦТО!AG10=ЦТО!$BK$8,ЦТО!AG10=ЦТО!$BK$9,ЦТО!AG10=ЦТО!$BK$10),"Обратить внимание","Отклонений нет")</f>
        <v>Отклонений нет</v>
      </c>
      <c r="U10" s="14" t="str">
        <f>IF(OR(ЦТО!AH10=ЦТО!$BK$8,ЦТО!AH10=ЦТО!$BK$9,ЦТО!AH10=ЦТО!$BK$10),"Обратить внимание","Отклонений нет")</f>
        <v>Отклонений нет</v>
      </c>
      <c r="V10" s="47" t="str">
        <f>IF(OR(ЦТО!AI10=ЦТО!$BK$8,ЦТО!AI10=ЦТО!$BK$9,ЦТО!AI10=ЦТО!$BK$10),"Обратить внимание","Отклонений нет")</f>
        <v>Отклонений нет</v>
      </c>
      <c r="W10" s="47" t="str">
        <f>IF(OR(ЦТО!AJ10=ЦТО!$BK$8,ЦТО!AJ10=ЦТО!$BK$9,ЦТО!AJ10=ЦТО!$BK$10),"Обратить внимание","Отклонений нет")</f>
        <v>Отклонений нет</v>
      </c>
      <c r="X10" s="47" t="str">
        <f>IF(OR(ЦТО!AK10=ЦТО!$BK$8,ЦТО!AK10=ЦТО!$BK$9,ЦТО!AK10=ЦТО!$BK$10),"Обратить внимание","Отклонений нет")</f>
        <v>Отклонений нет</v>
      </c>
    </row>
    <row r="11" spans="1:24" ht="18" customHeight="1">
      <c r="A11" s="10">
        <v>9</v>
      </c>
      <c r="B11" s="14" t="str">
        <f>IF(ЦТО!B11="","",ЦТО!B11)</f>
        <v>И</v>
      </c>
      <c r="C11" s="14" t="str">
        <f>IF(ЦТО!C11="","",ЦТО!C11)</f>
        <v>2 а</v>
      </c>
      <c r="D11" s="36" t="str">
        <f>IF(ЦТО!D11="","",ЦТО!D11)</f>
        <v/>
      </c>
      <c r="E11" s="89" t="b">
        <f>IF(ЦТО!$N11=ЦТО!$W11,"Душа",IF(ЦТО!$N11=ЦТО!$X11,ЦТО!$X$2,IF(ЦТО!$N11=ЦТО!$Y11,ЦТО!$Y$2,IF(ЦТО!$N11=ЦТО!$AE11,ЦТО!$AE$2,IF(ЦТО!$N11=ЦТО!$AF11,ЦТО!$AF$2,IF(ЦТО!$N11=ЦТО!$AG11,ЦТО!$AG$2,IF(ЦТО!$N11=ЦТО!$AH11,ЦТО!$AH$2,IF(ЦТО!$N11=ЦТО!$AI11,ЦТО!$AI$2,IF(ЦТО!$N11=ЦТО!$AJ11,ЦТО!$AJ$2,IF(ЦТО!$N11=ЦТО!$AK11,ЦТО!$AK$2))))))))))</f>
        <v>0</v>
      </c>
      <c r="F11" s="89" t="b">
        <f>IF(ЦТО!P11=ЦТО!W11,"Душа",IF(ЦТО!P11=ЦТО!X11,ЦТО!$X$2,IF(ЦТО!P11=ЦТО!Y11,ЦТО!$Y$2,IF(ЦТО!P11=ЦТО!AE11,ЦТО!$AE$2,IF(ЦТО!P11=ЦТО!AF11,ЦТО!$AF$2,IF(ЦТО!P11=ЦТО!AG11,ЦТО!$AG$2,IF(ЦТО!P11=ЦТО!AH11,ЦТО!$AH$2,IF(ЦТО!P11=ЦТО!AI11,ЦТО!$AI$2,IF(ЦТО!P11=ЦТО!AJ11,ЦТО!$AJ$2,IF(ЦТО!P11=ЦТО!AK11,ЦТО!$AK$2))))))))))</f>
        <v>0</v>
      </c>
      <c r="G11" s="89" t="b">
        <f>IF(ЦТО!$R11=ЦТО!$W11,"Душа",IF(ЦТО!$R11=ЦТО!$X11,ЦТО!$X$2,IF(ЦТО!$R11=ЦТО!$Y11,ЦТО!$Y$2,IF(ЦТО!$R11=ЦТО!$AE11,ЦТО!$AE$2,IF(ЦТО!$R11=ЦТО!$AF11,ЦТО!$AF$2,IF(ЦТО!$R11=ЦТО!$AG11,ЦТО!$AG$2,IF(ЦТО!$R11=ЦТО!$AH11,ЦТО!$AH$2,IF(ЦТО!$R11=ЦТО!$AI11,ЦТО!$AI$2,IF(ЦТО!$R11=ЦТО!$AJ11,ЦТО!$AJ$2,IF(ЦТО!$R11=ЦТО!$AK11,ЦТО!$AK$2))))))))))</f>
        <v>0</v>
      </c>
      <c r="H11" s="89" t="b">
        <f>IF(ЦТО!$T11=ЦТО!$W11,"Душа",IF(ЦТО!$T11=ЦТО!$X11,ЦТО!$X$2,IF(ЦТО!$T11=ЦТО!$Y11,ЦТО!$Y$2,IF(ЦТО!$T11=ЦТО!$AE11,ЦТО!$AE$2,IF(ЦТО!$T11=ЦТО!$AF11,ЦТО!$AF$2,IF(ЦТО!$T11=ЦТО!$AG11,ЦТО!$AG$2,IF(ЦТО!$T11=ЦТО!$AH11,ЦТО!$AH$2,IF(ЦТО!$T11=ЦТО!$AI11,ЦТО!$AI$2,IF(ЦТО!$T11=ЦТО!$AJ11,ЦТО!$AJ$2,IF(ЦТО!$T11=ЦТО!$AK11,ЦТО!$AK$2))))))))))</f>
        <v>0</v>
      </c>
      <c r="I11" s="89" t="b">
        <f>IF(ЦТО!$U11=ЦТО!$W11,"Душа",IF(ЦТО!$U11=ЦТО!$X11,ЦТО!$X$2,IF(ЦТО!$U11=ЦТО!$Y11,ЦТО!$Y$2,IF(ЦТО!$U11=ЦТО!$AE11,ЦТО!$AE$2,IF(ЦТО!$U11=ЦТО!$AF11,ЦТО!$AF$2,IF(ЦТО!$U11=ЦТО!$AG11,ЦТО!$AG$2,IF(ЦТО!$U11=ЦТО!$AH11,ЦТО!$AH$2,IF(ЦТО!$U11=ЦТО!$AI11,ЦТО!$AI$2,IF(ЦТО!$U11=ЦТО!$AJ11,ЦТО!$AJ$2,IF(ЦТО!$U11=ЦТО!$AK11,ЦТО!$AK$2))))))))))</f>
        <v>0</v>
      </c>
      <c r="J11" s="47" t="str">
        <f>IF(OR(ЦТО!W11=ЦТО!$BK$8,ЦТО!W11=ЦТО!$BK$9,ЦТО!W11=ЦТО!$BK$10),"Обратить внимание","Отклонений нет")</f>
        <v>Отклонений нет</v>
      </c>
      <c r="K11" s="14" t="str">
        <f>IF(OR(ЦТО!X11=ЦТО!$BK$8,ЦТО!X11=ЦТО!$BK$9,ЦТО!X11=ЦТО!$BK$10),"Обратить внимание","Отклонений нет")</f>
        <v>Отклонений нет</v>
      </c>
      <c r="L11" s="14" t="str">
        <f>IF(OR(ЦТО!Y11=ЦТО!$BK$8,ЦТО!Y11=ЦТО!$BK$9,ЦТО!Y11=ЦТО!$BK$10),"Обратить внимание","Отклонений нет")</f>
        <v>Отклонений нет</v>
      </c>
      <c r="M11" s="14" t="str">
        <f>IF(OR(ЦТО!Z11=ЦТО!$BK$8,ЦТО!Z11=ЦТО!$BK$9,ЦТО!Z11=ЦТО!$BK$10),"Обратить внимание","Отклонений нет")</f>
        <v>Отклонений нет</v>
      </c>
      <c r="N11" s="14" t="str">
        <f>IF(OR(ЦТО!AA11=ЦТО!$BK$8,ЦТО!AA11=ЦТО!$BK$9,ЦТО!AA11=ЦТО!$BK$10),"Обратить внимание","Отклонений нет")</f>
        <v>Отклонений нет</v>
      </c>
      <c r="O11" s="14" t="str">
        <f>IF(OR(ЦТО!AB11=ЦТО!$BK$8,ЦТО!AB11=ЦТО!$BK$9,ЦТО!AB11=ЦТО!$BK$10),"Обратить внимание","Отклонений нет")</f>
        <v>Отклонений нет</v>
      </c>
      <c r="P11" s="14" t="str">
        <f>IF(OR(ЦТО!AC11=ЦТО!$BK$8,ЦТО!AC11=ЦТО!$BK$9,ЦТО!AC11=ЦТО!$BK$10),"Обратить внимание","Отклонений нет")</f>
        <v>Отклонений нет</v>
      </c>
      <c r="Q11" s="14" t="str">
        <f>IF(OR(ЦТО!AD11=ЦТО!$BK$8,ЦТО!AD11=ЦТО!$BK$9,ЦТО!AD11=ЦТО!$BK$10),"Обратить внимание","Отклонений нет")</f>
        <v>Отклонений нет</v>
      </c>
      <c r="R11" s="14" t="str">
        <f>IF(OR(ЦТО!AE11=ЦТО!$BK$8,ЦТО!AE11=ЦТО!$BK$9,ЦТО!AE11=ЦТО!$BK$10),"Обратить внимание","Отклонений нет")</f>
        <v>Отклонений нет</v>
      </c>
      <c r="S11" s="14" t="str">
        <f>IF(OR(ЦТО!AF11=ЦТО!$BK$8,ЦТО!AF11=ЦТО!$BK$9,ЦТО!AF11=ЦТО!$BK$10),"Обратить внимание","Отклонений нет")</f>
        <v>Отклонений нет</v>
      </c>
      <c r="T11" s="14" t="str">
        <f>IF(OR(ЦТО!AG11=ЦТО!$BK$8,ЦТО!AG11=ЦТО!$BK$9,ЦТО!AG11=ЦТО!$BK$10),"Обратить внимание","Отклонений нет")</f>
        <v>Отклонений нет</v>
      </c>
      <c r="U11" s="14" t="str">
        <f>IF(OR(ЦТО!AH11=ЦТО!$BK$8,ЦТО!AH11=ЦТО!$BK$9,ЦТО!AH11=ЦТО!$BK$10),"Обратить внимание","Отклонений нет")</f>
        <v>Отклонений нет</v>
      </c>
      <c r="V11" s="47" t="str">
        <f>IF(OR(ЦТО!AI11=ЦТО!$BK$8,ЦТО!AI11=ЦТО!$BK$9,ЦТО!AI11=ЦТО!$BK$10),"Обратить внимание","Отклонений нет")</f>
        <v>Отклонений нет</v>
      </c>
      <c r="W11" s="47" t="str">
        <f>IF(OR(ЦТО!AJ11=ЦТО!$BK$8,ЦТО!AJ11=ЦТО!$BK$9,ЦТО!AJ11=ЦТО!$BK$10),"Обратить внимание","Отклонений нет")</f>
        <v>Отклонений нет</v>
      </c>
      <c r="X11" s="47" t="str">
        <f>IF(OR(ЦТО!AK11=ЦТО!$BK$8,ЦТО!AK11=ЦТО!$BK$9,ЦТО!AK11=ЦТО!$BK$10),"Обратить внимание","Отклонений нет")</f>
        <v>Отклонений нет</v>
      </c>
    </row>
    <row r="12" spans="1:24" ht="18" customHeight="1">
      <c r="A12" s="10">
        <v>10</v>
      </c>
      <c r="B12" s="14" t="str">
        <f>IF(ЦТО!B12="","",ЦТО!B12)</f>
        <v>К</v>
      </c>
      <c r="C12" s="14" t="str">
        <f>IF(ЦТО!C12="","",ЦТО!C12)</f>
        <v>2 а</v>
      </c>
      <c r="D12" s="36" t="str">
        <f>IF(ЦТО!D12="","",ЦТО!D12)</f>
        <v/>
      </c>
      <c r="E12" s="89" t="b">
        <f>IF(ЦТО!$N12=ЦТО!$W12,"Душа",IF(ЦТО!$N12=ЦТО!$X12,ЦТО!$X$2,IF(ЦТО!$N12=ЦТО!$Y12,ЦТО!$Y$2,IF(ЦТО!$N12=ЦТО!$AE12,ЦТО!$AE$2,IF(ЦТО!$N12=ЦТО!$AF12,ЦТО!$AF$2,IF(ЦТО!$N12=ЦТО!$AG12,ЦТО!$AG$2,IF(ЦТО!$N12=ЦТО!$AH12,ЦТО!$AH$2,IF(ЦТО!$N12=ЦТО!$AI12,ЦТО!$AI$2,IF(ЦТО!$N12=ЦТО!$AJ12,ЦТО!$AJ$2,IF(ЦТО!$N12=ЦТО!$AK12,ЦТО!$AK$2))))))))))</f>
        <v>0</v>
      </c>
      <c r="F12" s="89" t="str">
        <f>IF(ЦТО!P12=ЦТО!W12,"Душа",IF(ЦТО!P12=ЦТО!X12,ЦТО!$X$2,IF(ЦТО!P12=ЦТО!Y12,ЦТО!$Y$2,IF(ЦТО!P12=ЦТО!AE12,ЦТО!$AE$2,IF(ЦТО!P12=ЦТО!AF12,ЦТО!$AF$2,IF(ЦТО!P12=ЦТО!AG12,ЦТО!$AG$2,IF(ЦТО!P12=ЦТО!AH12,ЦТО!$AH$2,IF(ЦТО!P12=ЦТО!AI12,ЦТО!$AI$2,IF(ЦТО!P12=ЦТО!AJ12,ЦТО!$AJ$2,IF(ЦТО!P12=ЦТО!AK12,ЦТО!$AK$2))))))))))</f>
        <v>Школа</v>
      </c>
      <c r="G12" s="89" t="str">
        <f>IF(ЦТО!$R12=ЦТО!$W12,"Душа",IF(ЦТО!$R12=ЦТО!$X12,ЦТО!$X$2,IF(ЦТО!$R12=ЦТО!$Y12,ЦТО!$Y$2,IF(ЦТО!$R12=ЦТО!$AE12,ЦТО!$AE$2,IF(ЦТО!$R12=ЦТО!$AF12,ЦТО!$AF$2,IF(ЦТО!$R12=ЦТО!$AG12,ЦТО!$AG$2,IF(ЦТО!$R12=ЦТО!$AH12,ЦТО!$AH$2,IF(ЦТО!$R12=ЦТО!$AI12,ЦТО!$AI$2,IF(ЦТО!$R12=ЦТО!$AJ12,ЦТО!$AJ$2,IF(ЦТО!$R12=ЦТО!$AK12,ЦТО!$AK$2))))))))))</f>
        <v>Школа</v>
      </c>
      <c r="H12" s="89" t="str">
        <f>IF(ЦТО!$T12=ЦТО!$W12,"Душа",IF(ЦТО!$T12=ЦТО!$X12,ЦТО!$X$2,IF(ЦТО!$T12=ЦТО!$Y12,ЦТО!$Y$2,IF(ЦТО!$T12=ЦТО!$AE12,ЦТО!$AE$2,IF(ЦТО!$T12=ЦТО!$AF12,ЦТО!$AF$2,IF(ЦТО!$T12=ЦТО!$AG12,ЦТО!$AG$2,IF(ЦТО!$T12=ЦТО!$AH12,ЦТО!$AH$2,IF(ЦТО!$T12=ЦТО!$AI12,ЦТО!$AI$2,IF(ЦТО!$T12=ЦТО!$AJ12,ЦТО!$AJ$2,IF(ЦТО!$T12=ЦТО!$AK12,ЦТО!$AK$2))))))))))</f>
        <v>Школа</v>
      </c>
      <c r="I12" s="89" t="str">
        <f>IF(ЦТО!$U12=ЦТО!$W12,"Душа",IF(ЦТО!$U12=ЦТО!$X12,ЦТО!$X$2,IF(ЦТО!$U12=ЦТО!$Y12,ЦТО!$Y$2,IF(ЦТО!$U12=ЦТО!$AE12,ЦТО!$AE$2,IF(ЦТО!$U12=ЦТО!$AF12,ЦТО!$AF$2,IF(ЦТО!$U12=ЦТО!$AG12,ЦТО!$AG$2,IF(ЦТО!$U12=ЦТО!$AH12,ЦТО!$AH$2,IF(ЦТО!$U12=ЦТО!$AI12,ЦТО!$AI$2,IF(ЦТО!$U12=ЦТО!$AJ12,ЦТО!$AJ$2,IF(ЦТО!$U12=ЦТО!$AK12,ЦТО!$AK$2))))))))))</f>
        <v>Чтение</v>
      </c>
      <c r="J12" s="47" t="str">
        <f>IF(OR(ЦТО!W12=ЦТО!$BK$8,ЦТО!W12=ЦТО!$BK$9,ЦТО!W12=ЦТО!$BK$10),"Обратить внимание","Отклонений нет")</f>
        <v>Отклонений нет</v>
      </c>
      <c r="K12" s="14" t="str">
        <f>IF(OR(ЦТО!X12=ЦТО!$BK$8,ЦТО!X12=ЦТО!$BK$9,ЦТО!X12=ЦТО!$BK$10),"Обратить внимание","Отклонений нет")</f>
        <v>Обратить внимание</v>
      </c>
      <c r="L12" s="14" t="str">
        <f>IF(OR(ЦТО!Y12=ЦТО!$BK$8,ЦТО!Y12=ЦТО!$BK$9,ЦТО!Y12=ЦТО!$BK$10),"Обратить внимание","Отклонений нет")</f>
        <v>Отклонений нет</v>
      </c>
      <c r="M12" s="14" t="str">
        <f>IF(OR(ЦТО!Z12=ЦТО!$BK$8,ЦТО!Z12=ЦТО!$BK$9,ЦТО!Z12=ЦТО!$BK$10),"Обратить внимание","Отклонений нет")</f>
        <v>Отклонений нет</v>
      </c>
      <c r="N12" s="14" t="str">
        <f>IF(OR(ЦТО!AA12=ЦТО!$BK$8,ЦТО!AA12=ЦТО!$BK$9,ЦТО!AA12=ЦТО!$BK$10),"Обратить внимание","Отклонений нет")</f>
        <v>Обратить внимание</v>
      </c>
      <c r="O12" s="14" t="str">
        <f>IF(OR(ЦТО!AB12=ЦТО!$BK$8,ЦТО!AB12=ЦТО!$BK$9,ЦТО!AB12=ЦТО!$BK$10),"Обратить внимание","Отклонений нет")</f>
        <v>Отклонений нет</v>
      </c>
      <c r="P12" s="14" t="str">
        <f>IF(OR(ЦТО!AC12=ЦТО!$BK$8,ЦТО!AC12=ЦТО!$BK$9,ЦТО!AC12=ЦТО!$BK$10),"Обратить внимание","Отклонений нет")</f>
        <v>Отклонений нет</v>
      </c>
      <c r="Q12" s="14" t="str">
        <f>IF(OR(ЦТО!AD12=ЦТО!$BK$8,ЦТО!AD12=ЦТО!$BK$9,ЦТО!AD12=ЦТО!$BK$10),"Обратить внимание","Отклонений нет")</f>
        <v>Отклонений нет</v>
      </c>
      <c r="R12" s="14" t="str">
        <f>IF(OR(ЦТО!AE12=ЦТО!$BK$8,ЦТО!AE12=ЦТО!$BK$9,ЦТО!AE12=ЦТО!$BK$10),"Обратить внимание","Отклонений нет")</f>
        <v>Отклонений нет</v>
      </c>
      <c r="S12" s="14" t="str">
        <f>IF(OR(ЦТО!AF12=ЦТО!$BK$8,ЦТО!AF12=ЦТО!$BK$9,ЦТО!AF12=ЦТО!$BK$10),"Обратить внимание","Отклонений нет")</f>
        <v>Отклонений нет</v>
      </c>
      <c r="T12" s="14" t="str">
        <f>IF(OR(ЦТО!AG12=ЦТО!$BK$8,ЦТО!AG12=ЦТО!$BK$9,ЦТО!AG12=ЦТО!$BK$10),"Обратить внимание","Отклонений нет")</f>
        <v>Обратить внимание</v>
      </c>
      <c r="U12" s="14" t="str">
        <f>IF(OR(ЦТО!AH12=ЦТО!$BK$8,ЦТО!AH12=ЦТО!$BK$9,ЦТО!AH12=ЦТО!$BK$10),"Обратить внимание","Отклонений нет")</f>
        <v>Обратить внимание</v>
      </c>
      <c r="V12" s="47" t="str">
        <f>IF(OR(ЦТО!AI12=ЦТО!$BK$8,ЦТО!AI12=ЦТО!$BK$9,ЦТО!AI12=ЦТО!$BK$10),"Обратить внимание","Отклонений нет")</f>
        <v>Отклонений нет</v>
      </c>
      <c r="W12" s="47" t="str">
        <f>IF(OR(ЦТО!AJ12=ЦТО!$BK$8,ЦТО!AJ12=ЦТО!$BK$9,ЦТО!AJ12=ЦТО!$BK$10),"Обратить внимание","Отклонений нет")</f>
        <v>Отклонений нет</v>
      </c>
      <c r="X12" s="47" t="str">
        <f>IF(OR(ЦТО!AK12=ЦТО!$BK$8,ЦТО!AK12=ЦТО!$BK$9,ЦТО!AK12=ЦТО!$BK$10),"Обратить внимание","Отклонений нет")</f>
        <v>Отклонений нет</v>
      </c>
    </row>
    <row r="13" spans="1:24" ht="18" customHeight="1">
      <c r="A13" s="10">
        <v>11</v>
      </c>
      <c r="B13" s="14" t="str">
        <f>IF(ЦТО!B13="","",ЦТО!B13)</f>
        <v>Л</v>
      </c>
      <c r="C13" s="14" t="str">
        <f>IF(ЦТО!C13="","",ЦТО!C13)</f>
        <v>2 а</v>
      </c>
      <c r="D13" s="36" t="str">
        <f>IF(ЦТО!D13="","",ЦТО!D13)</f>
        <v/>
      </c>
      <c r="E13" s="89" t="str">
        <f>IF(ЦТО!$N13=ЦТО!$W13,"Душа",IF(ЦТО!$N13=ЦТО!$X13,ЦТО!$X$2,IF(ЦТО!$N13=ЦТО!$Y13,ЦТО!$Y$2,IF(ЦТО!$N13=ЦТО!$AE13,ЦТО!$AE$2,IF(ЦТО!$N13=ЦТО!$AF13,ЦТО!$AF$2,IF(ЦТО!$N13=ЦТО!$AG13,ЦТО!$AG$2,IF(ЦТО!$N13=ЦТО!$AH13,ЦТО!$AH$2,IF(ЦТО!$N13=ЦТО!$AI13,ЦТО!$AI$2,IF(ЦТО!$N13=ЦТО!$AJ13,ЦТО!$AJ$2,IF(ЦТО!$N13=ЦТО!$AK13,ЦТО!$AK$2))))))))))</f>
        <v>Школа</v>
      </c>
      <c r="F13" s="89" t="b">
        <f>IF(ЦТО!P13=ЦТО!W13,"Душа",IF(ЦТО!P13=ЦТО!X13,ЦТО!$X$2,IF(ЦТО!P13=ЦТО!Y13,ЦТО!$Y$2,IF(ЦТО!P13=ЦТО!AE13,ЦТО!$AE$2,IF(ЦТО!P13=ЦТО!AF13,ЦТО!$AF$2,IF(ЦТО!P13=ЦТО!AG13,ЦТО!$AG$2,IF(ЦТО!P13=ЦТО!AH13,ЦТО!$AH$2,IF(ЦТО!P13=ЦТО!AI13,ЦТО!$AI$2,IF(ЦТО!P13=ЦТО!AJ13,ЦТО!$AJ$2,IF(ЦТО!P13=ЦТО!AK13,ЦТО!$AK$2))))))))))</f>
        <v>0</v>
      </c>
      <c r="G13" s="89" t="b">
        <f>IF(ЦТО!$R13=ЦТО!$W13,"Душа",IF(ЦТО!$R13=ЦТО!$X13,ЦТО!$X$2,IF(ЦТО!$R13=ЦТО!$Y13,ЦТО!$Y$2,IF(ЦТО!$R13=ЦТО!$AE13,ЦТО!$AE$2,IF(ЦТО!$R13=ЦТО!$AF13,ЦТО!$AF$2,IF(ЦТО!$R13=ЦТО!$AG13,ЦТО!$AG$2,IF(ЦТО!$R13=ЦТО!$AH13,ЦТО!$AH$2,IF(ЦТО!$R13=ЦТО!$AI13,ЦТО!$AI$2,IF(ЦТО!$R13=ЦТО!$AJ13,ЦТО!$AJ$2,IF(ЦТО!$R13=ЦТО!$AK13,ЦТО!$AK$2))))))))))</f>
        <v>0</v>
      </c>
      <c r="H13" s="89" t="str">
        <f>IF(ЦТО!$T13=ЦТО!$W13,"Душа",IF(ЦТО!$T13=ЦТО!$X13,ЦТО!$X$2,IF(ЦТО!$T13=ЦТО!$Y13,ЦТО!$Y$2,IF(ЦТО!$T13=ЦТО!$AE13,ЦТО!$AE$2,IF(ЦТО!$T13=ЦТО!$AF13,ЦТО!$AF$2,IF(ЦТО!$T13=ЦТО!$AG13,ЦТО!$AG$2,IF(ЦТО!$T13=ЦТО!$AH13,ЦТО!$AH$2,IF(ЦТО!$T13=ЦТО!$AI13,ЦТО!$AI$2,IF(ЦТО!$T13=ЦТО!$AJ13,ЦТО!$AJ$2,IF(ЦТО!$T13=ЦТО!$AK13,ЦТО!$AK$2))))))))))</f>
        <v>Уроки</v>
      </c>
      <c r="I13" s="89" t="b">
        <f>IF(ЦТО!$U13=ЦТО!$W13,"Душа",IF(ЦТО!$U13=ЦТО!$X13,ЦТО!$X$2,IF(ЦТО!$U13=ЦТО!$Y13,ЦТО!$Y$2,IF(ЦТО!$U13=ЦТО!$AE13,ЦТО!$AE$2,IF(ЦТО!$U13=ЦТО!$AF13,ЦТО!$AF$2,IF(ЦТО!$U13=ЦТО!$AG13,ЦТО!$AG$2,IF(ЦТО!$U13=ЦТО!$AH13,ЦТО!$AH$2,IF(ЦТО!$U13=ЦТО!$AI13,ЦТО!$AI$2,IF(ЦТО!$U13=ЦТО!$AJ13,ЦТО!$AJ$2,IF(ЦТО!$U13=ЦТО!$AK13,ЦТО!$AK$2))))))))))</f>
        <v>0</v>
      </c>
      <c r="J13" s="47" t="str">
        <f>IF(OR(ЦТО!W13=ЦТО!$BK$8,ЦТО!W13=ЦТО!$BK$9,ЦТО!W13=ЦТО!$BK$10),"Обратить внимание","Отклонений нет")</f>
        <v>Отклонений нет</v>
      </c>
      <c r="K13" s="14" t="str">
        <f>IF(OR(ЦТО!X13=ЦТО!$BK$8,ЦТО!X13=ЦТО!$BK$9,ЦТО!X13=ЦТО!$BK$10),"Обратить внимание","Отклонений нет")</f>
        <v>Обратить внимание</v>
      </c>
      <c r="L13" s="14" t="str">
        <f>IF(OR(ЦТО!Y13=ЦТО!$BK$8,ЦТО!Y13=ЦТО!$BK$9,ЦТО!Y13=ЦТО!$BK$10),"Обратить внимание","Отклонений нет")</f>
        <v>Отклонений нет</v>
      </c>
      <c r="M13" s="14" t="str">
        <f>IF(OR(ЦТО!Z13=ЦТО!$BK$8,ЦТО!Z13=ЦТО!$BK$9,ЦТО!Z13=ЦТО!$BK$10),"Обратить внимание","Отклонений нет")</f>
        <v>Отклонений нет</v>
      </c>
      <c r="N13" s="14" t="str">
        <f>IF(OR(ЦТО!AA13=ЦТО!$BK$8,ЦТО!AA13=ЦТО!$BK$9,ЦТО!AA13=ЦТО!$BK$10),"Обратить внимание","Отклонений нет")</f>
        <v>Отклонений нет</v>
      </c>
      <c r="O13" s="14" t="str">
        <f>IF(OR(ЦТО!AB13=ЦТО!$BK$8,ЦТО!AB13=ЦТО!$BK$9,ЦТО!AB13=ЦТО!$BK$10),"Обратить внимание","Отклонений нет")</f>
        <v>Обратить внимание</v>
      </c>
      <c r="P13" s="14" t="str">
        <f>IF(OR(ЦТО!AC13=ЦТО!$BK$8,ЦТО!AC13=ЦТО!$BK$9,ЦТО!AC13=ЦТО!$BK$10),"Обратить внимание","Отклонений нет")</f>
        <v>Отклонений нет</v>
      </c>
      <c r="Q13" s="14" t="str">
        <f>IF(OR(ЦТО!AD13=ЦТО!$BK$8,ЦТО!AD13=ЦТО!$BK$9,ЦТО!AD13=ЦТО!$BK$10),"Обратить внимание","Отклонений нет")</f>
        <v>Отклонений нет</v>
      </c>
      <c r="R13" s="14" t="str">
        <f>IF(OR(ЦТО!AE13=ЦТО!$BK$8,ЦТО!AE13=ЦТО!$BK$9,ЦТО!AE13=ЦТО!$BK$10),"Обратить внимание","Отклонений нет")</f>
        <v>Обратить внимание</v>
      </c>
      <c r="S13" s="14" t="str">
        <f>IF(OR(ЦТО!AF13=ЦТО!$BK$8,ЦТО!AF13=ЦТО!$BK$9,ЦТО!AF13=ЦТО!$BK$10),"Обратить внимание","Отклонений нет")</f>
        <v>Отклонений нет</v>
      </c>
      <c r="T13" s="14" t="str">
        <f>IF(OR(ЦТО!AG13=ЦТО!$BK$8,ЦТО!AG13=ЦТО!$BK$9,ЦТО!AG13=ЦТО!$BK$10),"Обратить внимание","Отклонений нет")</f>
        <v>Отклонений нет</v>
      </c>
      <c r="U13" s="14" t="str">
        <f>IF(OR(ЦТО!AH13=ЦТО!$BK$8,ЦТО!AH13=ЦТО!$BK$9,ЦТО!AH13=ЦТО!$BK$10),"Обратить внимание","Отклонений нет")</f>
        <v>Отклонений нет</v>
      </c>
      <c r="V13" s="47" t="str">
        <f>IF(OR(ЦТО!AI13=ЦТО!$BK$8,ЦТО!AI13=ЦТО!$BK$9,ЦТО!AI13=ЦТО!$BK$10),"Обратить внимание","Отклонений нет")</f>
        <v>Отклонений нет</v>
      </c>
      <c r="W13" s="47" t="str">
        <f>IF(OR(ЦТО!AJ13=ЦТО!$BK$8,ЦТО!AJ13=ЦТО!$BK$9,ЦТО!AJ13=ЦТО!$BK$10),"Обратить внимание","Отклонений нет")</f>
        <v>Отклонений нет</v>
      </c>
      <c r="X13" s="47" t="str">
        <f>IF(OR(ЦТО!AK13=ЦТО!$BK$8,ЦТО!AK13=ЦТО!$BK$9,ЦТО!AK13=ЦТО!$BK$10),"Обратить внимание","Отклонений нет")</f>
        <v>Отклонений нет</v>
      </c>
    </row>
    <row r="14" spans="1:24" ht="18" customHeight="1">
      <c r="A14" s="10">
        <v>12</v>
      </c>
      <c r="B14" s="14" t="str">
        <f>IF(ЦТО!B14="","",ЦТО!B14)</f>
        <v>М</v>
      </c>
      <c r="C14" s="14" t="str">
        <f>IF(ЦТО!C14="","",ЦТО!C14)</f>
        <v>2 а</v>
      </c>
      <c r="D14" s="36" t="str">
        <f>IF(ЦТО!D14="","",ЦТО!D14)</f>
        <v/>
      </c>
      <c r="E14" s="89" t="b">
        <f>IF(ЦТО!$N14=ЦТО!$W14,"Душа",IF(ЦТО!$N14=ЦТО!$X14,ЦТО!$X$2,IF(ЦТО!$N14=ЦТО!$Y14,ЦТО!$Y$2,IF(ЦТО!$N14=ЦТО!$AE14,ЦТО!$AE$2,IF(ЦТО!$N14=ЦТО!$AF14,ЦТО!$AF$2,IF(ЦТО!$N14=ЦТО!$AG14,ЦТО!$AG$2,IF(ЦТО!$N14=ЦТО!$AH14,ЦТО!$AH$2,IF(ЦТО!$N14=ЦТО!$AI14,ЦТО!$AI$2,IF(ЦТО!$N14=ЦТО!$AJ14,ЦТО!$AJ$2,IF(ЦТО!$N14=ЦТО!$AK14,ЦТО!$AK$2))))))))))</f>
        <v>0</v>
      </c>
      <c r="F14" s="89" t="b">
        <f>IF(ЦТО!P14=ЦТО!W14,"Душа",IF(ЦТО!P14=ЦТО!X14,ЦТО!$X$2,IF(ЦТО!P14=ЦТО!Y14,ЦТО!$Y$2,IF(ЦТО!P14=ЦТО!AE14,ЦТО!$AE$2,IF(ЦТО!P14=ЦТО!AF14,ЦТО!$AF$2,IF(ЦТО!P14=ЦТО!AG14,ЦТО!$AG$2,IF(ЦТО!P14=ЦТО!AH14,ЦТО!$AH$2,IF(ЦТО!P14=ЦТО!AI14,ЦТО!$AI$2,IF(ЦТО!P14=ЦТО!AJ14,ЦТО!$AJ$2,IF(ЦТО!P14=ЦТО!AK14,ЦТО!$AK$2))))))))))</f>
        <v>0</v>
      </c>
      <c r="G14" s="89" t="b">
        <f>IF(ЦТО!$R14=ЦТО!$W14,"Душа",IF(ЦТО!$R14=ЦТО!$X14,ЦТО!$X$2,IF(ЦТО!$R14=ЦТО!$Y14,ЦТО!$Y$2,IF(ЦТО!$R14=ЦТО!$AE14,ЦТО!$AE$2,IF(ЦТО!$R14=ЦТО!$AF14,ЦТО!$AF$2,IF(ЦТО!$R14=ЦТО!$AG14,ЦТО!$AG$2,IF(ЦТО!$R14=ЦТО!$AH14,ЦТО!$AH$2,IF(ЦТО!$R14=ЦТО!$AI14,ЦТО!$AI$2,IF(ЦТО!$R14=ЦТО!$AJ14,ЦТО!$AJ$2,IF(ЦТО!$R14=ЦТО!$AK14,ЦТО!$AK$2))))))))))</f>
        <v>0</v>
      </c>
      <c r="H14" s="89" t="str">
        <f>IF(ЦТО!$T14=ЦТО!$W14,"Душа",IF(ЦТО!$T14=ЦТО!$X14,ЦТО!$X$2,IF(ЦТО!$T14=ЦТО!$Y14,ЦТО!$Y$2,IF(ЦТО!$T14=ЦТО!$AE14,ЦТО!$AE$2,IF(ЦТО!$T14=ЦТО!$AF14,ЦТО!$AF$2,IF(ЦТО!$T14=ЦТО!$AG14,ЦТО!$AG$2,IF(ЦТО!$T14=ЦТО!$AH14,ЦТО!$AH$2,IF(ЦТО!$T14=ЦТО!$AI14,ЦТО!$AI$2,IF(ЦТО!$T14=ЦТО!$AJ14,ЦТО!$AJ$2,IF(ЦТО!$T14=ЦТО!$AK14,ЦТО!$AK$2))))))))))</f>
        <v>Чтение</v>
      </c>
      <c r="I14" s="89" t="b">
        <f>IF(ЦТО!$U14=ЦТО!$W14,"Душа",IF(ЦТО!$U14=ЦТО!$X14,ЦТО!$X$2,IF(ЦТО!$U14=ЦТО!$Y14,ЦТО!$Y$2,IF(ЦТО!$U14=ЦТО!$AE14,ЦТО!$AE$2,IF(ЦТО!$U14=ЦТО!$AF14,ЦТО!$AF$2,IF(ЦТО!$U14=ЦТО!$AG14,ЦТО!$AG$2,IF(ЦТО!$U14=ЦТО!$AH14,ЦТО!$AH$2,IF(ЦТО!$U14=ЦТО!$AI14,ЦТО!$AI$2,IF(ЦТО!$U14=ЦТО!$AJ14,ЦТО!$AJ$2,IF(ЦТО!$U14=ЦТО!$AK14,ЦТО!$AK$2))))))))))</f>
        <v>0</v>
      </c>
      <c r="J14" s="47" t="str">
        <f>IF(OR(ЦТО!W14=ЦТО!$BK$8,ЦТО!W14=ЦТО!$BK$9,ЦТО!W14=ЦТО!$BK$10),"Обратить внимание","Отклонений нет")</f>
        <v>Отклонений нет</v>
      </c>
      <c r="K14" s="14" t="str">
        <f>IF(OR(ЦТО!X14=ЦТО!$BK$8,ЦТО!X14=ЦТО!$BK$9,ЦТО!X14=ЦТО!$BK$10),"Обратить внимание","Отклонений нет")</f>
        <v>Обратить внимание</v>
      </c>
      <c r="L14" s="14" t="str">
        <f>IF(OR(ЦТО!Y14=ЦТО!$BK$8,ЦТО!Y14=ЦТО!$BK$9,ЦТО!Y14=ЦТО!$BK$10),"Обратить внимание","Отклонений нет")</f>
        <v>Отклонений нет</v>
      </c>
      <c r="M14" s="14" t="str">
        <f>IF(OR(ЦТО!Z14=ЦТО!$BK$8,ЦТО!Z14=ЦТО!$BK$9,ЦТО!Z14=ЦТО!$BK$10),"Обратить внимание","Отклонений нет")</f>
        <v>Отклонений нет</v>
      </c>
      <c r="N14" s="14" t="str">
        <f>IF(OR(ЦТО!AA14=ЦТО!$BK$8,ЦТО!AA14=ЦТО!$BK$9,ЦТО!AA14=ЦТО!$BK$10),"Обратить внимание","Отклонений нет")</f>
        <v>Отклонений нет</v>
      </c>
      <c r="O14" s="14" t="str">
        <f>IF(OR(ЦТО!AB14=ЦТО!$BK$8,ЦТО!AB14=ЦТО!$BK$9,ЦТО!AB14=ЦТО!$BK$10),"Обратить внимание","Отклонений нет")</f>
        <v>Обратить внимание</v>
      </c>
      <c r="P14" s="14" t="str">
        <f>IF(OR(ЦТО!AC14=ЦТО!$BK$8,ЦТО!AC14=ЦТО!$BK$9,ЦТО!AC14=ЦТО!$BK$10),"Обратить внимание","Отклонений нет")</f>
        <v>Отклонений нет</v>
      </c>
      <c r="Q14" s="14" t="str">
        <f>IF(OR(ЦТО!AD14=ЦТО!$BK$8,ЦТО!AD14=ЦТО!$BK$9,ЦТО!AD14=ЦТО!$BK$10),"Обратить внимание","Отклонений нет")</f>
        <v>Отклонений нет</v>
      </c>
      <c r="R14" s="14" t="str">
        <f>IF(OR(ЦТО!AE14=ЦТО!$BK$8,ЦТО!AE14=ЦТО!$BK$9,ЦТО!AE14=ЦТО!$BK$10),"Обратить внимание","Отклонений нет")</f>
        <v>Отклонений нет</v>
      </c>
      <c r="S14" s="14" t="str">
        <f>IF(OR(ЦТО!AF14=ЦТО!$BK$8,ЦТО!AF14=ЦТО!$BK$9,ЦТО!AF14=ЦТО!$BK$10),"Обратить внимание","Отклонений нет")</f>
        <v>Обратить внимание</v>
      </c>
      <c r="T14" s="14" t="str">
        <f>IF(OR(ЦТО!AG14=ЦТО!$BK$8,ЦТО!AG14=ЦТО!$BK$9,ЦТО!AG14=ЦТО!$BK$10),"Обратить внимание","Отклонений нет")</f>
        <v>Обратить внимание</v>
      </c>
      <c r="U14" s="14" t="str">
        <f>IF(OR(ЦТО!AH14=ЦТО!$BK$8,ЦТО!AH14=ЦТО!$BK$9,ЦТО!AH14=ЦТО!$BK$10),"Обратить внимание","Отклонений нет")</f>
        <v>Обратить внимание</v>
      </c>
      <c r="V14" s="47" t="str">
        <f>IF(OR(ЦТО!AI14=ЦТО!$BK$8,ЦТО!AI14=ЦТО!$BK$9,ЦТО!AI14=ЦТО!$BK$10),"Обратить внимание","Отклонений нет")</f>
        <v>Отклонений нет</v>
      </c>
      <c r="W14" s="47" t="str">
        <f>IF(OR(ЦТО!AJ14=ЦТО!$BK$8,ЦТО!AJ14=ЦТО!$BK$9,ЦТО!AJ14=ЦТО!$BK$10),"Обратить внимание","Отклонений нет")</f>
        <v>Отклонений нет</v>
      </c>
      <c r="X14" s="47" t="str">
        <f>IF(OR(ЦТО!AK14=ЦТО!$BK$8,ЦТО!AK14=ЦТО!$BK$9,ЦТО!AK14=ЦТО!$BK$10),"Обратить внимание","Отклонений нет")</f>
        <v>Отклонений нет</v>
      </c>
    </row>
    <row r="15" spans="1:24" ht="18" customHeight="1">
      <c r="A15" s="10">
        <v>13</v>
      </c>
      <c r="B15" s="14" t="str">
        <f>IF(ЦТО!B15="","",ЦТО!B15)</f>
        <v>Н</v>
      </c>
      <c r="C15" s="14" t="str">
        <f>IF(ЦТО!C15="","",ЦТО!C15)</f>
        <v>2 а</v>
      </c>
      <c r="D15" s="36" t="str">
        <f>IF(ЦТО!D15="","",ЦТО!D15)</f>
        <v/>
      </c>
      <c r="E15" s="89" t="str">
        <f>IF(ЦТО!$N15=ЦТО!$W15,"Душа",IF(ЦТО!$N15=ЦТО!$X15,ЦТО!$X$2,IF(ЦТО!$N15=ЦТО!$Y15,ЦТО!$Y$2,IF(ЦТО!$N15=ЦТО!$AE15,ЦТО!$AE$2,IF(ЦТО!$N15=ЦТО!$AF15,ЦТО!$AF$2,IF(ЦТО!$N15=ЦТО!$AG15,ЦТО!$AG$2,IF(ЦТО!$N15=ЦТО!$AH15,ЦТО!$AH$2,IF(ЦТО!$N15=ЦТО!$AI15,ЦТО!$AI$2,IF(ЦТО!$N15=ЦТО!$AJ15,ЦТО!$AJ$2,IF(ЦТО!$N15=ЦТО!$AK15,ЦТО!$AK$2))))))))))</f>
        <v>Школа</v>
      </c>
      <c r="F15" s="89" t="b">
        <f>IF(ЦТО!P15=ЦТО!W15,"Душа",IF(ЦТО!P15=ЦТО!X15,ЦТО!$X$2,IF(ЦТО!P15=ЦТО!Y15,ЦТО!$Y$2,IF(ЦТО!P15=ЦТО!AE15,ЦТО!$AE$2,IF(ЦТО!P15=ЦТО!AF15,ЦТО!$AF$2,IF(ЦТО!P15=ЦТО!AG15,ЦТО!$AG$2,IF(ЦТО!P15=ЦТО!AH15,ЦТО!$AH$2,IF(ЦТО!P15=ЦТО!AI15,ЦТО!$AI$2,IF(ЦТО!P15=ЦТО!AJ15,ЦТО!$AJ$2,IF(ЦТО!P15=ЦТО!AK15,ЦТО!$AK$2))))))))))</f>
        <v>0</v>
      </c>
      <c r="G15" s="89" t="str">
        <f>IF(ЦТО!$R15=ЦТО!$W15,"Душа",IF(ЦТО!$R15=ЦТО!$X15,ЦТО!$X$2,IF(ЦТО!$R15=ЦТО!$Y15,ЦТО!$Y$2,IF(ЦТО!$R15=ЦТО!$AE15,ЦТО!$AE$2,IF(ЦТО!$R15=ЦТО!$AF15,ЦТО!$AF$2,IF(ЦТО!$R15=ЦТО!$AG15,ЦТО!$AG$2,IF(ЦТО!$R15=ЦТО!$AH15,ЦТО!$AH$2,IF(ЦТО!$R15=ЦТО!$AI15,ЦТО!$AI$2,IF(ЦТО!$R15=ЦТО!$AJ15,ЦТО!$AJ$2,IF(ЦТО!$R15=ЦТО!$AK15,ЦТО!$AK$2))))))))))</f>
        <v>Свое</v>
      </c>
      <c r="H15" s="89" t="str">
        <f>IF(ЦТО!$T15=ЦТО!$W15,"Душа",IF(ЦТО!$T15=ЦТО!$X15,ЦТО!$X$2,IF(ЦТО!$T15=ЦТО!$Y15,ЦТО!$Y$2,IF(ЦТО!$T15=ЦТО!$AE15,ЦТО!$AE$2,IF(ЦТО!$T15=ЦТО!$AF15,ЦТО!$AF$2,IF(ЦТО!$T15=ЦТО!$AG15,ЦТО!$AG$2,IF(ЦТО!$T15=ЦТО!$AH15,ЦТО!$AH$2,IF(ЦТО!$T15=ЦТО!$AI15,ЦТО!$AI$2,IF(ЦТО!$T15=ЦТО!$AJ15,ЦТО!$AJ$2,IF(ЦТО!$T15=ЦТО!$AK15,ЦТО!$AK$2))))))))))</f>
        <v>Чтение</v>
      </c>
      <c r="I15" s="89" t="str">
        <f>IF(ЦТО!$U15=ЦТО!$W15,"Душа",IF(ЦТО!$U15=ЦТО!$X15,ЦТО!$X$2,IF(ЦТО!$U15=ЦТО!$Y15,ЦТО!$Y$2,IF(ЦТО!$U15=ЦТО!$AE15,ЦТО!$AE$2,IF(ЦТО!$U15=ЦТО!$AF15,ЦТО!$AF$2,IF(ЦТО!$U15=ЦТО!$AG15,ЦТО!$AG$2,IF(ЦТО!$U15=ЦТО!$AH15,ЦТО!$AH$2,IF(ЦТО!$U15=ЦТО!$AI15,ЦТО!$AI$2,IF(ЦТО!$U15=ЦТО!$AJ15,ЦТО!$AJ$2,IF(ЦТО!$U15=ЦТО!$AK15,ЦТО!$AK$2))))))))))</f>
        <v>Школа</v>
      </c>
      <c r="J15" s="47" t="str">
        <f>IF(OR(ЦТО!W15=ЦТО!$BK$8,ЦТО!W15=ЦТО!$BK$9,ЦТО!W15=ЦТО!$BK$10),"Обратить внимание","Отклонений нет")</f>
        <v>Отклонений нет</v>
      </c>
      <c r="K15" s="14" t="str">
        <f>IF(OR(ЦТО!X15=ЦТО!$BK$8,ЦТО!X15=ЦТО!$BK$9,ЦТО!X15=ЦТО!$BK$10),"Обратить внимание","Отклонений нет")</f>
        <v>Обратить внимание</v>
      </c>
      <c r="L15" s="14" t="str">
        <f>IF(OR(ЦТО!Y15=ЦТО!$BK$8,ЦТО!Y15=ЦТО!$BK$9,ЦТО!Y15=ЦТО!$BK$10),"Обратить внимание","Отклонений нет")</f>
        <v>Отклонений нет</v>
      </c>
      <c r="M15" s="14" t="str">
        <f>IF(OR(ЦТО!Z15=ЦТО!$BK$8,ЦТО!Z15=ЦТО!$BK$9,ЦТО!Z15=ЦТО!$BK$10),"Обратить внимание","Отклонений нет")</f>
        <v>Отклонений нет</v>
      </c>
      <c r="N15" s="14" t="str">
        <f>IF(OR(ЦТО!AA15=ЦТО!$BK$8,ЦТО!AA15=ЦТО!$BK$9,ЦТО!AA15=ЦТО!$BK$10),"Обратить внимание","Отклонений нет")</f>
        <v>Отклонений нет</v>
      </c>
      <c r="O15" s="14" t="str">
        <f>IF(OR(ЦТО!AB15=ЦТО!$BK$8,ЦТО!AB15=ЦТО!$BK$9,ЦТО!AB15=ЦТО!$BK$10),"Обратить внимание","Отклонений нет")</f>
        <v>Обратить внимание</v>
      </c>
      <c r="P15" s="14" t="str">
        <f>IF(OR(ЦТО!AC15=ЦТО!$BK$8,ЦТО!AC15=ЦТО!$BK$9,ЦТО!AC15=ЦТО!$BK$10),"Обратить внимание","Отклонений нет")</f>
        <v>Отклонений нет</v>
      </c>
      <c r="Q15" s="14" t="str">
        <f>IF(OR(ЦТО!AD15=ЦТО!$BK$8,ЦТО!AD15=ЦТО!$BK$9,ЦТО!AD15=ЦТО!$BK$10),"Обратить внимание","Отклонений нет")</f>
        <v>Отклонений нет</v>
      </c>
      <c r="R15" s="14" t="str">
        <f>IF(OR(ЦТО!AE15=ЦТО!$BK$8,ЦТО!AE15=ЦТО!$BK$9,ЦТО!AE15=ЦТО!$BK$10),"Обратить внимание","Отклонений нет")</f>
        <v>Отклонений нет</v>
      </c>
      <c r="S15" s="14" t="str">
        <f>IF(OR(ЦТО!AF15=ЦТО!$BK$8,ЦТО!AF15=ЦТО!$BK$9,ЦТО!AF15=ЦТО!$BK$10),"Обратить внимание","Отклонений нет")</f>
        <v>Отклонений нет</v>
      </c>
      <c r="T15" s="14" t="str">
        <f>IF(OR(ЦТО!AG15=ЦТО!$BK$8,ЦТО!AG15=ЦТО!$BK$9,ЦТО!AG15=ЦТО!$BK$10),"Обратить внимание","Отклонений нет")</f>
        <v>Обратить внимание</v>
      </c>
      <c r="U15" s="14" t="str">
        <f>IF(OR(ЦТО!AH15=ЦТО!$BK$8,ЦТО!AH15=ЦТО!$BK$9,ЦТО!AH15=ЦТО!$BK$10),"Обратить внимание","Отклонений нет")</f>
        <v>Отклонений нет</v>
      </c>
      <c r="V15" s="47" t="str">
        <f>IF(OR(ЦТО!AI15=ЦТО!$BK$8,ЦТО!AI15=ЦТО!$BK$9,ЦТО!AI15=ЦТО!$BK$10),"Обратить внимание","Отклонений нет")</f>
        <v>Отклонений нет</v>
      </c>
      <c r="W15" s="47" t="str">
        <f>IF(OR(ЦТО!AJ15=ЦТО!$BK$8,ЦТО!AJ15=ЦТО!$BK$9,ЦТО!AJ15=ЦТО!$BK$10),"Обратить внимание","Отклонений нет")</f>
        <v>Отклонений нет</v>
      </c>
      <c r="X15" s="47" t="str">
        <f>IF(OR(ЦТО!AK15=ЦТО!$BK$8,ЦТО!AK15=ЦТО!$BK$9,ЦТО!AK15=ЦТО!$BK$10),"Обратить внимание","Отклонений нет")</f>
        <v>Отклонений нет</v>
      </c>
    </row>
    <row r="16" spans="1:24" ht="18" customHeight="1">
      <c r="A16" s="10">
        <v>14</v>
      </c>
      <c r="B16" s="14" t="str">
        <f>IF(ЦТО!B16="","",ЦТО!B16)</f>
        <v>О</v>
      </c>
      <c r="C16" s="14" t="str">
        <f>IF(ЦТО!C16="","",ЦТО!C16)</f>
        <v>2 а</v>
      </c>
      <c r="D16" s="36" t="str">
        <f>IF(ЦТО!D16="","",ЦТО!D16)</f>
        <v/>
      </c>
      <c r="E16" s="89" t="str">
        <f>IF(ЦТО!$N16=ЦТО!$W16,"Душа",IF(ЦТО!$N16=ЦТО!$X16,ЦТО!$X$2,IF(ЦТО!$N16=ЦТО!$Y16,ЦТО!$Y$2,IF(ЦТО!$N16=ЦТО!$AE16,ЦТО!$AE$2,IF(ЦТО!$N16=ЦТО!$AF16,ЦТО!$AF$2,IF(ЦТО!$N16=ЦТО!$AG16,ЦТО!$AG$2,IF(ЦТО!$N16=ЦТО!$AH16,ЦТО!$AH$2,IF(ЦТО!$N16=ЦТО!$AI16,ЦТО!$AI$2,IF(ЦТО!$N16=ЦТО!$AJ16,ЦТО!$AJ$2,IF(ЦТО!$N16=ЦТО!$AK16,ЦТО!$AK$2))))))))))</f>
        <v>Школа</v>
      </c>
      <c r="F16" s="89" t="b">
        <f>IF(ЦТО!P16=ЦТО!W16,"Душа",IF(ЦТО!P16=ЦТО!X16,ЦТО!$X$2,IF(ЦТО!P16=ЦТО!Y16,ЦТО!$Y$2,IF(ЦТО!P16=ЦТО!AE16,ЦТО!$AE$2,IF(ЦТО!P16=ЦТО!AF16,ЦТО!$AF$2,IF(ЦТО!P16=ЦТО!AG16,ЦТО!$AG$2,IF(ЦТО!P16=ЦТО!AH16,ЦТО!$AH$2,IF(ЦТО!P16=ЦТО!AI16,ЦТО!$AI$2,IF(ЦТО!P16=ЦТО!AJ16,ЦТО!$AJ$2,IF(ЦТО!P16=ЦТО!AK16,ЦТО!$AK$2))))))))))</f>
        <v>0</v>
      </c>
      <c r="G16" s="89" t="b">
        <f>IF(ЦТО!$R16=ЦТО!$W16,"Душа",IF(ЦТО!$R16=ЦТО!$X16,ЦТО!$X$2,IF(ЦТО!$R16=ЦТО!$Y16,ЦТО!$Y$2,IF(ЦТО!$R16=ЦТО!$AE16,ЦТО!$AE$2,IF(ЦТО!$R16=ЦТО!$AF16,ЦТО!$AF$2,IF(ЦТО!$R16=ЦТО!$AG16,ЦТО!$AG$2,IF(ЦТО!$R16=ЦТО!$AH16,ЦТО!$AH$2,IF(ЦТО!$R16=ЦТО!$AI16,ЦТО!$AI$2,IF(ЦТО!$R16=ЦТО!$AJ16,ЦТО!$AJ$2,IF(ЦТО!$R16=ЦТО!$AK16,ЦТО!$AK$2))))))))))</f>
        <v>0</v>
      </c>
      <c r="H16" s="89" t="str">
        <f>IF(ЦТО!$T16=ЦТО!$W16,"Душа",IF(ЦТО!$T16=ЦТО!$X16,ЦТО!$X$2,IF(ЦТО!$T16=ЦТО!$Y16,ЦТО!$Y$2,IF(ЦТО!$T16=ЦТО!$AE16,ЦТО!$AE$2,IF(ЦТО!$T16=ЦТО!$AF16,ЦТО!$AF$2,IF(ЦТО!$T16=ЦТО!$AG16,ЦТО!$AG$2,IF(ЦТО!$T16=ЦТО!$AH16,ЦТО!$AH$2,IF(ЦТО!$T16=ЦТО!$AI16,ЦТО!$AI$2,IF(ЦТО!$T16=ЦТО!$AJ16,ЦТО!$AJ$2,IF(ЦТО!$T16=ЦТО!$AK16,ЦТО!$AK$2))))))))))</f>
        <v>Уроки</v>
      </c>
      <c r="I16" s="89" t="b">
        <f>IF(ЦТО!$U16=ЦТО!$W16,"Душа",IF(ЦТО!$U16=ЦТО!$X16,ЦТО!$X$2,IF(ЦТО!$U16=ЦТО!$Y16,ЦТО!$Y$2,IF(ЦТО!$U16=ЦТО!$AE16,ЦТО!$AE$2,IF(ЦТО!$U16=ЦТО!$AF16,ЦТО!$AF$2,IF(ЦТО!$U16=ЦТО!$AG16,ЦТО!$AG$2,IF(ЦТО!$U16=ЦТО!$AH16,ЦТО!$AH$2,IF(ЦТО!$U16=ЦТО!$AI16,ЦТО!$AI$2,IF(ЦТО!$U16=ЦТО!$AJ16,ЦТО!$AJ$2,IF(ЦТО!$U16=ЦТО!$AK16,ЦТО!$AK$2))))))))))</f>
        <v>0</v>
      </c>
      <c r="J16" s="47" t="str">
        <f>IF(OR(ЦТО!W16=ЦТО!$BK$8,ЦТО!W16=ЦТО!$BK$9,ЦТО!W16=ЦТО!$BK$10),"Обратить внимание","Отклонений нет")</f>
        <v>Отклонений нет</v>
      </c>
      <c r="K16" s="14" t="str">
        <f>IF(OR(ЦТО!X16=ЦТО!$BK$8,ЦТО!X16=ЦТО!$BK$9,ЦТО!X16=ЦТО!$BK$10),"Обратить внимание","Отклонений нет")</f>
        <v>Обратить внимание</v>
      </c>
      <c r="L16" s="14" t="str">
        <f>IF(OR(ЦТО!Y16=ЦТО!$BK$8,ЦТО!Y16=ЦТО!$BK$9,ЦТО!Y16=ЦТО!$BK$10),"Обратить внимание","Отклонений нет")</f>
        <v>Отклонений нет</v>
      </c>
      <c r="M16" s="14" t="str">
        <f>IF(OR(ЦТО!Z16=ЦТО!$BK$8,ЦТО!Z16=ЦТО!$BK$9,ЦТО!Z16=ЦТО!$BK$10),"Обратить внимание","Отклонений нет")</f>
        <v>Отклонений нет</v>
      </c>
      <c r="N16" s="14" t="str">
        <f>IF(OR(ЦТО!AA16=ЦТО!$BK$8,ЦТО!AA16=ЦТО!$BK$9,ЦТО!AA16=ЦТО!$BK$10),"Обратить внимание","Отклонений нет")</f>
        <v>Отклонений нет</v>
      </c>
      <c r="O16" s="14" t="str">
        <f>IF(OR(ЦТО!AB16=ЦТО!$BK$8,ЦТО!AB16=ЦТО!$BK$9,ЦТО!AB16=ЦТО!$BK$10),"Обратить внимание","Отклонений нет")</f>
        <v>Обратить внимание</v>
      </c>
      <c r="P16" s="14" t="str">
        <f>IF(OR(ЦТО!AC16=ЦТО!$BK$8,ЦТО!AC16=ЦТО!$BK$9,ЦТО!AC16=ЦТО!$BK$10),"Обратить внимание","Отклонений нет")</f>
        <v>Отклонений нет</v>
      </c>
      <c r="Q16" s="14" t="str">
        <f>IF(OR(ЦТО!AD16=ЦТО!$BK$8,ЦТО!AD16=ЦТО!$BK$9,ЦТО!AD16=ЦТО!$BK$10),"Обратить внимание","Отклонений нет")</f>
        <v>Отклонений нет</v>
      </c>
      <c r="R16" s="14" t="str">
        <f>IF(OR(ЦТО!AE16=ЦТО!$BK$8,ЦТО!AE16=ЦТО!$BK$9,ЦТО!AE16=ЦТО!$BK$10),"Обратить внимание","Отклонений нет")</f>
        <v>Отклонений нет</v>
      </c>
      <c r="S16" s="14" t="str">
        <f>IF(OR(ЦТО!AF16=ЦТО!$BK$8,ЦТО!AF16=ЦТО!$BK$9,ЦТО!AF16=ЦТО!$BK$10),"Обратить внимание","Отклонений нет")</f>
        <v>Отклонений нет</v>
      </c>
      <c r="T16" s="14" t="str">
        <f>IF(OR(ЦТО!AG16=ЦТО!$BK$8,ЦТО!AG16=ЦТО!$BK$9,ЦТО!AG16=ЦТО!$BK$10),"Обратить внимание","Отклонений нет")</f>
        <v>Обратить внимание</v>
      </c>
      <c r="U16" s="14" t="str">
        <f>IF(OR(ЦТО!AH16=ЦТО!$BK$8,ЦТО!AH16=ЦТО!$BK$9,ЦТО!AH16=ЦТО!$BK$10),"Обратить внимание","Отклонений нет")</f>
        <v>Отклонений нет</v>
      </c>
      <c r="V16" s="47" t="str">
        <f>IF(OR(ЦТО!AI16=ЦТО!$BK$8,ЦТО!AI16=ЦТО!$BK$9,ЦТО!AI16=ЦТО!$BK$10),"Обратить внимание","Отклонений нет")</f>
        <v>Отклонений нет</v>
      </c>
      <c r="W16" s="47" t="str">
        <f>IF(OR(ЦТО!AJ16=ЦТО!$BK$8,ЦТО!AJ16=ЦТО!$BK$9,ЦТО!AJ16=ЦТО!$BK$10),"Обратить внимание","Отклонений нет")</f>
        <v>Отклонений нет</v>
      </c>
      <c r="X16" s="47" t="str">
        <f>IF(OR(ЦТО!AK16=ЦТО!$BK$8,ЦТО!AK16=ЦТО!$BK$9,ЦТО!AK16=ЦТО!$BK$10),"Обратить внимание","Отклонений нет")</f>
        <v>Отклонений нет</v>
      </c>
    </row>
    <row r="17" spans="1:24" ht="18" customHeight="1">
      <c r="A17" s="10">
        <v>15</v>
      </c>
      <c r="B17" s="14" t="str">
        <f>IF(ЦТО!B17="","",ЦТО!B17)</f>
        <v>П</v>
      </c>
      <c r="C17" s="14" t="str">
        <f>IF(ЦТО!C17="","",ЦТО!C17)</f>
        <v>2 а</v>
      </c>
      <c r="D17" s="36" t="str">
        <f>IF(ЦТО!D17="","",ЦТО!D17)</f>
        <v/>
      </c>
      <c r="E17" s="89" t="b">
        <f>IF(ЦТО!$N17=ЦТО!$W17,"Душа",IF(ЦТО!$N17=ЦТО!$X17,ЦТО!$X$2,IF(ЦТО!$N17=ЦТО!$Y17,ЦТО!$Y$2,IF(ЦТО!$N17=ЦТО!$AE17,ЦТО!$AE$2,IF(ЦТО!$N17=ЦТО!$AF17,ЦТО!$AF$2,IF(ЦТО!$N17=ЦТО!$AG17,ЦТО!$AG$2,IF(ЦТО!$N17=ЦТО!$AH17,ЦТО!$AH$2,IF(ЦТО!$N17=ЦТО!$AI17,ЦТО!$AI$2,IF(ЦТО!$N17=ЦТО!$AJ17,ЦТО!$AJ$2,IF(ЦТО!$N17=ЦТО!$AK17,ЦТО!$AK$2))))))))))</f>
        <v>0</v>
      </c>
      <c r="F17" s="89" t="str">
        <f>IF(ЦТО!P17=ЦТО!W17,"Душа",IF(ЦТО!P17=ЦТО!X17,ЦТО!$X$2,IF(ЦТО!P17=ЦТО!Y17,ЦТО!$Y$2,IF(ЦТО!P17=ЦТО!AE17,ЦТО!$AE$2,IF(ЦТО!P17=ЦТО!AF17,ЦТО!$AF$2,IF(ЦТО!P17=ЦТО!AG17,ЦТО!$AG$2,IF(ЦТО!P17=ЦТО!AH17,ЦТО!$AH$2,IF(ЦТО!P17=ЦТО!AI17,ЦТО!$AI$2,IF(ЦТО!P17=ЦТО!AJ17,ЦТО!$AJ$2,IF(ЦТО!P17=ЦТО!AK17,ЦТО!$AK$2))))))))))</f>
        <v>Школа</v>
      </c>
      <c r="G17" s="89" t="str">
        <f>IF(ЦТО!$R17=ЦТО!$W17,"Душа",IF(ЦТО!$R17=ЦТО!$X17,ЦТО!$X$2,IF(ЦТО!$R17=ЦТО!$Y17,ЦТО!$Y$2,IF(ЦТО!$R17=ЦТО!$AE17,ЦТО!$AE$2,IF(ЦТО!$R17=ЦТО!$AF17,ЦТО!$AF$2,IF(ЦТО!$R17=ЦТО!$AG17,ЦТО!$AG$2,IF(ЦТО!$R17=ЦТО!$AH17,ЦТО!$AH$2,IF(ЦТО!$R17=ЦТО!$AI17,ЦТО!$AI$2,IF(ЦТО!$R17=ЦТО!$AJ17,ЦТО!$AJ$2,IF(ЦТО!$R17=ЦТО!$AK17,ЦТО!$AK$2))))))))))</f>
        <v>Школа</v>
      </c>
      <c r="H17" s="89" t="str">
        <f>IF(ЦТО!$T17=ЦТО!$W17,"Душа",IF(ЦТО!$T17=ЦТО!$X17,ЦТО!$X$2,IF(ЦТО!$T17=ЦТО!$Y17,ЦТО!$Y$2,IF(ЦТО!$T17=ЦТО!$AE17,ЦТО!$AE$2,IF(ЦТО!$T17=ЦТО!$AF17,ЦТО!$AF$2,IF(ЦТО!$T17=ЦТО!$AG17,ЦТО!$AG$2,IF(ЦТО!$T17=ЦТО!$AH17,ЦТО!$AH$2,IF(ЦТО!$T17=ЦТО!$AI17,ЦТО!$AI$2,IF(ЦТО!$T17=ЦТО!$AJ17,ЦТО!$AJ$2,IF(ЦТО!$T17=ЦТО!$AK17,ЦТО!$AK$2))))))))))</f>
        <v>Чтение</v>
      </c>
      <c r="I17" s="89" t="b">
        <f>IF(ЦТО!$U17=ЦТО!$W17,"Душа",IF(ЦТО!$U17=ЦТО!$X17,ЦТО!$X$2,IF(ЦТО!$U17=ЦТО!$Y17,ЦТО!$Y$2,IF(ЦТО!$U17=ЦТО!$AE17,ЦТО!$AE$2,IF(ЦТО!$U17=ЦТО!$AF17,ЦТО!$AF$2,IF(ЦТО!$U17=ЦТО!$AG17,ЦТО!$AG$2,IF(ЦТО!$U17=ЦТО!$AH17,ЦТО!$AH$2,IF(ЦТО!$U17=ЦТО!$AI17,ЦТО!$AI$2,IF(ЦТО!$U17=ЦТО!$AJ17,ЦТО!$AJ$2,IF(ЦТО!$U17=ЦТО!$AK17,ЦТО!$AK$2))))))))))</f>
        <v>0</v>
      </c>
      <c r="J17" s="47" t="str">
        <f>IF(OR(ЦТО!W17=ЦТО!$BK$8,ЦТО!W17=ЦТО!$BK$9,ЦТО!W17=ЦТО!$BK$10),"Обратить внимание","Отклонений нет")</f>
        <v>Отклонений нет</v>
      </c>
      <c r="K17" s="14" t="str">
        <f>IF(OR(ЦТО!X17=ЦТО!$BK$8,ЦТО!X17=ЦТО!$BK$9,ЦТО!X17=ЦТО!$BK$10),"Обратить внимание","Отклонений нет")</f>
        <v>Обратить внимание</v>
      </c>
      <c r="L17" s="14" t="str">
        <f>IF(OR(ЦТО!Y17=ЦТО!$BK$8,ЦТО!Y17=ЦТО!$BK$9,ЦТО!Y17=ЦТО!$BK$10),"Обратить внимание","Отклонений нет")</f>
        <v>Отклонений нет</v>
      </c>
      <c r="M17" s="14" t="str">
        <f>IF(OR(ЦТО!Z17=ЦТО!$BK$8,ЦТО!Z17=ЦТО!$BK$9,ЦТО!Z17=ЦТО!$BK$10),"Обратить внимание","Отклонений нет")</f>
        <v>Отклонений нет</v>
      </c>
      <c r="N17" s="14" t="str">
        <f>IF(OR(ЦТО!AA17=ЦТО!$BK$8,ЦТО!AA17=ЦТО!$BK$9,ЦТО!AA17=ЦТО!$BK$10),"Обратить внимание","Отклонений нет")</f>
        <v>Обратить внимание</v>
      </c>
      <c r="O17" s="14" t="str">
        <f>IF(OR(ЦТО!AB17=ЦТО!$BK$8,ЦТО!AB17=ЦТО!$BK$9,ЦТО!AB17=ЦТО!$BK$10),"Обратить внимание","Отклонений нет")</f>
        <v>Обратить внимание</v>
      </c>
      <c r="P17" s="14" t="str">
        <f>IF(OR(ЦТО!AC17=ЦТО!$BK$8,ЦТО!AC17=ЦТО!$BK$9,ЦТО!AC17=ЦТО!$BK$10),"Обратить внимание","Отклонений нет")</f>
        <v>Отклонений нет</v>
      </c>
      <c r="Q17" s="14" t="str">
        <f>IF(OR(ЦТО!AD17=ЦТО!$BK$8,ЦТО!AD17=ЦТО!$BK$9,ЦТО!AD17=ЦТО!$BK$10),"Обратить внимание","Отклонений нет")</f>
        <v>Отклонений нет</v>
      </c>
      <c r="R17" s="14" t="str">
        <f>IF(OR(ЦТО!AE17=ЦТО!$BK$8,ЦТО!AE17=ЦТО!$BK$9,ЦТО!AE17=ЦТО!$BK$10),"Обратить внимание","Отклонений нет")</f>
        <v>Отклонений нет</v>
      </c>
      <c r="S17" s="14" t="str">
        <f>IF(OR(ЦТО!AF17=ЦТО!$BK$8,ЦТО!AF17=ЦТО!$BK$9,ЦТО!AF17=ЦТО!$BK$10),"Обратить внимание","Отклонений нет")</f>
        <v>Отклонений нет</v>
      </c>
      <c r="T17" s="14" t="str">
        <f>IF(OR(ЦТО!AG17=ЦТО!$BK$8,ЦТО!AG17=ЦТО!$BK$9,ЦТО!AG17=ЦТО!$BK$10),"Обратить внимание","Отклонений нет")</f>
        <v>Обратить внимание</v>
      </c>
      <c r="U17" s="14" t="str">
        <f>IF(OR(ЦТО!AH17=ЦТО!$BK$8,ЦТО!AH17=ЦТО!$BK$9,ЦТО!AH17=ЦТО!$BK$10),"Обратить внимание","Отклонений нет")</f>
        <v>Отклонений нет</v>
      </c>
      <c r="V17" s="47" t="str">
        <f>IF(OR(ЦТО!AI17=ЦТО!$BK$8,ЦТО!AI17=ЦТО!$BK$9,ЦТО!AI17=ЦТО!$BK$10),"Обратить внимание","Отклонений нет")</f>
        <v>Отклонений нет</v>
      </c>
      <c r="W17" s="47" t="str">
        <f>IF(OR(ЦТО!AJ17=ЦТО!$BK$8,ЦТО!AJ17=ЦТО!$BK$9,ЦТО!AJ17=ЦТО!$BK$10),"Обратить внимание","Отклонений нет")</f>
        <v>Отклонений нет</v>
      </c>
      <c r="X17" s="47" t="str">
        <f>IF(OR(ЦТО!AK17=ЦТО!$BK$8,ЦТО!AK17=ЦТО!$BK$9,ЦТО!AK17=ЦТО!$BK$10),"Обратить внимание","Отклонений нет")</f>
        <v>Отклонений нет</v>
      </c>
    </row>
    <row r="18" spans="1:24" ht="18" customHeight="1">
      <c r="A18" s="10">
        <v>16</v>
      </c>
      <c r="B18" s="14" t="str">
        <f>IF(ЦТО!B18="","",ЦТО!B18)</f>
        <v>Р</v>
      </c>
      <c r="C18" s="14" t="str">
        <f>IF(ЦТО!C18="","",ЦТО!C18)</f>
        <v>2 а</v>
      </c>
      <c r="D18" s="36" t="str">
        <f>IF(ЦТО!D18="","",ЦТО!D18)</f>
        <v/>
      </c>
      <c r="E18" s="89" t="b">
        <f>IF(ЦТО!$N18=ЦТО!$W18,"Душа",IF(ЦТО!$N18=ЦТО!$X18,ЦТО!$X$2,IF(ЦТО!$N18=ЦТО!$Y18,ЦТО!$Y$2,IF(ЦТО!$N18=ЦТО!$AE18,ЦТО!$AE$2,IF(ЦТО!$N18=ЦТО!$AF18,ЦТО!$AF$2,IF(ЦТО!$N18=ЦТО!$AG18,ЦТО!$AG$2,IF(ЦТО!$N18=ЦТО!$AH18,ЦТО!$AH$2,IF(ЦТО!$N18=ЦТО!$AI18,ЦТО!$AI$2,IF(ЦТО!$N18=ЦТО!$AJ18,ЦТО!$AJ$2,IF(ЦТО!$N18=ЦТО!$AK18,ЦТО!$AK$2))))))))))</f>
        <v>0</v>
      </c>
      <c r="F18" s="89" t="b">
        <f>IF(ЦТО!P18=ЦТО!W18,"Душа",IF(ЦТО!P18=ЦТО!X18,ЦТО!$X$2,IF(ЦТО!P18=ЦТО!Y18,ЦТО!$Y$2,IF(ЦТО!P18=ЦТО!AE18,ЦТО!$AE$2,IF(ЦТО!P18=ЦТО!AF18,ЦТО!$AF$2,IF(ЦТО!P18=ЦТО!AG18,ЦТО!$AG$2,IF(ЦТО!P18=ЦТО!AH18,ЦТО!$AH$2,IF(ЦТО!P18=ЦТО!AI18,ЦТО!$AI$2,IF(ЦТО!P18=ЦТО!AJ18,ЦТО!$AJ$2,IF(ЦТО!P18=ЦТО!AK18,ЦТО!$AK$2))))))))))</f>
        <v>0</v>
      </c>
      <c r="G18" s="89" t="b">
        <f>IF(ЦТО!$R18=ЦТО!$W18,"Душа",IF(ЦТО!$R18=ЦТО!$X18,ЦТО!$X$2,IF(ЦТО!$R18=ЦТО!$Y18,ЦТО!$Y$2,IF(ЦТО!$R18=ЦТО!$AE18,ЦТО!$AE$2,IF(ЦТО!$R18=ЦТО!$AF18,ЦТО!$AF$2,IF(ЦТО!$R18=ЦТО!$AG18,ЦТО!$AG$2,IF(ЦТО!$R18=ЦТО!$AH18,ЦТО!$AH$2,IF(ЦТО!$R18=ЦТО!$AI18,ЦТО!$AI$2,IF(ЦТО!$R18=ЦТО!$AJ18,ЦТО!$AJ$2,IF(ЦТО!$R18=ЦТО!$AK18,ЦТО!$AK$2))))))))))</f>
        <v>0</v>
      </c>
      <c r="H18" s="89" t="str">
        <f>IF(ЦТО!$T18=ЦТО!$W18,"Душа",IF(ЦТО!$T18=ЦТО!$X18,ЦТО!$X$2,IF(ЦТО!$T18=ЦТО!$Y18,ЦТО!$Y$2,IF(ЦТО!$T18=ЦТО!$AE18,ЦТО!$AE$2,IF(ЦТО!$T18=ЦТО!$AF18,ЦТО!$AF$2,IF(ЦТО!$T18=ЦТО!$AG18,ЦТО!$AG$2,IF(ЦТО!$T18=ЦТО!$AH18,ЦТО!$AH$2,IF(ЦТО!$T18=ЦТО!$AI18,ЦТО!$AI$2,IF(ЦТО!$T18=ЦТО!$AJ18,ЦТО!$AJ$2,IF(ЦТО!$T18=ЦТО!$AK18,ЦТО!$AK$2))))))))))</f>
        <v>Школа</v>
      </c>
      <c r="I18" s="89" t="str">
        <f>IF(ЦТО!$U18=ЦТО!$W18,"Душа",IF(ЦТО!$U18=ЦТО!$X18,ЦТО!$X$2,IF(ЦТО!$U18=ЦТО!$Y18,ЦТО!$Y$2,IF(ЦТО!$U18=ЦТО!$AE18,ЦТО!$AE$2,IF(ЦТО!$U18=ЦТО!$AF18,ЦТО!$AF$2,IF(ЦТО!$U18=ЦТО!$AG18,ЦТО!$AG$2,IF(ЦТО!$U18=ЦТО!$AH18,ЦТО!$AH$2,IF(ЦТО!$U18=ЦТО!$AI18,ЦТО!$AI$2,IF(ЦТО!$U18=ЦТО!$AJ18,ЦТО!$AJ$2,IF(ЦТО!$U18=ЦТО!$AK18,ЦТО!$AK$2))))))))))</f>
        <v>Одноклассники</v>
      </c>
      <c r="J18" s="47" t="str">
        <f>IF(OR(ЦТО!W18=ЦТО!$BK$8,ЦТО!W18=ЦТО!$BK$9,ЦТО!W18=ЦТО!$BK$10),"Обратить внимание","Отклонений нет")</f>
        <v>Отклонений нет</v>
      </c>
      <c r="K18" s="14" t="str">
        <f>IF(OR(ЦТО!X18=ЦТО!$BK$8,ЦТО!X18=ЦТО!$BK$9,ЦТО!X18=ЦТО!$BK$10),"Обратить внимание","Отклонений нет")</f>
        <v>Обратить внимание</v>
      </c>
      <c r="L18" s="14" t="str">
        <f>IF(OR(ЦТО!Y18=ЦТО!$BK$8,ЦТО!Y18=ЦТО!$BK$9,ЦТО!Y18=ЦТО!$BK$10),"Обратить внимание","Отклонений нет")</f>
        <v>Обратить внимание</v>
      </c>
      <c r="M18" s="14" t="str">
        <f>IF(OR(ЦТО!Z18=ЦТО!$BK$8,ЦТО!Z18=ЦТО!$BK$9,ЦТО!Z18=ЦТО!$BK$10),"Обратить внимание","Отклонений нет")</f>
        <v>Отклонений нет</v>
      </c>
      <c r="N18" s="14" t="str">
        <f>IF(OR(ЦТО!AA18=ЦТО!$BK$8,ЦТО!AA18=ЦТО!$BK$9,ЦТО!AA18=ЦТО!$BK$10),"Обратить внимание","Отклонений нет")</f>
        <v>Обратить внимание</v>
      </c>
      <c r="O18" s="14" t="str">
        <f>IF(OR(ЦТО!AB18=ЦТО!$BK$8,ЦТО!AB18=ЦТО!$BK$9,ЦТО!AB18=ЦТО!$BK$10),"Обратить внимание","Отклонений нет")</f>
        <v>Обратить внимание</v>
      </c>
      <c r="P18" s="14" t="str">
        <f>IF(OR(ЦТО!AC18=ЦТО!$BK$8,ЦТО!AC18=ЦТО!$BK$9,ЦТО!AC18=ЦТО!$BK$10),"Обратить внимание","Отклонений нет")</f>
        <v>Обратить внимание</v>
      </c>
      <c r="Q18" s="14" t="str">
        <f>IF(OR(ЦТО!AD18=ЦТО!$BK$8,ЦТО!AD18=ЦТО!$BK$9,ЦТО!AD18=ЦТО!$BK$10),"Обратить внимание","Отклонений нет")</f>
        <v>Обратить внимание</v>
      </c>
      <c r="R18" s="14" t="str">
        <f>IF(OR(ЦТО!AE18=ЦТО!$BK$8,ЦТО!AE18=ЦТО!$BK$9,ЦТО!AE18=ЦТО!$BK$10),"Обратить внимание","Отклонений нет")</f>
        <v>Отклонений нет</v>
      </c>
      <c r="S18" s="14" t="str">
        <f>IF(OR(ЦТО!AF18=ЦТО!$BK$8,ЦТО!AF18=ЦТО!$BK$9,ЦТО!AF18=ЦТО!$BK$10),"Обратить внимание","Отклонений нет")</f>
        <v>Обратить внимание</v>
      </c>
      <c r="T18" s="14" t="str">
        <f>IF(OR(ЦТО!AG18=ЦТО!$BK$8,ЦТО!AG18=ЦТО!$BK$9,ЦТО!AG18=ЦТО!$BK$10),"Обратить внимание","Отклонений нет")</f>
        <v>Обратить внимание</v>
      </c>
      <c r="U18" s="14" t="str">
        <f>IF(OR(ЦТО!AH18=ЦТО!$BK$8,ЦТО!AH18=ЦТО!$BK$9,ЦТО!AH18=ЦТО!$BK$10),"Обратить внимание","Отклонений нет")</f>
        <v>Отклонений нет</v>
      </c>
      <c r="V18" s="47" t="str">
        <f>IF(OR(ЦТО!AI18=ЦТО!$BK$8,ЦТО!AI18=ЦТО!$BK$9,ЦТО!AI18=ЦТО!$BK$10),"Обратить внимание","Отклонений нет")</f>
        <v>Отклонений нет</v>
      </c>
      <c r="W18" s="47" t="str">
        <f>IF(OR(ЦТО!AJ18=ЦТО!$BK$8,ЦТО!AJ18=ЦТО!$BK$9,ЦТО!AJ18=ЦТО!$BK$10),"Обратить внимание","Отклонений нет")</f>
        <v>Отклонений нет</v>
      </c>
      <c r="X18" s="47" t="str">
        <f>IF(OR(ЦТО!AK18=ЦТО!$BK$8,ЦТО!AK18=ЦТО!$BK$9,ЦТО!AK18=ЦТО!$BK$10),"Обратить внимание","Отклонений нет")</f>
        <v>Отклонений нет</v>
      </c>
    </row>
    <row r="19" spans="1:24" ht="18" customHeight="1">
      <c r="A19" s="10">
        <v>17</v>
      </c>
      <c r="B19" s="14" t="str">
        <f>IF(ЦТО!B19="","",ЦТО!B19)</f>
        <v>С</v>
      </c>
      <c r="C19" s="14" t="str">
        <f>IF(ЦТО!C19="","",ЦТО!C19)</f>
        <v>2 а</v>
      </c>
      <c r="D19" s="36" t="str">
        <f>IF(ЦТО!D19="","",ЦТО!D19)</f>
        <v/>
      </c>
      <c r="E19" s="89" t="b">
        <f>IF(ЦТО!$N19=ЦТО!$W19,"Душа",IF(ЦТО!$N19=ЦТО!$X19,ЦТО!$X$2,IF(ЦТО!$N19=ЦТО!$Y19,ЦТО!$Y$2,IF(ЦТО!$N19=ЦТО!$AE19,ЦТО!$AE$2,IF(ЦТО!$N19=ЦТО!$AF19,ЦТО!$AF$2,IF(ЦТО!$N19=ЦТО!$AG19,ЦТО!$AG$2,IF(ЦТО!$N19=ЦТО!$AH19,ЦТО!$AH$2,IF(ЦТО!$N19=ЦТО!$AI19,ЦТО!$AI$2,IF(ЦТО!$N19=ЦТО!$AJ19,ЦТО!$AJ$2,IF(ЦТО!$N19=ЦТО!$AK19,ЦТО!$AK$2))))))))))</f>
        <v>0</v>
      </c>
      <c r="F19" s="89" t="str">
        <f>IF(ЦТО!P19=ЦТО!W19,"Душа",IF(ЦТО!P19=ЦТО!X19,ЦТО!$X$2,IF(ЦТО!P19=ЦТО!Y19,ЦТО!$Y$2,IF(ЦТО!P19=ЦТО!AE19,ЦТО!$AE$2,IF(ЦТО!P19=ЦТО!AF19,ЦТО!$AF$2,IF(ЦТО!P19=ЦТО!AG19,ЦТО!$AG$2,IF(ЦТО!P19=ЦТО!AH19,ЦТО!$AH$2,IF(ЦТО!P19=ЦТО!AI19,ЦТО!$AI$2,IF(ЦТО!P19=ЦТО!AJ19,ЦТО!$AJ$2,IF(ЦТО!P19=ЦТО!AK19,ЦТО!$AK$2))))))))))</f>
        <v>Школа</v>
      </c>
      <c r="G19" s="89" t="str">
        <f>IF(ЦТО!$R19=ЦТО!$W19,"Душа",IF(ЦТО!$R19=ЦТО!$X19,ЦТО!$X$2,IF(ЦТО!$R19=ЦТО!$Y19,ЦТО!$Y$2,IF(ЦТО!$R19=ЦТО!$AE19,ЦТО!$AE$2,IF(ЦТО!$R19=ЦТО!$AF19,ЦТО!$AF$2,IF(ЦТО!$R19=ЦТО!$AG19,ЦТО!$AG$2,IF(ЦТО!$R19=ЦТО!$AH19,ЦТО!$AH$2,IF(ЦТО!$R19=ЦТО!$AI19,ЦТО!$AI$2,IF(ЦТО!$R19=ЦТО!$AJ19,ЦТО!$AJ$2,IF(ЦТО!$R19=ЦТО!$AK19,ЦТО!$AK$2))))))))))</f>
        <v>Уроки</v>
      </c>
      <c r="H19" s="89" t="b">
        <f>IF(ЦТО!$T19=ЦТО!$W19,"Душа",IF(ЦТО!$T19=ЦТО!$X19,ЦТО!$X$2,IF(ЦТО!$T19=ЦТО!$Y19,ЦТО!$Y$2,IF(ЦТО!$T19=ЦТО!$AE19,ЦТО!$AE$2,IF(ЦТО!$T19=ЦТО!$AF19,ЦТО!$AF$2,IF(ЦТО!$T19=ЦТО!$AG19,ЦТО!$AG$2,IF(ЦТО!$T19=ЦТО!$AH19,ЦТО!$AH$2,IF(ЦТО!$T19=ЦТО!$AI19,ЦТО!$AI$2,IF(ЦТО!$T19=ЦТО!$AJ19,ЦТО!$AJ$2,IF(ЦТО!$T19=ЦТО!$AK19,ЦТО!$AK$2))))))))))</f>
        <v>0</v>
      </c>
      <c r="I19" s="89" t="str">
        <f>IF(ЦТО!$U19=ЦТО!$W19,"Душа",IF(ЦТО!$U19=ЦТО!$X19,ЦТО!$X$2,IF(ЦТО!$U19=ЦТО!$Y19,ЦТО!$Y$2,IF(ЦТО!$U19=ЦТО!$AE19,ЦТО!$AE$2,IF(ЦТО!$U19=ЦТО!$AF19,ЦТО!$AF$2,IF(ЦТО!$U19=ЦТО!$AG19,ЦТО!$AG$2,IF(ЦТО!$U19=ЦТО!$AH19,ЦТО!$AH$2,IF(ЦТО!$U19=ЦТО!$AI19,ЦТО!$AI$2,IF(ЦТО!$U19=ЦТО!$AJ19,ЦТО!$AJ$2,IF(ЦТО!$U19=ЦТО!$AK19,ЦТО!$AK$2))))))))))</f>
        <v>Чтение</v>
      </c>
      <c r="J19" s="47" t="str">
        <f>IF(OR(ЦТО!W19=ЦТО!$BK$8,ЦТО!W19=ЦТО!$BK$9,ЦТО!W19=ЦТО!$BK$10),"Обратить внимание","Отклонений нет")</f>
        <v>Отклонений нет</v>
      </c>
      <c r="K19" s="14" t="str">
        <f>IF(OR(ЦТО!X19=ЦТО!$BK$8,ЦТО!X19=ЦТО!$BK$9,ЦТО!X19=ЦТО!$BK$10),"Обратить внимание","Отклонений нет")</f>
        <v>Отклонений нет</v>
      </c>
      <c r="L19" s="14" t="str">
        <f>IF(OR(ЦТО!Y19=ЦТО!$BK$8,ЦТО!Y19=ЦТО!$BK$9,ЦТО!Y19=ЦТО!$BK$10),"Обратить внимание","Отклонений нет")</f>
        <v>Обратить внимание</v>
      </c>
      <c r="M19" s="14" t="str">
        <f>IF(OR(ЦТО!Z19=ЦТО!$BK$8,ЦТО!Z19=ЦТО!$BK$9,ЦТО!Z19=ЦТО!$BK$10),"Обратить внимание","Отклонений нет")</f>
        <v>Обратить внимание</v>
      </c>
      <c r="N19" s="14" t="str">
        <f>IF(OR(ЦТО!AA19=ЦТО!$BK$8,ЦТО!AA19=ЦТО!$BK$9,ЦТО!AA19=ЦТО!$BK$10),"Обратить внимание","Отклонений нет")</f>
        <v>Обратить внимание</v>
      </c>
      <c r="O19" s="14" t="str">
        <f>IF(OR(ЦТО!AB19=ЦТО!$BK$8,ЦТО!AB19=ЦТО!$BK$9,ЦТО!AB19=ЦТО!$BK$10),"Обратить внимание","Отклонений нет")</f>
        <v>Обратить внимание</v>
      </c>
      <c r="P19" s="14" t="str">
        <f>IF(OR(ЦТО!AC19=ЦТО!$BK$8,ЦТО!AC19=ЦТО!$BK$9,ЦТО!AC19=ЦТО!$BK$10),"Обратить внимание","Отклонений нет")</f>
        <v>Отклонений нет</v>
      </c>
      <c r="Q19" s="14" t="str">
        <f>IF(OR(ЦТО!AD19=ЦТО!$BK$8,ЦТО!AD19=ЦТО!$BK$9,ЦТО!AD19=ЦТО!$BK$10),"Обратить внимание","Отклонений нет")</f>
        <v>Отклонений нет</v>
      </c>
      <c r="R19" s="14" t="str">
        <f>IF(OR(ЦТО!AE19=ЦТО!$BK$8,ЦТО!AE19=ЦТО!$BK$9,ЦТО!AE19=ЦТО!$BK$10),"Обратить внимание","Отклонений нет")</f>
        <v>Отклонений нет</v>
      </c>
      <c r="S19" s="14" t="str">
        <f>IF(OR(ЦТО!AF19=ЦТО!$BK$8,ЦТО!AF19=ЦТО!$BK$9,ЦТО!AF19=ЦТО!$BK$10),"Обратить внимание","Отклонений нет")</f>
        <v>Отклонений нет</v>
      </c>
      <c r="T19" s="14" t="str">
        <f>IF(OR(ЦТО!AG19=ЦТО!$BK$8,ЦТО!AG19=ЦТО!$BK$9,ЦТО!AG19=ЦТО!$BK$10),"Обратить внимание","Отклонений нет")</f>
        <v>Обратить внимание</v>
      </c>
      <c r="U19" s="14" t="str">
        <f>IF(OR(ЦТО!AH19=ЦТО!$BK$8,ЦТО!AH19=ЦТО!$BK$9,ЦТО!AH19=ЦТО!$BK$10),"Обратить внимание","Отклонений нет")</f>
        <v>Отклонений нет</v>
      </c>
      <c r="V19" s="47" t="str">
        <f>IF(OR(ЦТО!AI19=ЦТО!$BK$8,ЦТО!AI19=ЦТО!$BK$9,ЦТО!AI19=ЦТО!$BK$10),"Обратить внимание","Отклонений нет")</f>
        <v>Отклонений нет</v>
      </c>
      <c r="W19" s="47" t="str">
        <f>IF(OR(ЦТО!AJ19=ЦТО!$BK$8,ЦТО!AJ19=ЦТО!$BK$9,ЦТО!AJ19=ЦТО!$BK$10),"Обратить внимание","Отклонений нет")</f>
        <v>Отклонений нет</v>
      </c>
      <c r="X19" s="47" t="str">
        <f>IF(OR(ЦТО!AK19=ЦТО!$BK$8,ЦТО!AK19=ЦТО!$BK$9,ЦТО!AK19=ЦТО!$BK$10),"Обратить внимание","Отклонений нет")</f>
        <v>Отклонений нет</v>
      </c>
    </row>
    <row r="20" spans="1:24" ht="18" customHeight="1">
      <c r="A20" s="10">
        <v>18</v>
      </c>
      <c r="B20" s="14" t="str">
        <f>IF(ЦТО!B20="","",ЦТО!B20)</f>
        <v>Т</v>
      </c>
      <c r="C20" s="14" t="str">
        <f>IF(ЦТО!C20="","",ЦТО!C20)</f>
        <v>2 а</v>
      </c>
      <c r="D20" s="36" t="str">
        <f>IF(ЦТО!D20="","",ЦТО!D20)</f>
        <v/>
      </c>
      <c r="E20" s="89" t="b">
        <f>IF(ЦТО!$N20=ЦТО!$W20,"Душа",IF(ЦТО!$N20=ЦТО!$X20,ЦТО!$X$2,IF(ЦТО!$N20=ЦТО!$Y20,ЦТО!$Y$2,IF(ЦТО!$N20=ЦТО!$AE20,ЦТО!$AE$2,IF(ЦТО!$N20=ЦТО!$AF20,ЦТО!$AF$2,IF(ЦТО!$N20=ЦТО!$AG20,ЦТО!$AG$2,IF(ЦТО!$N20=ЦТО!$AH20,ЦТО!$AH$2,IF(ЦТО!$N20=ЦТО!$AI20,ЦТО!$AI$2,IF(ЦТО!$N20=ЦТО!$AJ20,ЦТО!$AJ$2,IF(ЦТО!$N20=ЦТО!$AK20,ЦТО!$AK$2))))))))))</f>
        <v>0</v>
      </c>
      <c r="F20" s="89" t="str">
        <f>IF(ЦТО!P20=ЦТО!W20,"Душа",IF(ЦТО!P20=ЦТО!X20,ЦТО!$X$2,IF(ЦТО!P20=ЦТО!Y20,ЦТО!$Y$2,IF(ЦТО!P20=ЦТО!AE20,ЦТО!$AE$2,IF(ЦТО!P20=ЦТО!AF20,ЦТО!$AF$2,IF(ЦТО!P20=ЦТО!AG20,ЦТО!$AG$2,IF(ЦТО!P20=ЦТО!AH20,ЦТО!$AH$2,IF(ЦТО!P20=ЦТО!AI20,ЦТО!$AI$2,IF(ЦТО!P20=ЦТО!AJ20,ЦТО!$AJ$2,IF(ЦТО!P20=ЦТО!AK20,ЦТО!$AK$2))))))))))</f>
        <v>Школа</v>
      </c>
      <c r="G20" s="89" t="b">
        <f>IF(ЦТО!$R20=ЦТО!$W20,"Душа",IF(ЦТО!$R20=ЦТО!$X20,ЦТО!$X$2,IF(ЦТО!$R20=ЦТО!$Y20,ЦТО!$Y$2,IF(ЦТО!$R20=ЦТО!$AE20,ЦТО!$AE$2,IF(ЦТО!$R20=ЦТО!$AF20,ЦТО!$AF$2,IF(ЦТО!$R20=ЦТО!$AG20,ЦТО!$AG$2,IF(ЦТО!$R20=ЦТО!$AH20,ЦТО!$AH$2,IF(ЦТО!$R20=ЦТО!$AI20,ЦТО!$AI$2,IF(ЦТО!$R20=ЦТО!$AJ20,ЦТО!$AJ$2,IF(ЦТО!$R20=ЦТО!$AK20,ЦТО!$AK$2))))))))))</f>
        <v>0</v>
      </c>
      <c r="H20" s="89" t="str">
        <f>IF(ЦТО!$T20=ЦТО!$W20,"Душа",IF(ЦТО!$T20=ЦТО!$X20,ЦТО!$X$2,IF(ЦТО!$T20=ЦТО!$Y20,ЦТО!$Y$2,IF(ЦТО!$T20=ЦТО!$AE20,ЦТО!$AE$2,IF(ЦТО!$T20=ЦТО!$AF20,ЦТО!$AF$2,IF(ЦТО!$T20=ЦТО!$AG20,ЦТО!$AG$2,IF(ЦТО!$T20=ЦТО!$AH20,ЦТО!$AH$2,IF(ЦТО!$T20=ЦТО!$AI20,ЦТО!$AI$2,IF(ЦТО!$T20=ЦТО!$AJ20,ЦТО!$AJ$2,IF(ЦТО!$T20=ЦТО!$AK20,ЦТО!$AK$2))))))))))</f>
        <v>Уроки</v>
      </c>
      <c r="I20" s="89" t="str">
        <f>IF(ЦТО!$U20=ЦТО!$W20,"Душа",IF(ЦТО!$U20=ЦТО!$X20,ЦТО!$X$2,IF(ЦТО!$U20=ЦТО!$Y20,ЦТО!$Y$2,IF(ЦТО!$U20=ЦТО!$AE20,ЦТО!$AE$2,IF(ЦТО!$U20=ЦТО!$AF20,ЦТО!$AF$2,IF(ЦТО!$U20=ЦТО!$AG20,ЦТО!$AG$2,IF(ЦТО!$U20=ЦТО!$AH20,ЦТО!$AH$2,IF(ЦТО!$U20=ЦТО!$AI20,ЦТО!$AI$2,IF(ЦТО!$U20=ЦТО!$AJ20,ЦТО!$AJ$2,IF(ЦТО!$U20=ЦТО!$AK20,ЦТО!$AK$2))))))))))</f>
        <v>Школа</v>
      </c>
      <c r="J20" s="47" t="str">
        <f>IF(OR(ЦТО!W20=ЦТО!$BK$8,ЦТО!W20=ЦТО!$BK$9,ЦТО!W20=ЦТО!$BK$10),"Обратить внимание","Отклонений нет")</f>
        <v>Отклонений нет</v>
      </c>
      <c r="K20" s="14" t="str">
        <f>IF(OR(ЦТО!X20=ЦТО!$BK$8,ЦТО!X20=ЦТО!$BK$9,ЦТО!X20=ЦТО!$BK$10),"Обратить внимание","Отклонений нет")</f>
        <v>Отклонений нет</v>
      </c>
      <c r="L20" s="14" t="str">
        <f>IF(OR(ЦТО!Y20=ЦТО!$BK$8,ЦТО!Y20=ЦТО!$BK$9,ЦТО!Y20=ЦТО!$BK$10),"Обратить внимание","Отклонений нет")</f>
        <v>Отклонений нет</v>
      </c>
      <c r="M20" s="14" t="str">
        <f>IF(OR(ЦТО!Z20=ЦТО!$BK$8,ЦТО!Z20=ЦТО!$BK$9,ЦТО!Z20=ЦТО!$BK$10),"Обратить внимание","Отклонений нет")</f>
        <v>Отклонений нет</v>
      </c>
      <c r="N20" s="14" t="str">
        <f>IF(OR(ЦТО!AA20=ЦТО!$BK$8,ЦТО!AA20=ЦТО!$BK$9,ЦТО!AA20=ЦТО!$BK$10),"Обратить внимание","Отклонений нет")</f>
        <v>Обратить внимание</v>
      </c>
      <c r="O20" s="14" t="str">
        <f>IF(OR(ЦТО!AB20=ЦТО!$BK$8,ЦТО!AB20=ЦТО!$BK$9,ЦТО!AB20=ЦТО!$BK$10),"Обратить внимание","Отклонений нет")</f>
        <v>Обратить внимание</v>
      </c>
      <c r="P20" s="14" t="str">
        <f>IF(OR(ЦТО!AC20=ЦТО!$BK$8,ЦТО!AC20=ЦТО!$BK$9,ЦТО!AC20=ЦТО!$BK$10),"Обратить внимание","Отклонений нет")</f>
        <v>Отклонений нет</v>
      </c>
      <c r="Q20" s="14" t="str">
        <f>IF(OR(ЦТО!AD20=ЦТО!$BK$8,ЦТО!AD20=ЦТО!$BK$9,ЦТО!AD20=ЦТО!$BK$10),"Обратить внимание","Отклонений нет")</f>
        <v>Отклонений нет</v>
      </c>
      <c r="R20" s="14" t="str">
        <f>IF(OR(ЦТО!AE20=ЦТО!$BK$8,ЦТО!AE20=ЦТО!$BK$9,ЦТО!AE20=ЦТО!$BK$10),"Обратить внимание","Отклонений нет")</f>
        <v>Отклонений нет</v>
      </c>
      <c r="S20" s="14" t="str">
        <f>IF(OR(ЦТО!AF20=ЦТО!$BK$8,ЦТО!AF20=ЦТО!$BK$9,ЦТО!AF20=ЦТО!$BK$10),"Обратить внимание","Отклонений нет")</f>
        <v>Отклонений нет</v>
      </c>
      <c r="T20" s="14" t="str">
        <f>IF(OR(ЦТО!AG20=ЦТО!$BK$8,ЦТО!AG20=ЦТО!$BK$9,ЦТО!AG20=ЦТО!$BK$10),"Обратить внимание","Отклонений нет")</f>
        <v>Обратить внимание</v>
      </c>
      <c r="U20" s="14" t="str">
        <f>IF(OR(ЦТО!AH20=ЦТО!$BK$8,ЦТО!AH20=ЦТО!$BK$9,ЦТО!AH20=ЦТО!$BK$10),"Обратить внимание","Отклонений нет")</f>
        <v>Отклонений нет</v>
      </c>
      <c r="V20" s="47" t="str">
        <f>IF(OR(ЦТО!AI20=ЦТО!$BK$8,ЦТО!AI20=ЦТО!$BK$9,ЦТО!AI20=ЦТО!$BK$10),"Обратить внимание","Отклонений нет")</f>
        <v>Отклонений нет</v>
      </c>
      <c r="W20" s="47" t="str">
        <f>IF(OR(ЦТО!AJ20=ЦТО!$BK$8,ЦТО!AJ20=ЦТО!$BK$9,ЦТО!AJ20=ЦТО!$BK$10),"Обратить внимание","Отклонений нет")</f>
        <v>Отклонений нет</v>
      </c>
      <c r="X20" s="47" t="str">
        <f>IF(OR(ЦТО!AK20=ЦТО!$BK$8,ЦТО!AK20=ЦТО!$BK$9,ЦТО!AK20=ЦТО!$BK$10),"Обратить внимание","Отклонений нет")</f>
        <v>Отклонений нет</v>
      </c>
    </row>
    <row r="21" spans="1:24" ht="18" customHeight="1">
      <c r="A21" s="10">
        <v>19</v>
      </c>
      <c r="B21" s="14" t="str">
        <f>IF(ЦТО!B21="","",ЦТО!B21)</f>
        <v>У</v>
      </c>
      <c r="C21" s="14" t="str">
        <f>IF(ЦТО!C21="","",ЦТО!C21)</f>
        <v>2 а</v>
      </c>
      <c r="D21" s="36" t="str">
        <f>IF(ЦТО!D21="","",ЦТО!D21)</f>
        <v/>
      </c>
      <c r="E21" s="89" t="b">
        <f>IF(ЦТО!$N21=ЦТО!$W21,"Душа",IF(ЦТО!$N21=ЦТО!$X21,ЦТО!$X$2,IF(ЦТО!$N21=ЦТО!$Y21,ЦТО!$Y$2,IF(ЦТО!$N21=ЦТО!$AE21,ЦТО!$AE$2,IF(ЦТО!$N21=ЦТО!$AF21,ЦТО!$AF$2,IF(ЦТО!$N21=ЦТО!$AG21,ЦТО!$AG$2,IF(ЦТО!$N21=ЦТО!$AH21,ЦТО!$AH$2,IF(ЦТО!$N21=ЦТО!$AI21,ЦТО!$AI$2,IF(ЦТО!$N21=ЦТО!$AJ21,ЦТО!$AJ$2,IF(ЦТО!$N21=ЦТО!$AK21,ЦТО!$AK$2))))))))))</f>
        <v>0</v>
      </c>
      <c r="F21" s="89" t="b">
        <f>IF(ЦТО!P21=ЦТО!W21,"Душа",IF(ЦТО!P21=ЦТО!X21,ЦТО!$X$2,IF(ЦТО!P21=ЦТО!Y21,ЦТО!$Y$2,IF(ЦТО!P21=ЦТО!AE21,ЦТО!$AE$2,IF(ЦТО!P21=ЦТО!AF21,ЦТО!$AF$2,IF(ЦТО!P21=ЦТО!AG21,ЦТО!$AG$2,IF(ЦТО!P21=ЦТО!AH21,ЦТО!$AH$2,IF(ЦТО!P21=ЦТО!AI21,ЦТО!$AI$2,IF(ЦТО!P21=ЦТО!AJ21,ЦТО!$AJ$2,IF(ЦТО!P21=ЦТО!AK21,ЦТО!$AK$2))))))))))</f>
        <v>0</v>
      </c>
      <c r="G21" s="89" t="b">
        <f>IF(ЦТО!$R21=ЦТО!$W21,"Душа",IF(ЦТО!$R21=ЦТО!$X21,ЦТО!$X$2,IF(ЦТО!$R21=ЦТО!$Y21,ЦТО!$Y$2,IF(ЦТО!$R21=ЦТО!$AE21,ЦТО!$AE$2,IF(ЦТО!$R21=ЦТО!$AF21,ЦТО!$AF$2,IF(ЦТО!$R21=ЦТО!$AG21,ЦТО!$AG$2,IF(ЦТО!$R21=ЦТО!$AH21,ЦТО!$AH$2,IF(ЦТО!$R21=ЦТО!$AI21,ЦТО!$AI$2,IF(ЦТО!$R21=ЦТО!$AJ21,ЦТО!$AJ$2,IF(ЦТО!$R21=ЦТО!$AK21,ЦТО!$AK$2))))))))))</f>
        <v>0</v>
      </c>
      <c r="H21" s="89" t="b">
        <f>IF(ЦТО!$T21=ЦТО!$W21,"Душа",IF(ЦТО!$T21=ЦТО!$X21,ЦТО!$X$2,IF(ЦТО!$T21=ЦТО!$Y21,ЦТО!$Y$2,IF(ЦТО!$T21=ЦТО!$AE21,ЦТО!$AE$2,IF(ЦТО!$T21=ЦТО!$AF21,ЦТО!$AF$2,IF(ЦТО!$T21=ЦТО!$AG21,ЦТО!$AG$2,IF(ЦТО!$T21=ЦТО!$AH21,ЦТО!$AH$2,IF(ЦТО!$T21=ЦТО!$AI21,ЦТО!$AI$2,IF(ЦТО!$T21=ЦТО!$AJ21,ЦТО!$AJ$2,IF(ЦТО!$T21=ЦТО!$AK21,ЦТО!$AK$2))))))))))</f>
        <v>0</v>
      </c>
      <c r="I21" s="89" t="str">
        <f>IF(ЦТО!$U21=ЦТО!$W21,"Душа",IF(ЦТО!$U21=ЦТО!$X21,ЦТО!$X$2,IF(ЦТО!$U21=ЦТО!$Y21,ЦТО!$Y$2,IF(ЦТО!$U21=ЦТО!$AE21,ЦТО!$AE$2,IF(ЦТО!$U21=ЦТО!$AF21,ЦТО!$AF$2,IF(ЦТО!$U21=ЦТО!$AG21,ЦТО!$AG$2,IF(ЦТО!$U21=ЦТО!$AH21,ЦТО!$AH$2,IF(ЦТО!$U21=ЦТО!$AI21,ЦТО!$AI$2,IF(ЦТО!$U21=ЦТО!$AJ21,ЦТО!$AJ$2,IF(ЦТО!$U21=ЦТО!$AK21,ЦТО!$AK$2))))))))))</f>
        <v>Чтение</v>
      </c>
      <c r="J21" s="47" t="str">
        <f>IF(OR(ЦТО!W21=ЦТО!$BK$8,ЦТО!W21=ЦТО!$BK$9,ЦТО!W21=ЦТО!$BK$10),"Обратить внимание","Отклонений нет")</f>
        <v>Отклонений нет</v>
      </c>
      <c r="K21" s="14" t="str">
        <f>IF(OR(ЦТО!X21=ЦТО!$BK$8,ЦТО!X21=ЦТО!$BK$9,ЦТО!X21=ЦТО!$BK$10),"Обратить внимание","Отклонений нет")</f>
        <v>Отклонений нет</v>
      </c>
      <c r="L21" s="14" t="str">
        <f>IF(OR(ЦТО!Y21=ЦТО!$BK$8,ЦТО!Y21=ЦТО!$BK$9,ЦТО!Y21=ЦТО!$BK$10),"Обратить внимание","Отклонений нет")</f>
        <v>Обратить внимание</v>
      </c>
      <c r="M21" s="14" t="str">
        <f>IF(OR(ЦТО!Z21=ЦТО!$BK$8,ЦТО!Z21=ЦТО!$BK$9,ЦТО!Z21=ЦТО!$BK$10),"Обратить внимание","Отклонений нет")</f>
        <v>Отклонений нет</v>
      </c>
      <c r="N21" s="14" t="str">
        <f>IF(OR(ЦТО!AA21=ЦТО!$BK$8,ЦТО!AA21=ЦТО!$BK$9,ЦТО!AA21=ЦТО!$BK$10),"Обратить внимание","Отклонений нет")</f>
        <v>Отклонений нет</v>
      </c>
      <c r="O21" s="14" t="str">
        <f>IF(OR(ЦТО!AB21=ЦТО!$BK$8,ЦТО!AB21=ЦТО!$BK$9,ЦТО!AB21=ЦТО!$BK$10),"Обратить внимание","Отклонений нет")</f>
        <v>Обратить внимание</v>
      </c>
      <c r="P21" s="14" t="str">
        <f>IF(OR(ЦТО!AC21=ЦТО!$BK$8,ЦТО!AC21=ЦТО!$BK$9,ЦТО!AC21=ЦТО!$BK$10),"Обратить внимание","Отклонений нет")</f>
        <v>Отклонений нет</v>
      </c>
      <c r="Q21" s="14" t="str">
        <f>IF(OR(ЦТО!AD21=ЦТО!$BK$8,ЦТО!AD21=ЦТО!$BK$9,ЦТО!AD21=ЦТО!$BK$10),"Обратить внимание","Отклонений нет")</f>
        <v>Отклонений нет</v>
      </c>
      <c r="R21" s="14" t="str">
        <f>IF(OR(ЦТО!AE21=ЦТО!$BK$8,ЦТО!AE21=ЦТО!$BK$9,ЦТО!AE21=ЦТО!$BK$10),"Обратить внимание","Отклонений нет")</f>
        <v>Отклонений нет</v>
      </c>
      <c r="S21" s="14" t="str">
        <f>IF(OR(ЦТО!AF21=ЦТО!$BK$8,ЦТО!AF21=ЦТО!$BK$9,ЦТО!AF21=ЦТО!$BK$10),"Обратить внимание","Отклонений нет")</f>
        <v>Отклонений нет</v>
      </c>
      <c r="T21" s="14" t="str">
        <f>IF(OR(ЦТО!AG21=ЦТО!$BK$8,ЦТО!AG21=ЦТО!$BK$9,ЦТО!AG21=ЦТО!$BK$10),"Обратить внимание","Отклонений нет")</f>
        <v>Обратить внимание</v>
      </c>
      <c r="U21" s="14" t="str">
        <f>IF(OR(ЦТО!AH21=ЦТО!$BK$8,ЦТО!AH21=ЦТО!$BK$9,ЦТО!AH21=ЦТО!$BK$10),"Обратить внимание","Отклонений нет")</f>
        <v>Отклонений нет</v>
      </c>
      <c r="V21" s="47" t="str">
        <f>IF(OR(ЦТО!AI21=ЦТО!$BK$8,ЦТО!AI21=ЦТО!$BK$9,ЦТО!AI21=ЦТО!$BK$10),"Обратить внимание","Отклонений нет")</f>
        <v>Отклонений нет</v>
      </c>
      <c r="W21" s="47" t="str">
        <f>IF(OR(ЦТО!AJ21=ЦТО!$BK$8,ЦТО!AJ21=ЦТО!$BK$9,ЦТО!AJ21=ЦТО!$BK$10),"Обратить внимание","Отклонений нет")</f>
        <v>Отклонений нет</v>
      </c>
      <c r="X21" s="47" t="str">
        <f>IF(OR(ЦТО!AK21=ЦТО!$BK$8,ЦТО!AK21=ЦТО!$BK$9,ЦТО!AK21=ЦТО!$BK$10),"Обратить внимание","Отклонений нет")</f>
        <v>Отклонений нет</v>
      </c>
    </row>
    <row r="22" spans="1:24" ht="18" customHeight="1">
      <c r="A22" s="10">
        <v>20</v>
      </c>
      <c r="B22" s="14" t="str">
        <f>IF(ЦТО!B22="","",ЦТО!B22)</f>
        <v>Ф</v>
      </c>
      <c r="C22" s="14" t="str">
        <f>IF(ЦТО!C22="","",ЦТО!C22)</f>
        <v>2 в</v>
      </c>
      <c r="D22" s="36" t="str">
        <f>IF(ЦТО!D22="","",ЦТО!D22)</f>
        <v/>
      </c>
      <c r="E22" s="89" t="str">
        <f>IF(ЦТО!$N22=ЦТО!$W22,"Душа",IF(ЦТО!$N22=ЦТО!$X22,ЦТО!$X$2,IF(ЦТО!$N22=ЦТО!$Y22,ЦТО!$Y$2,IF(ЦТО!$N22=ЦТО!$AE22,ЦТО!$AE$2,IF(ЦТО!$N22=ЦТО!$AF22,ЦТО!$AF$2,IF(ЦТО!$N22=ЦТО!$AG22,ЦТО!$AG$2,IF(ЦТО!$N22=ЦТО!$AH22,ЦТО!$AH$2,IF(ЦТО!$N22=ЦТО!$AI22,ЦТО!$AI$2,IF(ЦТО!$N22=ЦТО!$AJ22,ЦТО!$AJ$2,IF(ЦТО!$N22=ЦТО!$AK22,ЦТО!$AK$2))))))))))</f>
        <v>Школа</v>
      </c>
      <c r="F22" s="89" t="b">
        <f>IF(ЦТО!P22=ЦТО!W22,"Душа",IF(ЦТО!P22=ЦТО!X22,ЦТО!$X$2,IF(ЦТО!P22=ЦТО!Y22,ЦТО!$Y$2,IF(ЦТО!P22=ЦТО!AE22,ЦТО!$AE$2,IF(ЦТО!P22=ЦТО!AF22,ЦТО!$AF$2,IF(ЦТО!P22=ЦТО!AG22,ЦТО!$AG$2,IF(ЦТО!P22=ЦТО!AH22,ЦТО!$AH$2,IF(ЦТО!P22=ЦТО!AI22,ЦТО!$AI$2,IF(ЦТО!P22=ЦТО!AJ22,ЦТО!$AJ$2,IF(ЦТО!P22=ЦТО!AK22,ЦТО!$AK$2))))))))))</f>
        <v>0</v>
      </c>
      <c r="G22" s="89" t="str">
        <f>IF(ЦТО!$R22=ЦТО!$W22,"Душа",IF(ЦТО!$R22=ЦТО!$X22,ЦТО!$X$2,IF(ЦТО!$R22=ЦТО!$Y22,ЦТО!$Y$2,IF(ЦТО!$R22=ЦТО!$AE22,ЦТО!$AE$2,IF(ЦТО!$R22=ЦТО!$AF22,ЦТО!$AF$2,IF(ЦТО!$R22=ЦТО!$AG22,ЦТО!$AG$2,IF(ЦТО!$R22=ЦТО!$AH22,ЦТО!$AH$2,IF(ЦТО!$R22=ЦТО!$AI22,ЦТО!$AI$2,IF(ЦТО!$R22=ЦТО!$AJ22,ЦТО!$AJ$2,IF(ЦТО!$R22=ЦТО!$AK22,ЦТО!$AK$2))))))))))</f>
        <v>Уроки</v>
      </c>
      <c r="H22" s="89" t="str">
        <f>IF(ЦТО!$T22=ЦТО!$W22,"Душа",IF(ЦТО!$T22=ЦТО!$X22,ЦТО!$X$2,IF(ЦТО!$T22=ЦТО!$Y22,ЦТО!$Y$2,IF(ЦТО!$T22=ЦТО!$AE22,ЦТО!$AE$2,IF(ЦТО!$T22=ЦТО!$AF22,ЦТО!$AF$2,IF(ЦТО!$T22=ЦТО!$AG22,ЦТО!$AG$2,IF(ЦТО!$T22=ЦТО!$AH22,ЦТО!$AH$2,IF(ЦТО!$T22=ЦТО!$AI22,ЦТО!$AI$2,IF(ЦТО!$T22=ЦТО!$AJ22,ЦТО!$AJ$2,IF(ЦТО!$T22=ЦТО!$AK22,ЦТО!$AK$2))))))))))</f>
        <v>Уроки</v>
      </c>
      <c r="I22" s="89" t="str">
        <f>IF(ЦТО!$U22=ЦТО!$W22,"Душа",IF(ЦТО!$U22=ЦТО!$X22,ЦТО!$X$2,IF(ЦТО!$U22=ЦТО!$Y22,ЦТО!$Y$2,IF(ЦТО!$U22=ЦТО!$AE22,ЦТО!$AE$2,IF(ЦТО!$U22=ЦТО!$AF22,ЦТО!$AF$2,IF(ЦТО!$U22=ЦТО!$AG22,ЦТО!$AG$2,IF(ЦТО!$U22=ЦТО!$AH22,ЦТО!$AH$2,IF(ЦТО!$U22=ЦТО!$AI22,ЦТО!$AI$2,IF(ЦТО!$U22=ЦТО!$AJ22,ЦТО!$AJ$2,IF(ЦТО!$U22=ЦТО!$AK22,ЦТО!$AK$2))))))))))</f>
        <v>Школа</v>
      </c>
      <c r="J22" s="47" t="str">
        <f>IF(OR(ЦТО!W22=ЦТО!$BK$8,ЦТО!W22=ЦТО!$BK$9,ЦТО!W22=ЦТО!$BK$10),"Обратить внимание","Отклонений нет")</f>
        <v>Отклонений нет</v>
      </c>
      <c r="K22" s="14" t="str">
        <f>IF(OR(ЦТО!X22=ЦТО!$BK$8,ЦТО!X22=ЦТО!$BK$9,ЦТО!X22=ЦТО!$BK$10),"Обратить внимание","Отклонений нет")</f>
        <v>Обратить внимание</v>
      </c>
      <c r="L22" s="14" t="str">
        <f>IF(OR(ЦТО!Y22=ЦТО!$BK$8,ЦТО!Y22=ЦТО!$BK$9,ЦТО!Y22=ЦТО!$BK$10),"Обратить внимание","Отклонений нет")</f>
        <v>Обратить внимание</v>
      </c>
      <c r="M22" s="14" t="str">
        <f>IF(OR(ЦТО!Z22=ЦТО!$BK$8,ЦТО!Z22=ЦТО!$BK$9,ЦТО!Z22=ЦТО!$BK$10),"Обратить внимание","Отклонений нет")</f>
        <v>Обратить внимание</v>
      </c>
      <c r="N22" s="14" t="str">
        <f>IF(OR(ЦТО!AA22=ЦТО!$BK$8,ЦТО!AA22=ЦТО!$BK$9,ЦТО!AA22=ЦТО!$BK$10),"Обратить внимание","Отклонений нет")</f>
        <v>Отклонений нет</v>
      </c>
      <c r="O22" s="14" t="str">
        <f>IF(OR(ЦТО!AB22=ЦТО!$BK$8,ЦТО!AB22=ЦТО!$BK$9,ЦТО!AB22=ЦТО!$BK$10),"Обратить внимание","Отклонений нет")</f>
        <v>Обратить внимание</v>
      </c>
      <c r="P22" s="14" t="str">
        <f>IF(OR(ЦТО!AC22=ЦТО!$BK$8,ЦТО!AC22=ЦТО!$BK$9,ЦТО!AC22=ЦТО!$BK$10),"Обратить внимание","Отклонений нет")</f>
        <v>Отклонений нет</v>
      </c>
      <c r="Q22" s="14" t="str">
        <f>IF(OR(ЦТО!AD22=ЦТО!$BK$8,ЦТО!AD22=ЦТО!$BK$9,ЦТО!AD22=ЦТО!$BK$10),"Обратить внимание","Отклонений нет")</f>
        <v>Отклонений нет</v>
      </c>
      <c r="R22" s="14" t="str">
        <f>IF(OR(ЦТО!AE22=ЦТО!$BK$8,ЦТО!AE22=ЦТО!$BK$9,ЦТО!AE22=ЦТО!$BK$10),"Обратить внимание","Отклонений нет")</f>
        <v>Отклонений нет</v>
      </c>
      <c r="S22" s="14" t="str">
        <f>IF(OR(ЦТО!AF22=ЦТО!$BK$8,ЦТО!AF22=ЦТО!$BK$9,ЦТО!AF22=ЦТО!$BK$10),"Обратить внимание","Отклонений нет")</f>
        <v>Отклонений нет</v>
      </c>
      <c r="T22" s="14" t="str">
        <f>IF(OR(ЦТО!AG22=ЦТО!$BK$8,ЦТО!AG22=ЦТО!$BK$9,ЦТО!AG22=ЦТО!$BK$10),"Обратить внимание","Отклонений нет")</f>
        <v>Обратить внимание</v>
      </c>
      <c r="U22" s="14" t="str">
        <f>IF(OR(ЦТО!AH22=ЦТО!$BK$8,ЦТО!AH22=ЦТО!$BK$9,ЦТО!AH22=ЦТО!$BK$10),"Обратить внимание","Отклонений нет")</f>
        <v>Отклонений нет</v>
      </c>
      <c r="V22" s="47" t="str">
        <f>IF(OR(ЦТО!AI22=ЦТО!$BK$8,ЦТО!AI22=ЦТО!$BK$9,ЦТО!AI22=ЦТО!$BK$10),"Обратить внимание","Отклонений нет")</f>
        <v>Отклонений нет</v>
      </c>
      <c r="W22" s="47" t="str">
        <f>IF(OR(ЦТО!AJ22=ЦТО!$BK$8,ЦТО!AJ22=ЦТО!$BK$9,ЦТО!AJ22=ЦТО!$BK$10),"Обратить внимание","Отклонений нет")</f>
        <v>Отклонений нет</v>
      </c>
      <c r="X22" s="47" t="str">
        <f>IF(OR(ЦТО!AK22=ЦТО!$BK$8,ЦТО!AK22=ЦТО!$BK$9,ЦТО!AK22=ЦТО!$BK$10),"Обратить внимание","Отклонений нет")</f>
        <v>Отклонений нет</v>
      </c>
    </row>
    <row r="23" spans="1:24" ht="18" customHeight="1">
      <c r="A23" s="10">
        <v>21</v>
      </c>
      <c r="B23" s="14" t="str">
        <f>IF(ЦТО!B23="","",ЦТО!B23)</f>
        <v>Х</v>
      </c>
      <c r="C23" s="14" t="str">
        <f>IF(ЦТО!C23="","",ЦТО!C23)</f>
        <v>2 в</v>
      </c>
      <c r="D23" s="36" t="str">
        <f>IF(ЦТО!D23="","",ЦТО!D23)</f>
        <v/>
      </c>
      <c r="E23" s="89" t="str">
        <f>IF(ЦТО!$N23=ЦТО!$W23,"Душа",IF(ЦТО!$N23=ЦТО!$X23,ЦТО!$X$2,IF(ЦТО!$N23=ЦТО!$Y23,ЦТО!$Y$2,IF(ЦТО!$N23=ЦТО!$AE23,ЦТО!$AE$2,IF(ЦТО!$N23=ЦТО!$AF23,ЦТО!$AF$2,IF(ЦТО!$N23=ЦТО!$AG23,ЦТО!$AG$2,IF(ЦТО!$N23=ЦТО!$AH23,ЦТО!$AH$2,IF(ЦТО!$N23=ЦТО!$AI23,ЦТО!$AI$2,IF(ЦТО!$N23=ЦТО!$AJ23,ЦТО!$AJ$2,IF(ЦТО!$N23=ЦТО!$AK23,ЦТО!$AK$2))))))))))</f>
        <v>Чтение</v>
      </c>
      <c r="F23" s="89" t="b">
        <f>IF(ЦТО!P23=ЦТО!W23,"Душа",IF(ЦТО!P23=ЦТО!X23,ЦТО!$X$2,IF(ЦТО!P23=ЦТО!Y23,ЦТО!$Y$2,IF(ЦТО!P23=ЦТО!AE23,ЦТО!$AE$2,IF(ЦТО!P23=ЦТО!AF23,ЦТО!$AF$2,IF(ЦТО!P23=ЦТО!AG23,ЦТО!$AG$2,IF(ЦТО!P23=ЦТО!AH23,ЦТО!$AH$2,IF(ЦТО!P23=ЦТО!AI23,ЦТО!$AI$2,IF(ЦТО!P23=ЦТО!AJ23,ЦТО!$AJ$2,IF(ЦТО!P23=ЦТО!AK23,ЦТО!$AK$2))))))))))</f>
        <v>0</v>
      </c>
      <c r="G23" s="89" t="b">
        <f>IF(ЦТО!$R23=ЦТО!$W23,"Душа",IF(ЦТО!$R23=ЦТО!$X23,ЦТО!$X$2,IF(ЦТО!$R23=ЦТО!$Y23,ЦТО!$Y$2,IF(ЦТО!$R23=ЦТО!$AE23,ЦТО!$AE$2,IF(ЦТО!$R23=ЦТО!$AF23,ЦТО!$AF$2,IF(ЦТО!$R23=ЦТО!$AG23,ЦТО!$AG$2,IF(ЦТО!$R23=ЦТО!$AH23,ЦТО!$AH$2,IF(ЦТО!$R23=ЦТО!$AI23,ЦТО!$AI$2,IF(ЦТО!$R23=ЦТО!$AJ23,ЦТО!$AJ$2,IF(ЦТО!$R23=ЦТО!$AK23,ЦТО!$AK$2))))))))))</f>
        <v>0</v>
      </c>
      <c r="H23" s="89" t="b">
        <f>IF(ЦТО!$T23=ЦТО!$W23,"Душа",IF(ЦТО!$T23=ЦТО!$X23,ЦТО!$X$2,IF(ЦТО!$T23=ЦТО!$Y23,ЦТО!$Y$2,IF(ЦТО!$T23=ЦТО!$AE23,ЦТО!$AE$2,IF(ЦТО!$T23=ЦТО!$AF23,ЦТО!$AF$2,IF(ЦТО!$T23=ЦТО!$AG23,ЦТО!$AG$2,IF(ЦТО!$T23=ЦТО!$AH23,ЦТО!$AH$2,IF(ЦТО!$T23=ЦТО!$AI23,ЦТО!$AI$2,IF(ЦТО!$T23=ЦТО!$AJ23,ЦТО!$AJ$2,IF(ЦТО!$T23=ЦТО!$AK23,ЦТО!$AK$2))))))))))</f>
        <v>0</v>
      </c>
      <c r="I23" s="89" t="str">
        <f>IF(ЦТО!$U23=ЦТО!$W23,"Душа",IF(ЦТО!$U23=ЦТО!$X23,ЦТО!$X$2,IF(ЦТО!$U23=ЦТО!$Y23,ЦТО!$Y$2,IF(ЦТО!$U23=ЦТО!$AE23,ЦТО!$AE$2,IF(ЦТО!$U23=ЦТО!$AF23,ЦТО!$AF$2,IF(ЦТО!$U23=ЦТО!$AG23,ЦТО!$AG$2,IF(ЦТО!$U23=ЦТО!$AH23,ЦТО!$AH$2,IF(ЦТО!$U23=ЦТО!$AI23,ЦТО!$AI$2,IF(ЦТО!$U23=ЦТО!$AJ23,ЦТО!$AJ$2,IF(ЦТО!$U23=ЦТО!$AK23,ЦТО!$AK$2))))))))))</f>
        <v>Чтение</v>
      </c>
      <c r="J23" s="47" t="str">
        <f>IF(OR(ЦТО!W23=ЦТО!$BK$8,ЦТО!W23=ЦТО!$BK$9,ЦТО!W23=ЦТО!$BK$10),"Обратить внимание","Отклонений нет")</f>
        <v>Отклонений нет</v>
      </c>
      <c r="K23" s="14" t="str">
        <f>IF(OR(ЦТО!X23=ЦТО!$BK$8,ЦТО!X23=ЦТО!$BK$9,ЦТО!X23=ЦТО!$BK$10),"Обратить внимание","Отклонений нет")</f>
        <v>Отклонений нет</v>
      </c>
      <c r="L23" s="14" t="str">
        <f>IF(OR(ЦТО!Y23=ЦТО!$BK$8,ЦТО!Y23=ЦТО!$BK$9,ЦТО!Y23=ЦТО!$BK$10),"Обратить внимание","Отклонений нет")</f>
        <v>Отклонений нет</v>
      </c>
      <c r="M23" s="14" t="str">
        <f>IF(OR(ЦТО!Z23=ЦТО!$BK$8,ЦТО!Z23=ЦТО!$BK$9,ЦТО!Z23=ЦТО!$BK$10),"Обратить внимание","Отклонений нет")</f>
        <v>Обратить внимание</v>
      </c>
      <c r="N23" s="14" t="str">
        <f>IF(OR(ЦТО!AA23=ЦТО!$BK$8,ЦТО!AA23=ЦТО!$BK$9,ЦТО!AA23=ЦТО!$BK$10),"Обратить внимание","Отклонений нет")</f>
        <v>Обратить внимание</v>
      </c>
      <c r="O23" s="14" t="str">
        <f>IF(OR(ЦТО!AB23=ЦТО!$BK$8,ЦТО!AB23=ЦТО!$BK$9,ЦТО!AB23=ЦТО!$BK$10),"Обратить внимание","Отклонений нет")</f>
        <v>Обратить внимание</v>
      </c>
      <c r="P23" s="14" t="str">
        <f>IF(OR(ЦТО!AC23=ЦТО!$BK$8,ЦТО!AC23=ЦТО!$BK$9,ЦТО!AC23=ЦТО!$BK$10),"Обратить внимание","Отклонений нет")</f>
        <v>Отклонений нет</v>
      </c>
      <c r="Q23" s="14" t="str">
        <f>IF(OR(ЦТО!AD23=ЦТО!$BK$8,ЦТО!AD23=ЦТО!$BK$9,ЦТО!AD23=ЦТО!$BK$10),"Обратить внимание","Отклонений нет")</f>
        <v>Отклонений нет</v>
      </c>
      <c r="R23" s="14" t="str">
        <f>IF(OR(ЦТО!AE23=ЦТО!$BK$8,ЦТО!AE23=ЦТО!$BK$9,ЦТО!AE23=ЦТО!$BK$10),"Обратить внимание","Отклонений нет")</f>
        <v>Отклонений нет</v>
      </c>
      <c r="S23" s="14" t="str">
        <f>IF(OR(ЦТО!AF23=ЦТО!$BK$8,ЦТО!AF23=ЦТО!$BK$9,ЦТО!AF23=ЦТО!$BK$10),"Обратить внимание","Отклонений нет")</f>
        <v>Отклонений нет</v>
      </c>
      <c r="T23" s="14" t="str">
        <f>IF(OR(ЦТО!AG23=ЦТО!$BK$8,ЦТО!AG23=ЦТО!$BK$9,ЦТО!AG23=ЦТО!$BK$10),"Обратить внимание","Отклонений нет")</f>
        <v>Отклонений нет</v>
      </c>
      <c r="U23" s="14" t="str">
        <f>IF(OR(ЦТО!AH23=ЦТО!$BK$8,ЦТО!AH23=ЦТО!$BK$9,ЦТО!AH23=ЦТО!$BK$10),"Обратить внимание","Отклонений нет")</f>
        <v>Отклонений нет</v>
      </c>
      <c r="V23" s="47" t="str">
        <f>IF(OR(ЦТО!AI23=ЦТО!$BK$8,ЦТО!AI23=ЦТО!$BK$9,ЦТО!AI23=ЦТО!$BK$10),"Обратить внимание","Отклонений нет")</f>
        <v>Отклонений нет</v>
      </c>
      <c r="W23" s="47" t="str">
        <f>IF(OR(ЦТО!AJ23=ЦТО!$BK$8,ЦТО!AJ23=ЦТО!$BK$9,ЦТО!AJ23=ЦТО!$BK$10),"Обратить внимание","Отклонений нет")</f>
        <v>Отклонений нет</v>
      </c>
      <c r="X23" s="47" t="str">
        <f>IF(OR(ЦТО!AK23=ЦТО!$BK$8,ЦТО!AK23=ЦТО!$BK$9,ЦТО!AK23=ЦТО!$BK$10),"Обратить внимание","Отклонений нет")</f>
        <v>Отклонений нет</v>
      </c>
    </row>
    <row r="24" spans="1:24" ht="18" customHeight="1">
      <c r="A24" s="10">
        <v>22</v>
      </c>
      <c r="B24" s="14" t="str">
        <f>IF(ЦТО!B24="","",ЦТО!B24)</f>
        <v>Ц</v>
      </c>
      <c r="C24" s="14" t="str">
        <f>IF(ЦТО!C24="","",ЦТО!C24)</f>
        <v>2 в</v>
      </c>
      <c r="D24" s="36" t="str">
        <f>IF(ЦТО!D24="","",ЦТО!D24)</f>
        <v/>
      </c>
      <c r="E24" s="89" t="b">
        <f>IF(ЦТО!$N24=ЦТО!$W24,"Душа",IF(ЦТО!$N24=ЦТО!$X24,ЦТО!$X$2,IF(ЦТО!$N24=ЦТО!$Y24,ЦТО!$Y$2,IF(ЦТО!$N24=ЦТО!$AE24,ЦТО!$AE$2,IF(ЦТО!$N24=ЦТО!$AF24,ЦТО!$AF$2,IF(ЦТО!$N24=ЦТО!$AG24,ЦТО!$AG$2,IF(ЦТО!$N24=ЦТО!$AH24,ЦТО!$AH$2,IF(ЦТО!$N24=ЦТО!$AI24,ЦТО!$AI$2,IF(ЦТО!$N24=ЦТО!$AJ24,ЦТО!$AJ$2,IF(ЦТО!$N24=ЦТО!$AK24,ЦТО!$AK$2))))))))))</f>
        <v>0</v>
      </c>
      <c r="F24" s="89" t="b">
        <f>IF(ЦТО!P24=ЦТО!W24,"Душа",IF(ЦТО!P24=ЦТО!X24,ЦТО!$X$2,IF(ЦТО!P24=ЦТО!Y24,ЦТО!$Y$2,IF(ЦТО!P24=ЦТО!AE24,ЦТО!$AE$2,IF(ЦТО!P24=ЦТО!AF24,ЦТО!$AF$2,IF(ЦТО!P24=ЦТО!AG24,ЦТО!$AG$2,IF(ЦТО!P24=ЦТО!AH24,ЦТО!$AH$2,IF(ЦТО!P24=ЦТО!AI24,ЦТО!$AI$2,IF(ЦТО!P24=ЦТО!AJ24,ЦТО!$AJ$2,IF(ЦТО!P24=ЦТО!AK24,ЦТО!$AK$2))))))))))</f>
        <v>0</v>
      </c>
      <c r="G24" s="89" t="b">
        <f>IF(ЦТО!$R24=ЦТО!$W24,"Душа",IF(ЦТО!$R24=ЦТО!$X24,ЦТО!$X$2,IF(ЦТО!$R24=ЦТО!$Y24,ЦТО!$Y$2,IF(ЦТО!$R24=ЦТО!$AE24,ЦТО!$AE$2,IF(ЦТО!$R24=ЦТО!$AF24,ЦТО!$AF$2,IF(ЦТО!$R24=ЦТО!$AG24,ЦТО!$AG$2,IF(ЦТО!$R24=ЦТО!$AH24,ЦТО!$AH$2,IF(ЦТО!$R24=ЦТО!$AI24,ЦТО!$AI$2,IF(ЦТО!$R24=ЦТО!$AJ24,ЦТО!$AJ$2,IF(ЦТО!$R24=ЦТО!$AK24,ЦТО!$AK$2))))))))))</f>
        <v>0</v>
      </c>
      <c r="H24" s="89" t="str">
        <f>IF(ЦТО!$T24=ЦТО!$W24,"Душа",IF(ЦТО!$T24=ЦТО!$X24,ЦТО!$X$2,IF(ЦТО!$T24=ЦТО!$Y24,ЦТО!$Y$2,IF(ЦТО!$T24=ЦТО!$AE24,ЦТО!$AE$2,IF(ЦТО!$T24=ЦТО!$AF24,ЦТО!$AF$2,IF(ЦТО!$T24=ЦТО!$AG24,ЦТО!$AG$2,IF(ЦТО!$T24=ЦТО!$AH24,ЦТО!$AH$2,IF(ЦТО!$T24=ЦТО!$AI24,ЦТО!$AI$2,IF(ЦТО!$T24=ЦТО!$AJ24,ЦТО!$AJ$2,IF(ЦТО!$T24=ЦТО!$AK24,ЦТО!$AK$2))))))))))</f>
        <v>Школа</v>
      </c>
      <c r="I24" s="89" t="b">
        <f>IF(ЦТО!$U24=ЦТО!$W24,"Душа",IF(ЦТО!$U24=ЦТО!$X24,ЦТО!$X$2,IF(ЦТО!$U24=ЦТО!$Y24,ЦТО!$Y$2,IF(ЦТО!$U24=ЦТО!$AE24,ЦТО!$AE$2,IF(ЦТО!$U24=ЦТО!$AF24,ЦТО!$AF$2,IF(ЦТО!$U24=ЦТО!$AG24,ЦТО!$AG$2,IF(ЦТО!$U24=ЦТО!$AH24,ЦТО!$AH$2,IF(ЦТО!$U24=ЦТО!$AI24,ЦТО!$AI$2,IF(ЦТО!$U24=ЦТО!$AJ24,ЦТО!$AJ$2,IF(ЦТО!$U24=ЦТО!$AK24,ЦТО!$AK$2))))))))))</f>
        <v>0</v>
      </c>
      <c r="J24" s="47" t="str">
        <f>IF(OR(ЦТО!W24=ЦТО!$BK$8,ЦТО!W24=ЦТО!$BK$9,ЦТО!W24=ЦТО!$BK$10),"Обратить внимание","Отклонений нет")</f>
        <v>Отклонений нет</v>
      </c>
      <c r="K24" s="14" t="str">
        <f>IF(OR(ЦТО!X24=ЦТО!$BK$8,ЦТО!X24=ЦТО!$BK$9,ЦТО!X24=ЦТО!$BK$10),"Обратить внимание","Отклонений нет")</f>
        <v>Отклонений нет</v>
      </c>
      <c r="L24" s="14" t="str">
        <f>IF(OR(ЦТО!Y24=ЦТО!$BK$8,ЦТО!Y24=ЦТО!$BK$9,ЦТО!Y24=ЦТО!$BK$10),"Обратить внимание","Отклонений нет")</f>
        <v>Обратить внимание</v>
      </c>
      <c r="M24" s="14" t="str">
        <f>IF(OR(ЦТО!Z24=ЦТО!$BK$8,ЦТО!Z24=ЦТО!$BK$9,ЦТО!Z24=ЦТО!$BK$10),"Обратить внимание","Отклонений нет")</f>
        <v>Отклонений нет</v>
      </c>
      <c r="N24" s="14" t="str">
        <f>IF(OR(ЦТО!AA24=ЦТО!$BK$8,ЦТО!AA24=ЦТО!$BK$9,ЦТО!AA24=ЦТО!$BK$10),"Обратить внимание","Отклонений нет")</f>
        <v>Обратить внимание</v>
      </c>
      <c r="O24" s="14" t="str">
        <f>IF(OR(ЦТО!AB24=ЦТО!$BK$8,ЦТО!AB24=ЦТО!$BK$9,ЦТО!AB24=ЦТО!$BK$10),"Обратить внимание","Отклонений нет")</f>
        <v>Отклонений нет</v>
      </c>
      <c r="P24" s="14" t="str">
        <f>IF(OR(ЦТО!AC24=ЦТО!$BK$8,ЦТО!AC24=ЦТО!$BK$9,ЦТО!AC24=ЦТО!$BK$10),"Обратить внимание","Отклонений нет")</f>
        <v>Отклонений нет</v>
      </c>
      <c r="Q24" s="14" t="str">
        <f>IF(OR(ЦТО!AD24=ЦТО!$BK$8,ЦТО!AD24=ЦТО!$BK$9,ЦТО!AD24=ЦТО!$BK$10),"Обратить внимание","Отклонений нет")</f>
        <v>Отклонений нет</v>
      </c>
      <c r="R24" s="14" t="str">
        <f>IF(OR(ЦТО!AE24=ЦТО!$BK$8,ЦТО!AE24=ЦТО!$BK$9,ЦТО!AE24=ЦТО!$BK$10),"Обратить внимание","Отклонений нет")</f>
        <v>Отклонений нет</v>
      </c>
      <c r="S24" s="14" t="str">
        <f>IF(OR(ЦТО!AF24=ЦТО!$BK$8,ЦТО!AF24=ЦТО!$BK$9,ЦТО!AF24=ЦТО!$BK$10),"Обратить внимание","Отклонений нет")</f>
        <v>Отклонений нет</v>
      </c>
      <c r="T24" s="14" t="str">
        <f>IF(OR(ЦТО!AG24=ЦТО!$BK$8,ЦТО!AG24=ЦТО!$BK$9,ЦТО!AG24=ЦТО!$BK$10),"Обратить внимание","Отклонений нет")</f>
        <v>Отклонений нет</v>
      </c>
      <c r="U24" s="14" t="str">
        <f>IF(OR(ЦТО!AH24=ЦТО!$BK$8,ЦТО!AH24=ЦТО!$BK$9,ЦТО!AH24=ЦТО!$BK$10),"Обратить внимание","Отклонений нет")</f>
        <v>Отклонений нет</v>
      </c>
      <c r="V24" s="47" t="str">
        <f>IF(OR(ЦТО!AI24=ЦТО!$BK$8,ЦТО!AI24=ЦТО!$BK$9,ЦТО!AI24=ЦТО!$BK$10),"Обратить внимание","Отклонений нет")</f>
        <v>Отклонений нет</v>
      </c>
      <c r="W24" s="47" t="str">
        <f>IF(OR(ЦТО!AJ24=ЦТО!$BK$8,ЦТО!AJ24=ЦТО!$BK$9,ЦТО!AJ24=ЦТО!$BK$10),"Обратить внимание","Отклонений нет")</f>
        <v>Отклонений нет</v>
      </c>
      <c r="X24" s="47" t="str">
        <f>IF(OR(ЦТО!AK24=ЦТО!$BK$8,ЦТО!AK24=ЦТО!$BK$9,ЦТО!AK24=ЦТО!$BK$10),"Обратить внимание","Отклонений нет")</f>
        <v>Отклонений нет</v>
      </c>
    </row>
    <row r="25" spans="1:24" ht="18" customHeight="1">
      <c r="A25" s="10">
        <v>23</v>
      </c>
      <c r="B25" s="14" t="str">
        <f>IF(ЦТО!B25="","",ЦТО!B25)</f>
        <v>Ч</v>
      </c>
      <c r="C25" s="14" t="str">
        <f>IF(ЦТО!C25="","",ЦТО!C25)</f>
        <v>2 в</v>
      </c>
      <c r="D25" s="36" t="str">
        <f>IF(ЦТО!D25="","",ЦТО!D25)</f>
        <v/>
      </c>
      <c r="E25" s="89" t="str">
        <f>IF(ЦТО!$N25=ЦТО!$W25,"Душа",IF(ЦТО!$N25=ЦТО!$X25,ЦТО!$X$2,IF(ЦТО!$N25=ЦТО!$Y25,ЦТО!$Y$2,IF(ЦТО!$N25=ЦТО!$AE25,ЦТО!$AE$2,IF(ЦТО!$N25=ЦТО!$AF25,ЦТО!$AF$2,IF(ЦТО!$N25=ЦТО!$AG25,ЦТО!$AG$2,IF(ЦТО!$N25=ЦТО!$AH25,ЦТО!$AH$2,IF(ЦТО!$N25=ЦТО!$AI25,ЦТО!$AI$2,IF(ЦТО!$N25=ЦТО!$AJ25,ЦТО!$AJ$2,IF(ЦТО!$N25=ЦТО!$AK25,ЦТО!$AK$2))))))))))</f>
        <v>Школа</v>
      </c>
      <c r="F25" s="89" t="b">
        <f>IF(ЦТО!P25=ЦТО!W25,"Душа",IF(ЦТО!P25=ЦТО!X25,ЦТО!$X$2,IF(ЦТО!P25=ЦТО!Y25,ЦТО!$Y$2,IF(ЦТО!P25=ЦТО!AE25,ЦТО!$AE$2,IF(ЦТО!P25=ЦТО!AF25,ЦТО!$AF$2,IF(ЦТО!P25=ЦТО!AG25,ЦТО!$AG$2,IF(ЦТО!P25=ЦТО!AH25,ЦТО!$AH$2,IF(ЦТО!P25=ЦТО!AI25,ЦТО!$AI$2,IF(ЦТО!P25=ЦТО!AJ25,ЦТО!$AJ$2,IF(ЦТО!P25=ЦТО!AK25,ЦТО!$AK$2))))))))))</f>
        <v>0</v>
      </c>
      <c r="G25" s="89" t="b">
        <f>IF(ЦТО!$R25=ЦТО!$W25,"Душа",IF(ЦТО!$R25=ЦТО!$X25,ЦТО!$X$2,IF(ЦТО!$R25=ЦТО!$Y25,ЦТО!$Y$2,IF(ЦТО!$R25=ЦТО!$AE25,ЦТО!$AE$2,IF(ЦТО!$R25=ЦТО!$AF25,ЦТО!$AF$2,IF(ЦТО!$R25=ЦТО!$AG25,ЦТО!$AG$2,IF(ЦТО!$R25=ЦТО!$AH25,ЦТО!$AH$2,IF(ЦТО!$R25=ЦТО!$AI25,ЦТО!$AI$2,IF(ЦТО!$R25=ЦТО!$AJ25,ЦТО!$AJ$2,IF(ЦТО!$R25=ЦТО!$AK25,ЦТО!$AK$2))))))))))</f>
        <v>0</v>
      </c>
      <c r="H25" s="89" t="str">
        <f>IF(ЦТО!$T25=ЦТО!$W25,"Душа",IF(ЦТО!$T25=ЦТО!$X25,ЦТО!$X$2,IF(ЦТО!$T25=ЦТО!$Y25,ЦТО!$Y$2,IF(ЦТО!$T25=ЦТО!$AE25,ЦТО!$AE$2,IF(ЦТО!$T25=ЦТО!$AF25,ЦТО!$AF$2,IF(ЦТО!$T25=ЦТО!$AG25,ЦТО!$AG$2,IF(ЦТО!$T25=ЦТО!$AH25,ЦТО!$AH$2,IF(ЦТО!$T25=ЦТО!$AI25,ЦТО!$AI$2,IF(ЦТО!$T25=ЦТО!$AJ25,ЦТО!$AJ$2,IF(ЦТО!$T25=ЦТО!$AK25,ЦТО!$AK$2))))))))))</f>
        <v>Уроки</v>
      </c>
      <c r="I25" s="89" t="b">
        <f>IF(ЦТО!$U25=ЦТО!$W25,"Душа",IF(ЦТО!$U25=ЦТО!$X25,ЦТО!$X$2,IF(ЦТО!$U25=ЦТО!$Y25,ЦТО!$Y$2,IF(ЦТО!$U25=ЦТО!$AE25,ЦТО!$AE$2,IF(ЦТО!$U25=ЦТО!$AF25,ЦТО!$AF$2,IF(ЦТО!$U25=ЦТО!$AG25,ЦТО!$AG$2,IF(ЦТО!$U25=ЦТО!$AH25,ЦТО!$AH$2,IF(ЦТО!$U25=ЦТО!$AI25,ЦТО!$AI$2,IF(ЦТО!$U25=ЦТО!$AJ25,ЦТО!$AJ$2,IF(ЦТО!$U25=ЦТО!$AK25,ЦТО!$AK$2))))))))))</f>
        <v>0</v>
      </c>
      <c r="J25" s="47" t="str">
        <f>IF(OR(ЦТО!W25=ЦТО!$BK$8,ЦТО!W25=ЦТО!$BK$9,ЦТО!W25=ЦТО!$BK$10),"Обратить внимание","Отклонений нет")</f>
        <v>Отклонений нет</v>
      </c>
      <c r="K25" s="14" t="str">
        <f>IF(OR(ЦТО!X25=ЦТО!$BK$8,ЦТО!X25=ЦТО!$BK$9,ЦТО!X25=ЦТО!$BK$10),"Обратить внимание","Отклонений нет")</f>
        <v>Отклонений нет</v>
      </c>
      <c r="L25" s="14" t="str">
        <f>IF(OR(ЦТО!Y25=ЦТО!$BK$8,ЦТО!Y25=ЦТО!$BK$9,ЦТО!Y25=ЦТО!$BK$10),"Обратить внимание","Отклонений нет")</f>
        <v>Обратить внимание</v>
      </c>
      <c r="M25" s="14" t="str">
        <f>IF(OR(ЦТО!Z25=ЦТО!$BK$8,ЦТО!Z25=ЦТО!$BK$9,ЦТО!Z25=ЦТО!$BK$10),"Обратить внимание","Отклонений нет")</f>
        <v>Обратить внимание</v>
      </c>
      <c r="N25" s="14" t="str">
        <f>IF(OR(ЦТО!AA25=ЦТО!$BK$8,ЦТО!AA25=ЦТО!$BK$9,ЦТО!AA25=ЦТО!$BK$10),"Обратить внимание","Отклонений нет")</f>
        <v>Отклонений нет</v>
      </c>
      <c r="O25" s="14" t="str">
        <f>IF(OR(ЦТО!AB25=ЦТО!$BK$8,ЦТО!AB25=ЦТО!$BK$9,ЦТО!AB25=ЦТО!$BK$10),"Обратить внимание","Отклонений нет")</f>
        <v>Отклонений нет</v>
      </c>
      <c r="P25" s="14" t="str">
        <f>IF(OR(ЦТО!AC25=ЦТО!$BK$8,ЦТО!AC25=ЦТО!$BK$9,ЦТО!AC25=ЦТО!$BK$10),"Обратить внимание","Отклонений нет")</f>
        <v>Отклонений нет</v>
      </c>
      <c r="Q25" s="14" t="str">
        <f>IF(OR(ЦТО!AD25=ЦТО!$BK$8,ЦТО!AD25=ЦТО!$BK$9,ЦТО!AD25=ЦТО!$BK$10),"Обратить внимание","Отклонений нет")</f>
        <v>Отклонений нет</v>
      </c>
      <c r="R25" s="14" t="str">
        <f>IF(OR(ЦТО!AE25=ЦТО!$BK$8,ЦТО!AE25=ЦТО!$BK$9,ЦТО!AE25=ЦТО!$BK$10),"Обратить внимание","Отклонений нет")</f>
        <v>Отклонений нет</v>
      </c>
      <c r="S25" s="14" t="str">
        <f>IF(OR(ЦТО!AF25=ЦТО!$BK$8,ЦТО!AF25=ЦТО!$BK$9,ЦТО!AF25=ЦТО!$BK$10),"Обратить внимание","Отклонений нет")</f>
        <v>Отклонений нет</v>
      </c>
      <c r="T25" s="14" t="str">
        <f>IF(OR(ЦТО!AG25=ЦТО!$BK$8,ЦТО!AG25=ЦТО!$BK$9,ЦТО!AG25=ЦТО!$BK$10),"Обратить внимание","Отклонений нет")</f>
        <v>Обратить внимание</v>
      </c>
      <c r="U25" s="14" t="str">
        <f>IF(OR(ЦТО!AH25=ЦТО!$BK$8,ЦТО!AH25=ЦТО!$BK$9,ЦТО!AH25=ЦТО!$BK$10),"Обратить внимание","Отклонений нет")</f>
        <v>Отклонений нет</v>
      </c>
      <c r="V25" s="47" t="str">
        <f>IF(OR(ЦТО!AI25=ЦТО!$BK$8,ЦТО!AI25=ЦТО!$BK$9,ЦТО!AI25=ЦТО!$BK$10),"Обратить внимание","Отклонений нет")</f>
        <v>Отклонений нет</v>
      </c>
      <c r="W25" s="47" t="str">
        <f>IF(OR(ЦТО!AJ25=ЦТО!$BK$8,ЦТО!AJ25=ЦТО!$BK$9,ЦТО!AJ25=ЦТО!$BK$10),"Обратить внимание","Отклонений нет")</f>
        <v>Отклонений нет</v>
      </c>
      <c r="X25" s="47" t="str">
        <f>IF(OR(ЦТО!AK25=ЦТО!$BK$8,ЦТО!AK25=ЦТО!$BK$9,ЦТО!AK25=ЦТО!$BK$10),"Обратить внимание","Отклонений нет")</f>
        <v>Отклонений нет</v>
      </c>
    </row>
    <row r="26" spans="1:24" ht="18" customHeight="1">
      <c r="A26" s="10">
        <v>24</v>
      </c>
      <c r="B26" s="14" t="str">
        <f>IF(ЦТО!B26="","",ЦТО!B26)</f>
        <v>Ш</v>
      </c>
      <c r="C26" s="14" t="str">
        <f>IF(ЦТО!C26="","",ЦТО!C26)</f>
        <v>2 в</v>
      </c>
      <c r="D26" s="36" t="str">
        <f>IF(ЦТО!D26="","",ЦТО!D26)</f>
        <v/>
      </c>
      <c r="E26" s="89" t="str">
        <f>IF(ЦТО!$N26=ЦТО!$W26,"Душа",IF(ЦТО!$N26=ЦТО!$X26,ЦТО!$X$2,IF(ЦТО!$N26=ЦТО!$Y26,ЦТО!$Y$2,IF(ЦТО!$N26=ЦТО!$AE26,ЦТО!$AE$2,IF(ЦТО!$N26=ЦТО!$AF26,ЦТО!$AF$2,IF(ЦТО!$N26=ЦТО!$AG26,ЦТО!$AG$2,IF(ЦТО!$N26=ЦТО!$AH26,ЦТО!$AH$2,IF(ЦТО!$N26=ЦТО!$AI26,ЦТО!$AI$2,IF(ЦТО!$N26=ЦТО!$AJ26,ЦТО!$AJ$2,IF(ЦТО!$N26=ЦТО!$AK26,ЦТО!$AK$2))))))))))</f>
        <v>Школа</v>
      </c>
      <c r="F26" s="89" t="b">
        <f>IF(ЦТО!P26=ЦТО!W26,"Душа",IF(ЦТО!P26=ЦТО!X26,ЦТО!$X$2,IF(ЦТО!P26=ЦТО!Y26,ЦТО!$Y$2,IF(ЦТО!P26=ЦТО!AE26,ЦТО!$AE$2,IF(ЦТО!P26=ЦТО!AF26,ЦТО!$AF$2,IF(ЦТО!P26=ЦТО!AG26,ЦТО!$AG$2,IF(ЦТО!P26=ЦТО!AH26,ЦТО!$AH$2,IF(ЦТО!P26=ЦТО!AI26,ЦТО!$AI$2,IF(ЦТО!P26=ЦТО!AJ26,ЦТО!$AJ$2,IF(ЦТО!P26=ЦТО!AK26,ЦТО!$AK$2))))))))))</f>
        <v>0</v>
      </c>
      <c r="G26" s="89" t="str">
        <f>IF(ЦТО!$R26=ЦТО!$W26,"Душа",IF(ЦТО!$R26=ЦТО!$X26,ЦТО!$X$2,IF(ЦТО!$R26=ЦТО!$Y26,ЦТО!$Y$2,IF(ЦТО!$R26=ЦТО!$AE26,ЦТО!$AE$2,IF(ЦТО!$R26=ЦТО!$AF26,ЦТО!$AF$2,IF(ЦТО!$R26=ЦТО!$AG26,ЦТО!$AG$2,IF(ЦТО!$R26=ЦТО!$AH26,ЦТО!$AH$2,IF(ЦТО!$R26=ЦТО!$AI26,ЦТО!$AI$2,IF(ЦТО!$R26=ЦТО!$AJ26,ЦТО!$AJ$2,IF(ЦТО!$R26=ЦТО!$AK26,ЦТО!$AK$2))))))))))</f>
        <v>Чтение</v>
      </c>
      <c r="H26" s="89" t="b">
        <f>IF(ЦТО!$T26=ЦТО!$W26,"Душа",IF(ЦТО!$T26=ЦТО!$X26,ЦТО!$X$2,IF(ЦТО!$T26=ЦТО!$Y26,ЦТО!$Y$2,IF(ЦТО!$T26=ЦТО!$AE26,ЦТО!$AE$2,IF(ЦТО!$T26=ЦТО!$AF26,ЦТО!$AF$2,IF(ЦТО!$T26=ЦТО!$AG26,ЦТО!$AG$2,IF(ЦТО!$T26=ЦТО!$AH26,ЦТО!$AH$2,IF(ЦТО!$T26=ЦТО!$AI26,ЦТО!$AI$2,IF(ЦТО!$T26=ЦТО!$AJ26,ЦТО!$AJ$2,IF(ЦТО!$T26=ЦТО!$AK26,ЦТО!$AK$2))))))))))</f>
        <v>0</v>
      </c>
      <c r="I26" s="89" t="b">
        <f>IF(ЦТО!$U26=ЦТО!$W26,"Душа",IF(ЦТО!$U26=ЦТО!$X26,ЦТО!$X$2,IF(ЦТО!$U26=ЦТО!$Y26,ЦТО!$Y$2,IF(ЦТО!$U26=ЦТО!$AE26,ЦТО!$AE$2,IF(ЦТО!$U26=ЦТО!$AF26,ЦТО!$AF$2,IF(ЦТО!$U26=ЦТО!$AG26,ЦТО!$AG$2,IF(ЦТО!$U26=ЦТО!$AH26,ЦТО!$AH$2,IF(ЦТО!$U26=ЦТО!$AI26,ЦТО!$AI$2,IF(ЦТО!$U26=ЦТО!$AJ26,ЦТО!$AJ$2,IF(ЦТО!$U26=ЦТО!$AK26,ЦТО!$AK$2))))))))))</f>
        <v>0</v>
      </c>
      <c r="J26" s="47" t="str">
        <f>IF(OR(ЦТО!W26=ЦТО!$BK$8,ЦТО!W26=ЦТО!$BK$9,ЦТО!W26=ЦТО!$BK$10),"Обратить внимание","Отклонений нет")</f>
        <v>Отклонений нет</v>
      </c>
      <c r="K26" s="14" t="str">
        <f>IF(OR(ЦТО!X26=ЦТО!$BK$8,ЦТО!X26=ЦТО!$BK$9,ЦТО!X26=ЦТО!$BK$10),"Обратить внимание","Отклонений нет")</f>
        <v>Обратить внимание</v>
      </c>
      <c r="L26" s="14" t="str">
        <f>IF(OR(ЦТО!Y26=ЦТО!$BK$8,ЦТО!Y26=ЦТО!$BK$9,ЦТО!Y26=ЦТО!$BK$10),"Обратить внимание","Отклонений нет")</f>
        <v>Отклонений нет</v>
      </c>
      <c r="M26" s="14" t="str">
        <f>IF(OR(ЦТО!Z26=ЦТО!$BK$8,ЦТО!Z26=ЦТО!$BK$9,ЦТО!Z26=ЦТО!$BK$10),"Обратить внимание","Отклонений нет")</f>
        <v>Обратить внимание</v>
      </c>
      <c r="N26" s="14" t="str">
        <f>IF(OR(ЦТО!AA26=ЦТО!$BK$8,ЦТО!AA26=ЦТО!$BK$9,ЦТО!AA26=ЦТО!$BK$10),"Обратить внимание","Отклонений нет")</f>
        <v>Обратить внимание</v>
      </c>
      <c r="O26" s="14" t="str">
        <f>IF(OR(ЦТО!AB26=ЦТО!$BK$8,ЦТО!AB26=ЦТО!$BK$9,ЦТО!AB26=ЦТО!$BK$10),"Обратить внимание","Отклонений нет")</f>
        <v>Обратить внимание</v>
      </c>
      <c r="P26" s="14" t="str">
        <f>IF(OR(ЦТО!AC26=ЦТО!$BK$8,ЦТО!AC26=ЦТО!$BK$9,ЦТО!AC26=ЦТО!$BK$10),"Обратить внимание","Отклонений нет")</f>
        <v>Отклонений нет</v>
      </c>
      <c r="Q26" s="14" t="str">
        <f>IF(OR(ЦТО!AD26=ЦТО!$BK$8,ЦТО!AD26=ЦТО!$BK$9,ЦТО!AD26=ЦТО!$BK$10),"Обратить внимание","Отклонений нет")</f>
        <v>Отклонений нет</v>
      </c>
      <c r="R26" s="14" t="str">
        <f>IF(OR(ЦТО!AE26=ЦТО!$BK$8,ЦТО!AE26=ЦТО!$BK$9,ЦТО!AE26=ЦТО!$BK$10),"Обратить внимание","Отклонений нет")</f>
        <v>Отклонений нет</v>
      </c>
      <c r="S26" s="14" t="str">
        <f>IF(OR(ЦТО!AF26=ЦТО!$BK$8,ЦТО!AF26=ЦТО!$BK$9,ЦТО!AF26=ЦТО!$BK$10),"Обратить внимание","Отклонений нет")</f>
        <v>Отклонений нет</v>
      </c>
      <c r="T26" s="14" t="str">
        <f>IF(OR(ЦТО!AG26=ЦТО!$BK$8,ЦТО!AG26=ЦТО!$BK$9,ЦТО!AG26=ЦТО!$BK$10),"Обратить внимание","Отклонений нет")</f>
        <v>Обратить внимание</v>
      </c>
      <c r="U26" s="14" t="str">
        <f>IF(OR(ЦТО!AH26=ЦТО!$BK$8,ЦТО!AH26=ЦТО!$BK$9,ЦТО!AH26=ЦТО!$BK$10),"Обратить внимание","Отклонений нет")</f>
        <v>Обратить внимание</v>
      </c>
      <c r="V26" s="47" t="str">
        <f>IF(OR(ЦТО!AI26=ЦТО!$BK$8,ЦТО!AI26=ЦТО!$BK$9,ЦТО!AI26=ЦТО!$BK$10),"Обратить внимание","Отклонений нет")</f>
        <v>Отклонений нет</v>
      </c>
      <c r="W26" s="47" t="str">
        <f>IF(OR(ЦТО!AJ26=ЦТО!$BK$8,ЦТО!AJ26=ЦТО!$BK$9,ЦТО!AJ26=ЦТО!$BK$10),"Обратить внимание","Отклонений нет")</f>
        <v>Отклонений нет</v>
      </c>
      <c r="X26" s="47" t="str">
        <f>IF(OR(ЦТО!AK26=ЦТО!$BK$8,ЦТО!AK26=ЦТО!$BK$9,ЦТО!AK26=ЦТО!$BK$10),"Обратить внимание","Отклонений нет")</f>
        <v>Отклонений нет</v>
      </c>
    </row>
    <row r="27" spans="1:24" ht="18" customHeight="1">
      <c r="A27" s="10">
        <v>25</v>
      </c>
      <c r="B27" s="14" t="str">
        <f>IF(ЦТО!B27="","",ЦТО!B27)</f>
        <v>Щ</v>
      </c>
      <c r="C27" s="14" t="str">
        <f>IF(ЦТО!C27="","",ЦТО!C27)</f>
        <v>2 в</v>
      </c>
      <c r="D27" s="36" t="str">
        <f>IF(ЦТО!D27="","",ЦТО!D27)</f>
        <v/>
      </c>
      <c r="E27" s="89" t="str">
        <f>IF(ЦТО!$N27=ЦТО!$W27,"Душа",IF(ЦТО!$N27=ЦТО!$X27,ЦТО!$X$2,IF(ЦТО!$N27=ЦТО!$Y27,ЦТО!$Y$2,IF(ЦТО!$N27=ЦТО!$AE27,ЦТО!$AE$2,IF(ЦТО!$N27=ЦТО!$AF27,ЦТО!$AF$2,IF(ЦТО!$N27=ЦТО!$AG27,ЦТО!$AG$2,IF(ЦТО!$N27=ЦТО!$AH27,ЦТО!$AH$2,IF(ЦТО!$N27=ЦТО!$AI27,ЦТО!$AI$2,IF(ЦТО!$N27=ЦТО!$AJ27,ЦТО!$AJ$2,IF(ЦТО!$N27=ЦТО!$AK27,ЦТО!$AK$2))))))))))</f>
        <v>Душа</v>
      </c>
      <c r="F27" s="89" t="str">
        <f>IF(ЦТО!P27=ЦТО!W27,"Душа",IF(ЦТО!P27=ЦТО!X27,ЦТО!$X$2,IF(ЦТО!P27=ЦТО!Y27,ЦТО!$Y$2,IF(ЦТО!P27=ЦТО!AE27,ЦТО!$AE$2,IF(ЦТО!P27=ЦТО!AF27,ЦТО!$AF$2,IF(ЦТО!P27=ЦТО!AG27,ЦТО!$AG$2,IF(ЦТО!P27=ЦТО!AH27,ЦТО!$AH$2,IF(ЦТО!P27=ЦТО!AI27,ЦТО!$AI$2,IF(ЦТО!P27=ЦТО!AJ27,ЦТО!$AJ$2,IF(ЦТО!P27=ЦТО!AK27,ЦТО!$AK$2))))))))))</f>
        <v>Душа</v>
      </c>
      <c r="G27" s="89" t="str">
        <f>IF(ЦТО!$R27=ЦТО!$W27,"Душа",IF(ЦТО!$R27=ЦТО!$X27,ЦТО!$X$2,IF(ЦТО!$R27=ЦТО!$Y27,ЦТО!$Y$2,IF(ЦТО!$R27=ЦТО!$AE27,ЦТО!$AE$2,IF(ЦТО!$R27=ЦТО!$AF27,ЦТО!$AF$2,IF(ЦТО!$R27=ЦТО!$AG27,ЦТО!$AG$2,IF(ЦТО!$R27=ЦТО!$AH27,ЦТО!$AH$2,IF(ЦТО!$R27=ЦТО!$AI27,ЦТО!$AI$2,IF(ЦТО!$R27=ЦТО!$AJ27,ЦТО!$AJ$2,IF(ЦТО!$R27=ЦТО!$AK27,ЦТО!$AK$2))))))))))</f>
        <v>Душа</v>
      </c>
      <c r="H27" s="89" t="str">
        <f>IF(ЦТО!$T27=ЦТО!$W27,"Душа",IF(ЦТО!$T27=ЦТО!$X27,ЦТО!$X$2,IF(ЦТО!$T27=ЦТО!$Y27,ЦТО!$Y$2,IF(ЦТО!$T27=ЦТО!$AE27,ЦТО!$AE$2,IF(ЦТО!$T27=ЦТО!$AF27,ЦТО!$AF$2,IF(ЦТО!$T27=ЦТО!$AG27,ЦТО!$AG$2,IF(ЦТО!$T27=ЦТО!$AH27,ЦТО!$AH$2,IF(ЦТО!$T27=ЦТО!$AI27,ЦТО!$AI$2,IF(ЦТО!$T27=ЦТО!$AJ27,ЦТО!$AJ$2,IF(ЦТО!$T27=ЦТО!$AK27,ЦТО!$AK$2))))))))))</f>
        <v>Душа</v>
      </c>
      <c r="I27" s="89" t="str">
        <f>IF(ЦТО!$U27=ЦТО!$W27,"Душа",IF(ЦТО!$U27=ЦТО!$X27,ЦТО!$X$2,IF(ЦТО!$U27=ЦТО!$Y27,ЦТО!$Y$2,IF(ЦТО!$U27=ЦТО!$AE27,ЦТО!$AE$2,IF(ЦТО!$U27=ЦТО!$AF27,ЦТО!$AF$2,IF(ЦТО!$U27=ЦТО!$AG27,ЦТО!$AG$2,IF(ЦТО!$U27=ЦТО!$AH27,ЦТО!$AH$2,IF(ЦТО!$U27=ЦТО!$AI27,ЦТО!$AI$2,IF(ЦТО!$U27=ЦТО!$AJ27,ЦТО!$AJ$2,IF(ЦТО!$U27=ЦТО!$AK27,ЦТО!$AK$2))))))))))</f>
        <v>Душа</v>
      </c>
      <c r="J27" s="47" t="str">
        <f>IF(OR(ЦТО!W27=ЦТО!$BK$8,ЦТО!W27=ЦТО!$BK$9,ЦТО!W27=ЦТО!$BK$10),"Обратить внимание","Отклонений нет")</f>
        <v>Отклонений нет</v>
      </c>
      <c r="K27" s="14" t="str">
        <f>IF(OR(ЦТО!X27=ЦТО!$BK$8,ЦТО!X27=ЦТО!$BK$9,ЦТО!X27=ЦТО!$BK$10),"Обратить внимание","Отклонений нет")</f>
        <v>Отклонений нет</v>
      </c>
      <c r="L27" s="14" t="str">
        <f>IF(OR(ЦТО!Y27=ЦТО!$BK$8,ЦТО!Y27=ЦТО!$BK$9,ЦТО!Y27=ЦТО!$BK$10),"Обратить внимание","Отклонений нет")</f>
        <v>Отклонений нет</v>
      </c>
      <c r="M27" s="14" t="str">
        <f>IF(OR(ЦТО!Z27=ЦТО!$BK$8,ЦТО!Z27=ЦТО!$BK$9,ЦТО!Z27=ЦТО!$BK$10),"Обратить внимание","Отклонений нет")</f>
        <v>Отклонений нет</v>
      </c>
      <c r="N27" s="14" t="str">
        <f>IF(OR(ЦТО!AA27=ЦТО!$BK$8,ЦТО!AA27=ЦТО!$BK$9,ЦТО!AA27=ЦТО!$BK$10),"Обратить внимание","Отклонений нет")</f>
        <v>Отклонений нет</v>
      </c>
      <c r="O27" s="14" t="str">
        <f>IF(OR(ЦТО!AB27=ЦТО!$BK$8,ЦТО!AB27=ЦТО!$BK$9,ЦТО!AB27=ЦТО!$BK$10),"Обратить внимание","Отклонений нет")</f>
        <v>Отклонений нет</v>
      </c>
      <c r="P27" s="14" t="str">
        <f>IF(OR(ЦТО!AC27=ЦТО!$BK$8,ЦТО!AC27=ЦТО!$BK$9,ЦТО!AC27=ЦТО!$BK$10),"Обратить внимание","Отклонений нет")</f>
        <v>Отклонений нет</v>
      </c>
      <c r="Q27" s="14" t="str">
        <f>IF(OR(ЦТО!AD27=ЦТО!$BK$8,ЦТО!AD27=ЦТО!$BK$9,ЦТО!AD27=ЦТО!$BK$10),"Обратить внимание","Отклонений нет")</f>
        <v>Отклонений нет</v>
      </c>
      <c r="R27" s="14" t="str">
        <f>IF(OR(ЦТО!AE27=ЦТО!$BK$8,ЦТО!AE27=ЦТО!$BK$9,ЦТО!AE27=ЦТО!$BK$10),"Обратить внимание","Отклонений нет")</f>
        <v>Отклонений нет</v>
      </c>
      <c r="S27" s="14" t="str">
        <f>IF(OR(ЦТО!AF27=ЦТО!$BK$8,ЦТО!AF27=ЦТО!$BK$9,ЦТО!AF27=ЦТО!$BK$10),"Обратить внимание","Отклонений нет")</f>
        <v>Отклонений нет</v>
      </c>
      <c r="T27" s="14" t="str">
        <f>IF(OR(ЦТО!AG27=ЦТО!$BK$8,ЦТО!AG27=ЦТО!$BK$9,ЦТО!AG27=ЦТО!$BK$10),"Обратить внимание","Отклонений нет")</f>
        <v>Отклонений нет</v>
      </c>
      <c r="U27" s="14" t="str">
        <f>IF(OR(ЦТО!AH27=ЦТО!$BK$8,ЦТО!AH27=ЦТО!$BK$9,ЦТО!AH27=ЦТО!$BK$10),"Обратить внимание","Отклонений нет")</f>
        <v>Отклонений нет</v>
      </c>
      <c r="V27" s="47" t="str">
        <f>IF(OR(ЦТО!AI27=ЦТО!$BK$8,ЦТО!AI27=ЦТО!$BK$9,ЦТО!AI27=ЦТО!$BK$10),"Обратить внимание","Отклонений нет")</f>
        <v>Отклонений нет</v>
      </c>
      <c r="W27" s="47" t="str">
        <f>IF(OR(ЦТО!AJ27=ЦТО!$BK$8,ЦТО!AJ27=ЦТО!$BK$9,ЦТО!AJ27=ЦТО!$BK$10),"Обратить внимание","Отклонений нет")</f>
        <v>Отклонений нет</v>
      </c>
      <c r="X27" s="47" t="str">
        <f>IF(OR(ЦТО!AK27=ЦТО!$BK$8,ЦТО!AK27=ЦТО!$BK$9,ЦТО!AK27=ЦТО!$BK$10),"Обратить внимание","Отклонений нет")</f>
        <v>Отклонений нет</v>
      </c>
    </row>
    <row r="28" spans="1:24" ht="18" customHeight="1">
      <c r="A28" s="10">
        <v>26</v>
      </c>
      <c r="B28" s="14" t="e">
        <f>IF(ЦТО!#REF!="","",ЦТО!#REF!)</f>
        <v>#REF!</v>
      </c>
      <c r="C28" s="14" t="e">
        <f>IF(ЦТО!#REF!="","",ЦТО!#REF!)</f>
        <v>#REF!</v>
      </c>
      <c r="D28" s="36" t="e">
        <f>IF(ЦТО!#REF!="","",ЦТО!#REF!)</f>
        <v>#REF!</v>
      </c>
      <c r="E2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2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2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2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2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28" s="47" t="e">
        <f>IF(OR(ЦТО!#REF!=ЦТО!$BK$8,ЦТО!#REF!=ЦТО!$BK$9,ЦТО!#REF!=ЦТО!$BK$10),"Обратить внимание","Отклонений нет")</f>
        <v>#REF!</v>
      </c>
      <c r="K28" s="14" t="e">
        <f>IF(OR(ЦТО!#REF!=ЦТО!$BK$8,ЦТО!#REF!=ЦТО!$BK$9,ЦТО!#REF!=ЦТО!$BK$10),"Обратить внимание","Отклонений нет")</f>
        <v>#REF!</v>
      </c>
      <c r="L28" s="14" t="e">
        <f>IF(OR(ЦТО!#REF!=ЦТО!$BK$8,ЦТО!#REF!=ЦТО!$BK$9,ЦТО!#REF!=ЦТО!$BK$10),"Обратить внимание","Отклонений нет")</f>
        <v>#REF!</v>
      </c>
      <c r="M28" s="14" t="e">
        <f>IF(OR(ЦТО!#REF!=ЦТО!$BK$8,ЦТО!#REF!=ЦТО!$BK$9,ЦТО!#REF!=ЦТО!$BK$10),"Обратить внимание","Отклонений нет")</f>
        <v>#REF!</v>
      </c>
      <c r="N28" s="14" t="e">
        <f>IF(OR(ЦТО!#REF!=ЦТО!$BK$8,ЦТО!#REF!=ЦТО!$BK$9,ЦТО!#REF!=ЦТО!$BK$10),"Обратить внимание","Отклонений нет")</f>
        <v>#REF!</v>
      </c>
      <c r="O28" s="14" t="e">
        <f>IF(OR(ЦТО!#REF!=ЦТО!$BK$8,ЦТО!#REF!=ЦТО!$BK$9,ЦТО!#REF!=ЦТО!$BK$10),"Обратить внимание","Отклонений нет")</f>
        <v>#REF!</v>
      </c>
      <c r="P28" s="14" t="e">
        <f>IF(OR(ЦТО!#REF!=ЦТО!$BK$8,ЦТО!#REF!=ЦТО!$BK$9,ЦТО!#REF!=ЦТО!$BK$10),"Обратить внимание","Отклонений нет")</f>
        <v>#REF!</v>
      </c>
      <c r="Q28" s="14" t="e">
        <f>IF(OR(ЦТО!#REF!=ЦТО!$BK$8,ЦТО!#REF!=ЦТО!$BK$9,ЦТО!#REF!=ЦТО!$BK$10),"Обратить внимание","Отклонений нет")</f>
        <v>#REF!</v>
      </c>
      <c r="R28" s="14" t="e">
        <f>IF(OR(ЦТО!#REF!=ЦТО!$BK$8,ЦТО!#REF!=ЦТО!$BK$9,ЦТО!#REF!=ЦТО!$BK$10),"Обратить внимание","Отклонений нет")</f>
        <v>#REF!</v>
      </c>
      <c r="S28" s="14" t="e">
        <f>IF(OR(ЦТО!#REF!=ЦТО!$BK$8,ЦТО!#REF!=ЦТО!$BK$9,ЦТО!#REF!=ЦТО!$BK$10),"Обратить внимание","Отклонений нет")</f>
        <v>#REF!</v>
      </c>
      <c r="T28" s="14" t="e">
        <f>IF(OR(ЦТО!#REF!=ЦТО!$BK$8,ЦТО!#REF!=ЦТО!$BK$9,ЦТО!#REF!=ЦТО!$BK$10),"Обратить внимание","Отклонений нет")</f>
        <v>#REF!</v>
      </c>
      <c r="U28" s="14" t="e">
        <f>IF(OR(ЦТО!#REF!=ЦТО!$BK$8,ЦТО!#REF!=ЦТО!$BK$9,ЦТО!#REF!=ЦТО!$BK$10),"Обратить внимание","Отклонений нет")</f>
        <v>#REF!</v>
      </c>
      <c r="V28" s="47" t="e">
        <f>IF(OR(ЦТО!#REF!=ЦТО!$BK$8,ЦТО!#REF!=ЦТО!$BK$9,ЦТО!#REF!=ЦТО!$BK$10),"Обратить внимание","Отклонений нет")</f>
        <v>#REF!</v>
      </c>
      <c r="W28" s="47" t="e">
        <f>IF(OR(ЦТО!#REF!=ЦТО!$BK$8,ЦТО!#REF!=ЦТО!$BK$9,ЦТО!#REF!=ЦТО!$BK$10),"Обратить внимание","Отклонений нет")</f>
        <v>#REF!</v>
      </c>
      <c r="X28" s="47" t="e">
        <f>IF(OR(ЦТО!#REF!=ЦТО!$BK$8,ЦТО!#REF!=ЦТО!$BK$9,ЦТО!#REF!=ЦТО!$BK$10),"Обратить внимание","Отклонений нет")</f>
        <v>#REF!</v>
      </c>
    </row>
    <row r="29" spans="1:24" ht="18" customHeight="1">
      <c r="A29" s="10">
        <v>27</v>
      </c>
      <c r="B29" s="14" t="e">
        <f>IF(ЦТО!#REF!="","",ЦТО!#REF!)</f>
        <v>#REF!</v>
      </c>
      <c r="C29" s="14" t="e">
        <f>IF(ЦТО!#REF!="","",ЦТО!#REF!)</f>
        <v>#REF!</v>
      </c>
      <c r="D29" s="36" t="e">
        <f>IF(ЦТО!#REF!="","",ЦТО!#REF!)</f>
        <v>#REF!</v>
      </c>
      <c r="E2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2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2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2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2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29" s="47" t="e">
        <f>IF(OR(ЦТО!#REF!=ЦТО!$BK$8,ЦТО!#REF!=ЦТО!$BK$9,ЦТО!#REF!=ЦТО!$BK$10),"Обратить внимание","Отклонений нет")</f>
        <v>#REF!</v>
      </c>
      <c r="K29" s="14" t="e">
        <f>IF(OR(ЦТО!#REF!=ЦТО!$BK$8,ЦТО!#REF!=ЦТО!$BK$9,ЦТО!#REF!=ЦТО!$BK$10),"Обратить внимание","Отклонений нет")</f>
        <v>#REF!</v>
      </c>
      <c r="L29" s="14" t="e">
        <f>IF(OR(ЦТО!#REF!=ЦТО!$BK$8,ЦТО!#REF!=ЦТО!$BK$9,ЦТО!#REF!=ЦТО!$BK$10),"Обратить внимание","Отклонений нет")</f>
        <v>#REF!</v>
      </c>
      <c r="M29" s="14" t="e">
        <f>IF(OR(ЦТО!#REF!=ЦТО!$BK$8,ЦТО!#REF!=ЦТО!$BK$9,ЦТО!#REF!=ЦТО!$BK$10),"Обратить внимание","Отклонений нет")</f>
        <v>#REF!</v>
      </c>
      <c r="N29" s="14" t="e">
        <f>IF(OR(ЦТО!#REF!=ЦТО!$BK$8,ЦТО!#REF!=ЦТО!$BK$9,ЦТО!#REF!=ЦТО!$BK$10),"Обратить внимание","Отклонений нет")</f>
        <v>#REF!</v>
      </c>
      <c r="O29" s="14" t="e">
        <f>IF(OR(ЦТО!#REF!=ЦТО!$BK$8,ЦТО!#REF!=ЦТО!$BK$9,ЦТО!#REF!=ЦТО!$BK$10),"Обратить внимание","Отклонений нет")</f>
        <v>#REF!</v>
      </c>
      <c r="P29" s="14" t="e">
        <f>IF(OR(ЦТО!#REF!=ЦТО!$BK$8,ЦТО!#REF!=ЦТО!$BK$9,ЦТО!#REF!=ЦТО!$BK$10),"Обратить внимание","Отклонений нет")</f>
        <v>#REF!</v>
      </c>
      <c r="Q29" s="14" t="e">
        <f>IF(OR(ЦТО!#REF!=ЦТО!$BK$8,ЦТО!#REF!=ЦТО!$BK$9,ЦТО!#REF!=ЦТО!$BK$10),"Обратить внимание","Отклонений нет")</f>
        <v>#REF!</v>
      </c>
      <c r="R29" s="14" t="e">
        <f>IF(OR(ЦТО!#REF!=ЦТО!$BK$8,ЦТО!#REF!=ЦТО!$BK$9,ЦТО!#REF!=ЦТО!$BK$10),"Обратить внимание","Отклонений нет")</f>
        <v>#REF!</v>
      </c>
      <c r="S29" s="14" t="e">
        <f>IF(OR(ЦТО!#REF!=ЦТО!$BK$8,ЦТО!#REF!=ЦТО!$BK$9,ЦТО!#REF!=ЦТО!$BK$10),"Обратить внимание","Отклонений нет")</f>
        <v>#REF!</v>
      </c>
      <c r="T29" s="14" t="e">
        <f>IF(OR(ЦТО!#REF!=ЦТО!$BK$8,ЦТО!#REF!=ЦТО!$BK$9,ЦТО!#REF!=ЦТО!$BK$10),"Обратить внимание","Отклонений нет")</f>
        <v>#REF!</v>
      </c>
      <c r="U29" s="14" t="e">
        <f>IF(OR(ЦТО!#REF!=ЦТО!$BK$8,ЦТО!#REF!=ЦТО!$BK$9,ЦТО!#REF!=ЦТО!$BK$10),"Обратить внимание","Отклонений нет")</f>
        <v>#REF!</v>
      </c>
      <c r="V29" s="47" t="e">
        <f>IF(OR(ЦТО!#REF!=ЦТО!$BK$8,ЦТО!#REF!=ЦТО!$BK$9,ЦТО!#REF!=ЦТО!$BK$10),"Обратить внимание","Отклонений нет")</f>
        <v>#REF!</v>
      </c>
      <c r="W29" s="47" t="e">
        <f>IF(OR(ЦТО!#REF!=ЦТО!$BK$8,ЦТО!#REF!=ЦТО!$BK$9,ЦТО!#REF!=ЦТО!$BK$10),"Обратить внимание","Отклонений нет")</f>
        <v>#REF!</v>
      </c>
      <c r="X29" s="47" t="e">
        <f>IF(OR(ЦТО!#REF!=ЦТО!$BK$8,ЦТО!#REF!=ЦТО!$BK$9,ЦТО!#REF!=ЦТО!$BK$10),"Обратить внимание","Отклонений нет")</f>
        <v>#REF!</v>
      </c>
    </row>
    <row r="30" spans="1:24" ht="18" customHeight="1">
      <c r="A30" s="10">
        <v>28</v>
      </c>
      <c r="B30" s="14" t="e">
        <f>IF(ЦТО!#REF!="","",ЦТО!#REF!)</f>
        <v>#REF!</v>
      </c>
      <c r="C30" s="14" t="e">
        <f>IF(ЦТО!#REF!="","",ЦТО!#REF!)</f>
        <v>#REF!</v>
      </c>
      <c r="D30" s="36" t="e">
        <f>IF(ЦТО!#REF!="","",ЦТО!#REF!)</f>
        <v>#REF!</v>
      </c>
      <c r="E3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0" s="47" t="e">
        <f>IF(OR(ЦТО!#REF!=ЦТО!$BK$8,ЦТО!#REF!=ЦТО!$BK$9,ЦТО!#REF!=ЦТО!$BK$10),"Обратить внимание","Отклонений нет")</f>
        <v>#REF!</v>
      </c>
      <c r="K30" s="14" t="e">
        <f>IF(OR(ЦТО!#REF!=ЦТО!$BK$8,ЦТО!#REF!=ЦТО!$BK$9,ЦТО!#REF!=ЦТО!$BK$10),"Обратить внимание","Отклонений нет")</f>
        <v>#REF!</v>
      </c>
      <c r="L30" s="14" t="e">
        <f>IF(OR(ЦТО!#REF!=ЦТО!$BK$8,ЦТО!#REF!=ЦТО!$BK$9,ЦТО!#REF!=ЦТО!$BK$10),"Обратить внимание","Отклонений нет")</f>
        <v>#REF!</v>
      </c>
      <c r="M30" s="14" t="e">
        <f>IF(OR(ЦТО!#REF!=ЦТО!$BK$8,ЦТО!#REF!=ЦТО!$BK$9,ЦТО!#REF!=ЦТО!$BK$10),"Обратить внимание","Отклонений нет")</f>
        <v>#REF!</v>
      </c>
      <c r="N30" s="14" t="e">
        <f>IF(OR(ЦТО!#REF!=ЦТО!$BK$8,ЦТО!#REF!=ЦТО!$BK$9,ЦТО!#REF!=ЦТО!$BK$10),"Обратить внимание","Отклонений нет")</f>
        <v>#REF!</v>
      </c>
      <c r="O30" s="14" t="e">
        <f>IF(OR(ЦТО!#REF!=ЦТО!$BK$8,ЦТО!#REF!=ЦТО!$BK$9,ЦТО!#REF!=ЦТО!$BK$10),"Обратить внимание","Отклонений нет")</f>
        <v>#REF!</v>
      </c>
      <c r="P30" s="14" t="e">
        <f>IF(OR(ЦТО!#REF!=ЦТО!$BK$8,ЦТО!#REF!=ЦТО!$BK$9,ЦТО!#REF!=ЦТО!$BK$10),"Обратить внимание","Отклонений нет")</f>
        <v>#REF!</v>
      </c>
      <c r="Q30" s="14" t="e">
        <f>IF(OR(ЦТО!#REF!=ЦТО!$BK$8,ЦТО!#REF!=ЦТО!$BK$9,ЦТО!#REF!=ЦТО!$BK$10),"Обратить внимание","Отклонений нет")</f>
        <v>#REF!</v>
      </c>
      <c r="R30" s="14" t="e">
        <f>IF(OR(ЦТО!#REF!=ЦТО!$BK$8,ЦТО!#REF!=ЦТО!$BK$9,ЦТО!#REF!=ЦТО!$BK$10),"Обратить внимание","Отклонений нет")</f>
        <v>#REF!</v>
      </c>
      <c r="S30" s="14" t="e">
        <f>IF(OR(ЦТО!#REF!=ЦТО!$BK$8,ЦТО!#REF!=ЦТО!$BK$9,ЦТО!#REF!=ЦТО!$BK$10),"Обратить внимание","Отклонений нет")</f>
        <v>#REF!</v>
      </c>
      <c r="T30" s="14" t="e">
        <f>IF(OR(ЦТО!#REF!=ЦТО!$BK$8,ЦТО!#REF!=ЦТО!$BK$9,ЦТО!#REF!=ЦТО!$BK$10),"Обратить внимание","Отклонений нет")</f>
        <v>#REF!</v>
      </c>
      <c r="U30" s="14" t="e">
        <f>IF(OR(ЦТО!#REF!=ЦТО!$BK$8,ЦТО!#REF!=ЦТО!$BK$9,ЦТО!#REF!=ЦТО!$BK$10),"Обратить внимание","Отклонений нет")</f>
        <v>#REF!</v>
      </c>
      <c r="V30" s="47" t="e">
        <f>IF(OR(ЦТО!#REF!=ЦТО!$BK$8,ЦТО!#REF!=ЦТО!$BK$9,ЦТО!#REF!=ЦТО!$BK$10),"Обратить внимание","Отклонений нет")</f>
        <v>#REF!</v>
      </c>
      <c r="W30" s="47" t="e">
        <f>IF(OR(ЦТО!#REF!=ЦТО!$BK$8,ЦТО!#REF!=ЦТО!$BK$9,ЦТО!#REF!=ЦТО!$BK$10),"Обратить внимание","Отклонений нет")</f>
        <v>#REF!</v>
      </c>
      <c r="X30" s="47" t="e">
        <f>IF(OR(ЦТО!#REF!=ЦТО!$BK$8,ЦТО!#REF!=ЦТО!$BK$9,ЦТО!#REF!=ЦТО!$BK$10),"Обратить внимание","Отклонений нет")</f>
        <v>#REF!</v>
      </c>
    </row>
    <row r="31" spans="1:24" ht="18" customHeight="1">
      <c r="A31" s="10">
        <v>29</v>
      </c>
      <c r="B31" s="14" t="e">
        <f>IF(ЦТО!#REF!="","",ЦТО!#REF!)</f>
        <v>#REF!</v>
      </c>
      <c r="C31" s="14" t="e">
        <f>IF(ЦТО!#REF!="","",ЦТО!#REF!)</f>
        <v>#REF!</v>
      </c>
      <c r="D31" s="36" t="e">
        <f>IF(ЦТО!#REF!="","",ЦТО!#REF!)</f>
        <v>#REF!</v>
      </c>
      <c r="E3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1" s="47" t="e">
        <f>IF(OR(ЦТО!#REF!=ЦТО!$BK$8,ЦТО!#REF!=ЦТО!$BK$9,ЦТО!#REF!=ЦТО!$BK$10),"Обратить внимание","Отклонений нет")</f>
        <v>#REF!</v>
      </c>
      <c r="K31" s="14" t="e">
        <f>IF(OR(ЦТО!#REF!=ЦТО!$BK$8,ЦТО!#REF!=ЦТО!$BK$9,ЦТО!#REF!=ЦТО!$BK$10),"Обратить внимание","Отклонений нет")</f>
        <v>#REF!</v>
      </c>
      <c r="L31" s="14" t="e">
        <f>IF(OR(ЦТО!#REF!=ЦТО!$BK$8,ЦТО!#REF!=ЦТО!$BK$9,ЦТО!#REF!=ЦТО!$BK$10),"Обратить внимание","Отклонений нет")</f>
        <v>#REF!</v>
      </c>
      <c r="M31" s="14" t="e">
        <f>IF(OR(ЦТО!#REF!=ЦТО!$BK$8,ЦТО!#REF!=ЦТО!$BK$9,ЦТО!#REF!=ЦТО!$BK$10),"Обратить внимание","Отклонений нет")</f>
        <v>#REF!</v>
      </c>
      <c r="N31" s="14" t="e">
        <f>IF(OR(ЦТО!#REF!=ЦТО!$BK$8,ЦТО!#REF!=ЦТО!$BK$9,ЦТО!#REF!=ЦТО!$BK$10),"Обратить внимание","Отклонений нет")</f>
        <v>#REF!</v>
      </c>
      <c r="O31" s="14" t="e">
        <f>IF(OR(ЦТО!#REF!=ЦТО!$BK$8,ЦТО!#REF!=ЦТО!$BK$9,ЦТО!#REF!=ЦТО!$BK$10),"Обратить внимание","Отклонений нет")</f>
        <v>#REF!</v>
      </c>
      <c r="P31" s="14" t="e">
        <f>IF(OR(ЦТО!#REF!=ЦТО!$BK$8,ЦТО!#REF!=ЦТО!$BK$9,ЦТО!#REF!=ЦТО!$BK$10),"Обратить внимание","Отклонений нет")</f>
        <v>#REF!</v>
      </c>
      <c r="Q31" s="14" t="e">
        <f>IF(OR(ЦТО!#REF!=ЦТО!$BK$8,ЦТО!#REF!=ЦТО!$BK$9,ЦТО!#REF!=ЦТО!$BK$10),"Обратить внимание","Отклонений нет")</f>
        <v>#REF!</v>
      </c>
      <c r="R31" s="14" t="e">
        <f>IF(OR(ЦТО!#REF!=ЦТО!$BK$8,ЦТО!#REF!=ЦТО!$BK$9,ЦТО!#REF!=ЦТО!$BK$10),"Обратить внимание","Отклонений нет")</f>
        <v>#REF!</v>
      </c>
      <c r="S31" s="14" t="e">
        <f>IF(OR(ЦТО!#REF!=ЦТО!$BK$8,ЦТО!#REF!=ЦТО!$BK$9,ЦТО!#REF!=ЦТО!$BK$10),"Обратить внимание","Отклонений нет")</f>
        <v>#REF!</v>
      </c>
      <c r="T31" s="14" t="e">
        <f>IF(OR(ЦТО!#REF!=ЦТО!$BK$8,ЦТО!#REF!=ЦТО!$BK$9,ЦТО!#REF!=ЦТО!$BK$10),"Обратить внимание","Отклонений нет")</f>
        <v>#REF!</v>
      </c>
      <c r="U31" s="14" t="e">
        <f>IF(OR(ЦТО!#REF!=ЦТО!$BK$8,ЦТО!#REF!=ЦТО!$BK$9,ЦТО!#REF!=ЦТО!$BK$10),"Обратить внимание","Отклонений нет")</f>
        <v>#REF!</v>
      </c>
      <c r="V31" s="47" t="e">
        <f>IF(OR(ЦТО!#REF!=ЦТО!$BK$8,ЦТО!#REF!=ЦТО!$BK$9,ЦТО!#REF!=ЦТО!$BK$10),"Обратить внимание","Отклонений нет")</f>
        <v>#REF!</v>
      </c>
      <c r="W31" s="47" t="e">
        <f>IF(OR(ЦТО!#REF!=ЦТО!$BK$8,ЦТО!#REF!=ЦТО!$BK$9,ЦТО!#REF!=ЦТО!$BK$10),"Обратить внимание","Отклонений нет")</f>
        <v>#REF!</v>
      </c>
      <c r="X31" s="47" t="e">
        <f>IF(OR(ЦТО!#REF!=ЦТО!$BK$8,ЦТО!#REF!=ЦТО!$BK$9,ЦТО!#REF!=ЦТО!$BK$10),"Обратить внимание","Отклонений нет")</f>
        <v>#REF!</v>
      </c>
    </row>
    <row r="32" spans="1:24" ht="18" customHeight="1">
      <c r="A32" s="10">
        <v>30</v>
      </c>
      <c r="B32" s="14" t="e">
        <f>IF(ЦТО!#REF!="","",ЦТО!#REF!)</f>
        <v>#REF!</v>
      </c>
      <c r="C32" s="14" t="e">
        <f>IF(ЦТО!#REF!="","",ЦТО!#REF!)</f>
        <v>#REF!</v>
      </c>
      <c r="D32" s="36" t="e">
        <f>IF(ЦТО!#REF!="","",ЦТО!#REF!)</f>
        <v>#REF!</v>
      </c>
      <c r="E3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2" s="47" t="e">
        <f>IF(OR(ЦТО!#REF!=ЦТО!$BK$8,ЦТО!#REF!=ЦТО!$BK$9,ЦТО!#REF!=ЦТО!$BK$10),"Обратить внимание","Отклонений нет")</f>
        <v>#REF!</v>
      </c>
      <c r="K32" s="14" t="e">
        <f>IF(OR(ЦТО!#REF!=ЦТО!$BK$8,ЦТО!#REF!=ЦТО!$BK$9,ЦТО!#REF!=ЦТО!$BK$10),"Обратить внимание","Отклонений нет")</f>
        <v>#REF!</v>
      </c>
      <c r="L32" s="14" t="e">
        <f>IF(OR(ЦТО!#REF!=ЦТО!$BK$8,ЦТО!#REF!=ЦТО!$BK$9,ЦТО!#REF!=ЦТО!$BK$10),"Обратить внимание","Отклонений нет")</f>
        <v>#REF!</v>
      </c>
      <c r="M32" s="14" t="e">
        <f>IF(OR(ЦТО!#REF!=ЦТО!$BK$8,ЦТО!#REF!=ЦТО!$BK$9,ЦТО!#REF!=ЦТО!$BK$10),"Обратить внимание","Отклонений нет")</f>
        <v>#REF!</v>
      </c>
      <c r="N32" s="14" t="e">
        <f>IF(OR(ЦТО!#REF!=ЦТО!$BK$8,ЦТО!#REF!=ЦТО!$BK$9,ЦТО!#REF!=ЦТО!$BK$10),"Обратить внимание","Отклонений нет")</f>
        <v>#REF!</v>
      </c>
      <c r="O32" s="14" t="e">
        <f>IF(OR(ЦТО!#REF!=ЦТО!$BK$8,ЦТО!#REF!=ЦТО!$BK$9,ЦТО!#REF!=ЦТО!$BK$10),"Обратить внимание","Отклонений нет")</f>
        <v>#REF!</v>
      </c>
      <c r="P32" s="14" t="e">
        <f>IF(OR(ЦТО!#REF!=ЦТО!$BK$8,ЦТО!#REF!=ЦТО!$BK$9,ЦТО!#REF!=ЦТО!$BK$10),"Обратить внимание","Отклонений нет")</f>
        <v>#REF!</v>
      </c>
      <c r="Q32" s="14" t="e">
        <f>IF(OR(ЦТО!#REF!=ЦТО!$BK$8,ЦТО!#REF!=ЦТО!$BK$9,ЦТО!#REF!=ЦТО!$BK$10),"Обратить внимание","Отклонений нет")</f>
        <v>#REF!</v>
      </c>
      <c r="R32" s="14" t="e">
        <f>IF(OR(ЦТО!#REF!=ЦТО!$BK$8,ЦТО!#REF!=ЦТО!$BK$9,ЦТО!#REF!=ЦТО!$BK$10),"Обратить внимание","Отклонений нет")</f>
        <v>#REF!</v>
      </c>
      <c r="S32" s="14" t="e">
        <f>IF(OR(ЦТО!#REF!=ЦТО!$BK$8,ЦТО!#REF!=ЦТО!$BK$9,ЦТО!#REF!=ЦТО!$BK$10),"Обратить внимание","Отклонений нет")</f>
        <v>#REF!</v>
      </c>
      <c r="T32" s="14" t="e">
        <f>IF(OR(ЦТО!#REF!=ЦТО!$BK$8,ЦТО!#REF!=ЦТО!$BK$9,ЦТО!#REF!=ЦТО!$BK$10),"Обратить внимание","Отклонений нет")</f>
        <v>#REF!</v>
      </c>
      <c r="U32" s="14" t="e">
        <f>IF(OR(ЦТО!#REF!=ЦТО!$BK$8,ЦТО!#REF!=ЦТО!$BK$9,ЦТО!#REF!=ЦТО!$BK$10),"Обратить внимание","Отклонений нет")</f>
        <v>#REF!</v>
      </c>
      <c r="V32" s="47" t="e">
        <f>IF(OR(ЦТО!#REF!=ЦТО!$BK$8,ЦТО!#REF!=ЦТО!$BK$9,ЦТО!#REF!=ЦТО!$BK$10),"Обратить внимание","Отклонений нет")</f>
        <v>#REF!</v>
      </c>
      <c r="W32" s="47" t="e">
        <f>IF(OR(ЦТО!#REF!=ЦТО!$BK$8,ЦТО!#REF!=ЦТО!$BK$9,ЦТО!#REF!=ЦТО!$BK$10),"Обратить внимание","Отклонений нет")</f>
        <v>#REF!</v>
      </c>
      <c r="X32" s="47" t="e">
        <f>IF(OR(ЦТО!#REF!=ЦТО!$BK$8,ЦТО!#REF!=ЦТО!$BK$9,ЦТО!#REF!=ЦТО!$BK$10),"Обратить внимание","Отклонений нет")</f>
        <v>#REF!</v>
      </c>
    </row>
    <row r="33" spans="1:24" ht="18" customHeight="1">
      <c r="A33" s="10">
        <v>31</v>
      </c>
      <c r="B33" s="14" t="e">
        <f>IF(ЦТО!#REF!="","",ЦТО!#REF!)</f>
        <v>#REF!</v>
      </c>
      <c r="C33" s="14" t="e">
        <f>IF(ЦТО!#REF!="","",ЦТО!#REF!)</f>
        <v>#REF!</v>
      </c>
      <c r="D33" s="36" t="e">
        <f>IF(ЦТО!#REF!="","",ЦТО!#REF!)</f>
        <v>#REF!</v>
      </c>
      <c r="E3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3" s="47" t="e">
        <f>IF(OR(ЦТО!#REF!=ЦТО!$BK$8,ЦТО!#REF!=ЦТО!$BK$9,ЦТО!#REF!=ЦТО!$BK$10),"Обратить внимание","Отклонений нет")</f>
        <v>#REF!</v>
      </c>
      <c r="K33" s="14" t="e">
        <f>IF(OR(ЦТО!#REF!=ЦТО!$BK$8,ЦТО!#REF!=ЦТО!$BK$9,ЦТО!#REF!=ЦТО!$BK$10),"Обратить внимание","Отклонений нет")</f>
        <v>#REF!</v>
      </c>
      <c r="L33" s="14" t="e">
        <f>IF(OR(ЦТО!#REF!=ЦТО!$BK$8,ЦТО!#REF!=ЦТО!$BK$9,ЦТО!#REF!=ЦТО!$BK$10),"Обратить внимание","Отклонений нет")</f>
        <v>#REF!</v>
      </c>
      <c r="M33" s="14" t="e">
        <f>IF(OR(ЦТО!#REF!=ЦТО!$BK$8,ЦТО!#REF!=ЦТО!$BK$9,ЦТО!#REF!=ЦТО!$BK$10),"Обратить внимание","Отклонений нет")</f>
        <v>#REF!</v>
      </c>
      <c r="N33" s="14" t="e">
        <f>IF(OR(ЦТО!#REF!=ЦТО!$BK$8,ЦТО!#REF!=ЦТО!$BK$9,ЦТО!#REF!=ЦТО!$BK$10),"Обратить внимание","Отклонений нет")</f>
        <v>#REF!</v>
      </c>
      <c r="O33" s="14" t="e">
        <f>IF(OR(ЦТО!#REF!=ЦТО!$BK$8,ЦТО!#REF!=ЦТО!$BK$9,ЦТО!#REF!=ЦТО!$BK$10),"Обратить внимание","Отклонений нет")</f>
        <v>#REF!</v>
      </c>
      <c r="P33" s="14" t="e">
        <f>IF(OR(ЦТО!#REF!=ЦТО!$BK$8,ЦТО!#REF!=ЦТО!$BK$9,ЦТО!#REF!=ЦТО!$BK$10),"Обратить внимание","Отклонений нет")</f>
        <v>#REF!</v>
      </c>
      <c r="Q33" s="14" t="e">
        <f>IF(OR(ЦТО!#REF!=ЦТО!$BK$8,ЦТО!#REF!=ЦТО!$BK$9,ЦТО!#REF!=ЦТО!$BK$10),"Обратить внимание","Отклонений нет")</f>
        <v>#REF!</v>
      </c>
      <c r="R33" s="14" t="e">
        <f>IF(OR(ЦТО!#REF!=ЦТО!$BK$8,ЦТО!#REF!=ЦТО!$BK$9,ЦТО!#REF!=ЦТО!$BK$10),"Обратить внимание","Отклонений нет")</f>
        <v>#REF!</v>
      </c>
      <c r="S33" s="14" t="e">
        <f>IF(OR(ЦТО!#REF!=ЦТО!$BK$8,ЦТО!#REF!=ЦТО!$BK$9,ЦТО!#REF!=ЦТО!$BK$10),"Обратить внимание","Отклонений нет")</f>
        <v>#REF!</v>
      </c>
      <c r="T33" s="14" t="e">
        <f>IF(OR(ЦТО!#REF!=ЦТО!$BK$8,ЦТО!#REF!=ЦТО!$BK$9,ЦТО!#REF!=ЦТО!$BK$10),"Обратить внимание","Отклонений нет")</f>
        <v>#REF!</v>
      </c>
      <c r="U33" s="14" t="e">
        <f>IF(OR(ЦТО!#REF!=ЦТО!$BK$8,ЦТО!#REF!=ЦТО!$BK$9,ЦТО!#REF!=ЦТО!$BK$10),"Обратить внимание","Отклонений нет")</f>
        <v>#REF!</v>
      </c>
      <c r="V33" s="47" t="e">
        <f>IF(OR(ЦТО!#REF!=ЦТО!$BK$8,ЦТО!#REF!=ЦТО!$BK$9,ЦТО!#REF!=ЦТО!$BK$10),"Обратить внимание","Отклонений нет")</f>
        <v>#REF!</v>
      </c>
      <c r="W33" s="47" t="e">
        <f>IF(OR(ЦТО!#REF!=ЦТО!$BK$8,ЦТО!#REF!=ЦТО!$BK$9,ЦТО!#REF!=ЦТО!$BK$10),"Обратить внимание","Отклонений нет")</f>
        <v>#REF!</v>
      </c>
      <c r="X33" s="47" t="e">
        <f>IF(OR(ЦТО!#REF!=ЦТО!$BK$8,ЦТО!#REF!=ЦТО!$BK$9,ЦТО!#REF!=ЦТО!$BK$10),"Обратить внимание","Отклонений нет")</f>
        <v>#REF!</v>
      </c>
    </row>
    <row r="34" spans="1:24" ht="18" customHeight="1">
      <c r="A34" s="10">
        <v>32</v>
      </c>
      <c r="B34" s="14" t="e">
        <f>IF(ЦТО!#REF!="","",ЦТО!#REF!)</f>
        <v>#REF!</v>
      </c>
      <c r="C34" s="14" t="e">
        <f>IF(ЦТО!#REF!="","",ЦТО!#REF!)</f>
        <v>#REF!</v>
      </c>
      <c r="D34" s="36" t="e">
        <f>IF(ЦТО!#REF!="","",ЦТО!#REF!)</f>
        <v>#REF!</v>
      </c>
      <c r="E3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4" s="47" t="e">
        <f>IF(OR(ЦТО!#REF!=ЦТО!$BK$8,ЦТО!#REF!=ЦТО!$BK$9,ЦТО!#REF!=ЦТО!$BK$10),"Обратить внимание","Отклонений нет")</f>
        <v>#REF!</v>
      </c>
      <c r="K34" s="14" t="e">
        <f>IF(OR(ЦТО!#REF!=ЦТО!$BK$8,ЦТО!#REF!=ЦТО!$BK$9,ЦТО!#REF!=ЦТО!$BK$10),"Обратить внимание","Отклонений нет")</f>
        <v>#REF!</v>
      </c>
      <c r="L34" s="14" t="e">
        <f>IF(OR(ЦТО!#REF!=ЦТО!$BK$8,ЦТО!#REF!=ЦТО!$BK$9,ЦТО!#REF!=ЦТО!$BK$10),"Обратить внимание","Отклонений нет")</f>
        <v>#REF!</v>
      </c>
      <c r="M34" s="14" t="e">
        <f>IF(OR(ЦТО!#REF!=ЦТО!$BK$8,ЦТО!#REF!=ЦТО!$BK$9,ЦТО!#REF!=ЦТО!$BK$10),"Обратить внимание","Отклонений нет")</f>
        <v>#REF!</v>
      </c>
      <c r="N34" s="14" t="e">
        <f>IF(OR(ЦТО!#REF!=ЦТО!$BK$8,ЦТО!#REF!=ЦТО!$BK$9,ЦТО!#REF!=ЦТО!$BK$10),"Обратить внимание","Отклонений нет")</f>
        <v>#REF!</v>
      </c>
      <c r="O34" s="14" t="e">
        <f>IF(OR(ЦТО!#REF!=ЦТО!$BK$8,ЦТО!#REF!=ЦТО!$BK$9,ЦТО!#REF!=ЦТО!$BK$10),"Обратить внимание","Отклонений нет")</f>
        <v>#REF!</v>
      </c>
      <c r="P34" s="14" t="e">
        <f>IF(OR(ЦТО!#REF!=ЦТО!$BK$8,ЦТО!#REF!=ЦТО!$BK$9,ЦТО!#REF!=ЦТО!$BK$10),"Обратить внимание","Отклонений нет")</f>
        <v>#REF!</v>
      </c>
      <c r="Q34" s="14" t="e">
        <f>IF(OR(ЦТО!#REF!=ЦТО!$BK$8,ЦТО!#REF!=ЦТО!$BK$9,ЦТО!#REF!=ЦТО!$BK$10),"Обратить внимание","Отклонений нет")</f>
        <v>#REF!</v>
      </c>
      <c r="R34" s="14" t="e">
        <f>IF(OR(ЦТО!#REF!=ЦТО!$BK$8,ЦТО!#REF!=ЦТО!$BK$9,ЦТО!#REF!=ЦТО!$BK$10),"Обратить внимание","Отклонений нет")</f>
        <v>#REF!</v>
      </c>
      <c r="S34" s="14" t="e">
        <f>IF(OR(ЦТО!#REF!=ЦТО!$BK$8,ЦТО!#REF!=ЦТО!$BK$9,ЦТО!#REF!=ЦТО!$BK$10),"Обратить внимание","Отклонений нет")</f>
        <v>#REF!</v>
      </c>
      <c r="T34" s="14" t="e">
        <f>IF(OR(ЦТО!#REF!=ЦТО!$BK$8,ЦТО!#REF!=ЦТО!$BK$9,ЦТО!#REF!=ЦТО!$BK$10),"Обратить внимание","Отклонений нет")</f>
        <v>#REF!</v>
      </c>
      <c r="U34" s="14" t="e">
        <f>IF(OR(ЦТО!#REF!=ЦТО!$BK$8,ЦТО!#REF!=ЦТО!$BK$9,ЦТО!#REF!=ЦТО!$BK$10),"Обратить внимание","Отклонений нет")</f>
        <v>#REF!</v>
      </c>
      <c r="V34" s="47" t="e">
        <f>IF(OR(ЦТО!#REF!=ЦТО!$BK$8,ЦТО!#REF!=ЦТО!$BK$9,ЦТО!#REF!=ЦТО!$BK$10),"Обратить внимание","Отклонений нет")</f>
        <v>#REF!</v>
      </c>
      <c r="W34" s="47" t="e">
        <f>IF(OR(ЦТО!#REF!=ЦТО!$BK$8,ЦТО!#REF!=ЦТО!$BK$9,ЦТО!#REF!=ЦТО!$BK$10),"Обратить внимание","Отклонений нет")</f>
        <v>#REF!</v>
      </c>
      <c r="X34" s="47" t="e">
        <f>IF(OR(ЦТО!#REF!=ЦТО!$BK$8,ЦТО!#REF!=ЦТО!$BK$9,ЦТО!#REF!=ЦТО!$BK$10),"Обратить внимание","Отклонений нет")</f>
        <v>#REF!</v>
      </c>
    </row>
    <row r="35" spans="1:24" ht="18" customHeight="1">
      <c r="A35" s="10">
        <v>33</v>
      </c>
      <c r="B35" s="14" t="e">
        <f>IF(ЦТО!#REF!="","",ЦТО!#REF!)</f>
        <v>#REF!</v>
      </c>
      <c r="C35" s="14" t="e">
        <f>IF(ЦТО!#REF!="","",ЦТО!#REF!)</f>
        <v>#REF!</v>
      </c>
      <c r="D35" s="36" t="e">
        <f>IF(ЦТО!#REF!="","",ЦТО!#REF!)</f>
        <v>#REF!</v>
      </c>
      <c r="E3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5" s="47" t="e">
        <f>IF(OR(ЦТО!#REF!=ЦТО!$BK$8,ЦТО!#REF!=ЦТО!$BK$9,ЦТО!#REF!=ЦТО!$BK$10),"Обратить внимание","Отклонений нет")</f>
        <v>#REF!</v>
      </c>
      <c r="K35" s="14" t="e">
        <f>IF(OR(ЦТО!#REF!=ЦТО!$BK$8,ЦТО!#REF!=ЦТО!$BK$9,ЦТО!#REF!=ЦТО!$BK$10),"Обратить внимание","Отклонений нет")</f>
        <v>#REF!</v>
      </c>
      <c r="L35" s="14" t="e">
        <f>IF(OR(ЦТО!#REF!=ЦТО!$BK$8,ЦТО!#REF!=ЦТО!$BK$9,ЦТО!#REF!=ЦТО!$BK$10),"Обратить внимание","Отклонений нет")</f>
        <v>#REF!</v>
      </c>
      <c r="M35" s="14" t="e">
        <f>IF(OR(ЦТО!#REF!=ЦТО!$BK$8,ЦТО!#REF!=ЦТО!$BK$9,ЦТО!#REF!=ЦТО!$BK$10),"Обратить внимание","Отклонений нет")</f>
        <v>#REF!</v>
      </c>
      <c r="N35" s="14" t="e">
        <f>IF(OR(ЦТО!#REF!=ЦТО!$BK$8,ЦТО!#REF!=ЦТО!$BK$9,ЦТО!#REF!=ЦТО!$BK$10),"Обратить внимание","Отклонений нет")</f>
        <v>#REF!</v>
      </c>
      <c r="O35" s="14" t="e">
        <f>IF(OR(ЦТО!#REF!=ЦТО!$BK$8,ЦТО!#REF!=ЦТО!$BK$9,ЦТО!#REF!=ЦТО!$BK$10),"Обратить внимание","Отклонений нет")</f>
        <v>#REF!</v>
      </c>
      <c r="P35" s="14" t="e">
        <f>IF(OR(ЦТО!#REF!=ЦТО!$BK$8,ЦТО!#REF!=ЦТО!$BK$9,ЦТО!#REF!=ЦТО!$BK$10),"Обратить внимание","Отклонений нет")</f>
        <v>#REF!</v>
      </c>
      <c r="Q35" s="14" t="e">
        <f>IF(OR(ЦТО!#REF!=ЦТО!$BK$8,ЦТО!#REF!=ЦТО!$BK$9,ЦТО!#REF!=ЦТО!$BK$10),"Обратить внимание","Отклонений нет")</f>
        <v>#REF!</v>
      </c>
      <c r="R35" s="14" t="e">
        <f>IF(OR(ЦТО!#REF!=ЦТО!$BK$8,ЦТО!#REF!=ЦТО!$BK$9,ЦТО!#REF!=ЦТО!$BK$10),"Обратить внимание","Отклонений нет")</f>
        <v>#REF!</v>
      </c>
      <c r="S35" s="14" t="e">
        <f>IF(OR(ЦТО!#REF!=ЦТО!$BK$8,ЦТО!#REF!=ЦТО!$BK$9,ЦТО!#REF!=ЦТО!$BK$10),"Обратить внимание","Отклонений нет")</f>
        <v>#REF!</v>
      </c>
      <c r="T35" s="14" t="e">
        <f>IF(OR(ЦТО!#REF!=ЦТО!$BK$8,ЦТО!#REF!=ЦТО!$BK$9,ЦТО!#REF!=ЦТО!$BK$10),"Обратить внимание","Отклонений нет")</f>
        <v>#REF!</v>
      </c>
      <c r="U35" s="14" t="e">
        <f>IF(OR(ЦТО!#REF!=ЦТО!$BK$8,ЦТО!#REF!=ЦТО!$BK$9,ЦТО!#REF!=ЦТО!$BK$10),"Обратить внимание","Отклонений нет")</f>
        <v>#REF!</v>
      </c>
      <c r="V35" s="47" t="e">
        <f>IF(OR(ЦТО!#REF!=ЦТО!$BK$8,ЦТО!#REF!=ЦТО!$BK$9,ЦТО!#REF!=ЦТО!$BK$10),"Обратить внимание","Отклонений нет")</f>
        <v>#REF!</v>
      </c>
      <c r="W35" s="47" t="e">
        <f>IF(OR(ЦТО!#REF!=ЦТО!$BK$8,ЦТО!#REF!=ЦТО!$BK$9,ЦТО!#REF!=ЦТО!$BK$10),"Обратить внимание","Отклонений нет")</f>
        <v>#REF!</v>
      </c>
      <c r="X35" s="47" t="e">
        <f>IF(OR(ЦТО!#REF!=ЦТО!$BK$8,ЦТО!#REF!=ЦТО!$BK$9,ЦТО!#REF!=ЦТО!$BK$10),"Обратить внимание","Отклонений нет")</f>
        <v>#REF!</v>
      </c>
    </row>
    <row r="36" spans="1:24" ht="18" customHeight="1">
      <c r="A36" s="10">
        <v>34</v>
      </c>
      <c r="B36" s="14" t="e">
        <f>IF(ЦТО!#REF!="","",ЦТО!#REF!)</f>
        <v>#REF!</v>
      </c>
      <c r="C36" s="14" t="e">
        <f>IF(ЦТО!#REF!="","",ЦТО!#REF!)</f>
        <v>#REF!</v>
      </c>
      <c r="D36" s="36" t="e">
        <f>IF(ЦТО!#REF!="","",ЦТО!#REF!)</f>
        <v>#REF!</v>
      </c>
      <c r="E3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6" s="47" t="e">
        <f>IF(OR(ЦТО!#REF!=ЦТО!$BK$8,ЦТО!#REF!=ЦТО!$BK$9,ЦТО!#REF!=ЦТО!$BK$10),"Обратить внимание","Отклонений нет")</f>
        <v>#REF!</v>
      </c>
      <c r="K36" s="14" t="e">
        <f>IF(OR(ЦТО!#REF!=ЦТО!$BK$8,ЦТО!#REF!=ЦТО!$BK$9,ЦТО!#REF!=ЦТО!$BK$10),"Обратить внимание","Отклонений нет")</f>
        <v>#REF!</v>
      </c>
      <c r="L36" s="14" t="e">
        <f>IF(OR(ЦТО!#REF!=ЦТО!$BK$8,ЦТО!#REF!=ЦТО!$BK$9,ЦТО!#REF!=ЦТО!$BK$10),"Обратить внимание","Отклонений нет")</f>
        <v>#REF!</v>
      </c>
      <c r="M36" s="14" t="e">
        <f>IF(OR(ЦТО!#REF!=ЦТО!$BK$8,ЦТО!#REF!=ЦТО!$BK$9,ЦТО!#REF!=ЦТО!$BK$10),"Обратить внимание","Отклонений нет")</f>
        <v>#REF!</v>
      </c>
      <c r="N36" s="14" t="e">
        <f>IF(OR(ЦТО!#REF!=ЦТО!$BK$8,ЦТО!#REF!=ЦТО!$BK$9,ЦТО!#REF!=ЦТО!$BK$10),"Обратить внимание","Отклонений нет")</f>
        <v>#REF!</v>
      </c>
      <c r="O36" s="14" t="e">
        <f>IF(OR(ЦТО!#REF!=ЦТО!$BK$8,ЦТО!#REF!=ЦТО!$BK$9,ЦТО!#REF!=ЦТО!$BK$10),"Обратить внимание","Отклонений нет")</f>
        <v>#REF!</v>
      </c>
      <c r="P36" s="14" t="e">
        <f>IF(OR(ЦТО!#REF!=ЦТО!$BK$8,ЦТО!#REF!=ЦТО!$BK$9,ЦТО!#REF!=ЦТО!$BK$10),"Обратить внимание","Отклонений нет")</f>
        <v>#REF!</v>
      </c>
      <c r="Q36" s="14" t="e">
        <f>IF(OR(ЦТО!#REF!=ЦТО!$BK$8,ЦТО!#REF!=ЦТО!$BK$9,ЦТО!#REF!=ЦТО!$BK$10),"Обратить внимание","Отклонений нет")</f>
        <v>#REF!</v>
      </c>
      <c r="R36" s="14" t="e">
        <f>IF(OR(ЦТО!#REF!=ЦТО!$BK$8,ЦТО!#REF!=ЦТО!$BK$9,ЦТО!#REF!=ЦТО!$BK$10),"Обратить внимание","Отклонений нет")</f>
        <v>#REF!</v>
      </c>
      <c r="S36" s="14" t="e">
        <f>IF(OR(ЦТО!#REF!=ЦТО!$BK$8,ЦТО!#REF!=ЦТО!$BK$9,ЦТО!#REF!=ЦТО!$BK$10),"Обратить внимание","Отклонений нет")</f>
        <v>#REF!</v>
      </c>
      <c r="T36" s="14" t="e">
        <f>IF(OR(ЦТО!#REF!=ЦТО!$BK$8,ЦТО!#REF!=ЦТО!$BK$9,ЦТО!#REF!=ЦТО!$BK$10),"Обратить внимание","Отклонений нет")</f>
        <v>#REF!</v>
      </c>
      <c r="U36" s="14" t="e">
        <f>IF(OR(ЦТО!#REF!=ЦТО!$BK$8,ЦТО!#REF!=ЦТО!$BK$9,ЦТО!#REF!=ЦТО!$BK$10),"Обратить внимание","Отклонений нет")</f>
        <v>#REF!</v>
      </c>
      <c r="V36" s="47" t="e">
        <f>IF(OR(ЦТО!#REF!=ЦТО!$BK$8,ЦТО!#REF!=ЦТО!$BK$9,ЦТО!#REF!=ЦТО!$BK$10),"Обратить внимание","Отклонений нет")</f>
        <v>#REF!</v>
      </c>
      <c r="W36" s="47" t="e">
        <f>IF(OR(ЦТО!#REF!=ЦТО!$BK$8,ЦТО!#REF!=ЦТО!$BK$9,ЦТО!#REF!=ЦТО!$BK$10),"Обратить внимание","Отклонений нет")</f>
        <v>#REF!</v>
      </c>
      <c r="X36" s="47" t="e">
        <f>IF(OR(ЦТО!#REF!=ЦТО!$BK$8,ЦТО!#REF!=ЦТО!$BK$9,ЦТО!#REF!=ЦТО!$BK$10),"Обратить внимание","Отклонений нет")</f>
        <v>#REF!</v>
      </c>
    </row>
    <row r="37" spans="1:24" ht="18" customHeight="1">
      <c r="A37" s="10">
        <v>35</v>
      </c>
      <c r="B37" s="14" t="e">
        <f>IF(ЦТО!#REF!="","",ЦТО!#REF!)</f>
        <v>#REF!</v>
      </c>
      <c r="C37" s="14" t="e">
        <f>IF(ЦТО!#REF!="","",ЦТО!#REF!)</f>
        <v>#REF!</v>
      </c>
      <c r="D37" s="36" t="e">
        <f>IF(ЦТО!#REF!="","",ЦТО!#REF!)</f>
        <v>#REF!</v>
      </c>
      <c r="E3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7" s="47" t="e">
        <f>IF(OR(ЦТО!#REF!=ЦТО!$BK$8,ЦТО!#REF!=ЦТО!$BK$9,ЦТО!#REF!=ЦТО!$BK$10),"Обратить внимание","Отклонений нет")</f>
        <v>#REF!</v>
      </c>
      <c r="K37" s="14" t="e">
        <f>IF(OR(ЦТО!#REF!=ЦТО!$BK$8,ЦТО!#REF!=ЦТО!$BK$9,ЦТО!#REF!=ЦТО!$BK$10),"Обратить внимание","Отклонений нет")</f>
        <v>#REF!</v>
      </c>
      <c r="L37" s="14" t="e">
        <f>IF(OR(ЦТО!#REF!=ЦТО!$BK$8,ЦТО!#REF!=ЦТО!$BK$9,ЦТО!#REF!=ЦТО!$BK$10),"Обратить внимание","Отклонений нет")</f>
        <v>#REF!</v>
      </c>
      <c r="M37" s="14" t="e">
        <f>IF(OR(ЦТО!#REF!=ЦТО!$BK$8,ЦТО!#REF!=ЦТО!$BK$9,ЦТО!#REF!=ЦТО!$BK$10),"Обратить внимание","Отклонений нет")</f>
        <v>#REF!</v>
      </c>
      <c r="N37" s="14" t="e">
        <f>IF(OR(ЦТО!#REF!=ЦТО!$BK$8,ЦТО!#REF!=ЦТО!$BK$9,ЦТО!#REF!=ЦТО!$BK$10),"Обратить внимание","Отклонений нет")</f>
        <v>#REF!</v>
      </c>
      <c r="O37" s="14" t="e">
        <f>IF(OR(ЦТО!#REF!=ЦТО!$BK$8,ЦТО!#REF!=ЦТО!$BK$9,ЦТО!#REF!=ЦТО!$BK$10),"Обратить внимание","Отклонений нет")</f>
        <v>#REF!</v>
      </c>
      <c r="P37" s="14" t="e">
        <f>IF(OR(ЦТО!#REF!=ЦТО!$BK$8,ЦТО!#REF!=ЦТО!$BK$9,ЦТО!#REF!=ЦТО!$BK$10),"Обратить внимание","Отклонений нет")</f>
        <v>#REF!</v>
      </c>
      <c r="Q37" s="14" t="e">
        <f>IF(OR(ЦТО!#REF!=ЦТО!$BK$8,ЦТО!#REF!=ЦТО!$BK$9,ЦТО!#REF!=ЦТО!$BK$10),"Обратить внимание","Отклонений нет")</f>
        <v>#REF!</v>
      </c>
      <c r="R37" s="14" t="e">
        <f>IF(OR(ЦТО!#REF!=ЦТО!$BK$8,ЦТО!#REF!=ЦТО!$BK$9,ЦТО!#REF!=ЦТО!$BK$10),"Обратить внимание","Отклонений нет")</f>
        <v>#REF!</v>
      </c>
      <c r="S37" s="14" t="e">
        <f>IF(OR(ЦТО!#REF!=ЦТО!$BK$8,ЦТО!#REF!=ЦТО!$BK$9,ЦТО!#REF!=ЦТО!$BK$10),"Обратить внимание","Отклонений нет")</f>
        <v>#REF!</v>
      </c>
      <c r="T37" s="14" t="e">
        <f>IF(OR(ЦТО!#REF!=ЦТО!$BK$8,ЦТО!#REF!=ЦТО!$BK$9,ЦТО!#REF!=ЦТО!$BK$10),"Обратить внимание","Отклонений нет")</f>
        <v>#REF!</v>
      </c>
      <c r="U37" s="14" t="e">
        <f>IF(OR(ЦТО!#REF!=ЦТО!$BK$8,ЦТО!#REF!=ЦТО!$BK$9,ЦТО!#REF!=ЦТО!$BK$10),"Обратить внимание","Отклонений нет")</f>
        <v>#REF!</v>
      </c>
      <c r="V37" s="47" t="e">
        <f>IF(OR(ЦТО!#REF!=ЦТО!$BK$8,ЦТО!#REF!=ЦТО!$BK$9,ЦТО!#REF!=ЦТО!$BK$10),"Обратить внимание","Отклонений нет")</f>
        <v>#REF!</v>
      </c>
      <c r="W37" s="47" t="e">
        <f>IF(OR(ЦТО!#REF!=ЦТО!$BK$8,ЦТО!#REF!=ЦТО!$BK$9,ЦТО!#REF!=ЦТО!$BK$10),"Обратить внимание","Отклонений нет")</f>
        <v>#REF!</v>
      </c>
      <c r="X37" s="47" t="e">
        <f>IF(OR(ЦТО!#REF!=ЦТО!$BK$8,ЦТО!#REF!=ЦТО!$BK$9,ЦТО!#REF!=ЦТО!$BK$10),"Обратить внимание","Отклонений нет")</f>
        <v>#REF!</v>
      </c>
    </row>
    <row r="38" spans="1:24" ht="18" customHeight="1">
      <c r="A38" s="10">
        <v>36</v>
      </c>
      <c r="B38" s="14" t="e">
        <f>IF(ЦТО!#REF!="","",ЦТО!#REF!)</f>
        <v>#REF!</v>
      </c>
      <c r="C38" s="14" t="e">
        <f>IF(ЦТО!#REF!="","",ЦТО!#REF!)</f>
        <v>#REF!</v>
      </c>
      <c r="D38" s="36" t="e">
        <f>IF(ЦТО!#REF!="","",ЦТО!#REF!)</f>
        <v>#REF!</v>
      </c>
      <c r="E3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8" s="47" t="e">
        <f>IF(OR(ЦТО!#REF!=ЦТО!$BK$8,ЦТО!#REF!=ЦТО!$BK$9,ЦТО!#REF!=ЦТО!$BK$10),"Обратить внимание","Отклонений нет")</f>
        <v>#REF!</v>
      </c>
      <c r="K38" s="14" t="e">
        <f>IF(OR(ЦТО!#REF!=ЦТО!$BK$8,ЦТО!#REF!=ЦТО!$BK$9,ЦТО!#REF!=ЦТО!$BK$10),"Обратить внимание","Отклонений нет")</f>
        <v>#REF!</v>
      </c>
      <c r="L38" s="14" t="e">
        <f>IF(OR(ЦТО!#REF!=ЦТО!$BK$8,ЦТО!#REF!=ЦТО!$BK$9,ЦТО!#REF!=ЦТО!$BK$10),"Обратить внимание","Отклонений нет")</f>
        <v>#REF!</v>
      </c>
      <c r="M38" s="14" t="e">
        <f>IF(OR(ЦТО!#REF!=ЦТО!$BK$8,ЦТО!#REF!=ЦТО!$BK$9,ЦТО!#REF!=ЦТО!$BK$10),"Обратить внимание","Отклонений нет")</f>
        <v>#REF!</v>
      </c>
      <c r="N38" s="14" t="e">
        <f>IF(OR(ЦТО!#REF!=ЦТО!$BK$8,ЦТО!#REF!=ЦТО!$BK$9,ЦТО!#REF!=ЦТО!$BK$10),"Обратить внимание","Отклонений нет")</f>
        <v>#REF!</v>
      </c>
      <c r="O38" s="14" t="e">
        <f>IF(OR(ЦТО!#REF!=ЦТО!$BK$8,ЦТО!#REF!=ЦТО!$BK$9,ЦТО!#REF!=ЦТО!$BK$10),"Обратить внимание","Отклонений нет")</f>
        <v>#REF!</v>
      </c>
      <c r="P38" s="14" t="e">
        <f>IF(OR(ЦТО!#REF!=ЦТО!$BK$8,ЦТО!#REF!=ЦТО!$BK$9,ЦТО!#REF!=ЦТО!$BK$10),"Обратить внимание","Отклонений нет")</f>
        <v>#REF!</v>
      </c>
      <c r="Q38" s="14" t="e">
        <f>IF(OR(ЦТО!#REF!=ЦТО!$BK$8,ЦТО!#REF!=ЦТО!$BK$9,ЦТО!#REF!=ЦТО!$BK$10),"Обратить внимание","Отклонений нет")</f>
        <v>#REF!</v>
      </c>
      <c r="R38" s="14" t="e">
        <f>IF(OR(ЦТО!#REF!=ЦТО!$BK$8,ЦТО!#REF!=ЦТО!$BK$9,ЦТО!#REF!=ЦТО!$BK$10),"Обратить внимание","Отклонений нет")</f>
        <v>#REF!</v>
      </c>
      <c r="S38" s="14" t="e">
        <f>IF(OR(ЦТО!#REF!=ЦТО!$BK$8,ЦТО!#REF!=ЦТО!$BK$9,ЦТО!#REF!=ЦТО!$BK$10),"Обратить внимание","Отклонений нет")</f>
        <v>#REF!</v>
      </c>
      <c r="T38" s="14" t="e">
        <f>IF(OR(ЦТО!#REF!=ЦТО!$BK$8,ЦТО!#REF!=ЦТО!$BK$9,ЦТО!#REF!=ЦТО!$BK$10),"Обратить внимание","Отклонений нет")</f>
        <v>#REF!</v>
      </c>
      <c r="U38" s="14" t="e">
        <f>IF(OR(ЦТО!#REF!=ЦТО!$BK$8,ЦТО!#REF!=ЦТО!$BK$9,ЦТО!#REF!=ЦТО!$BK$10),"Обратить внимание","Отклонений нет")</f>
        <v>#REF!</v>
      </c>
      <c r="V38" s="47" t="e">
        <f>IF(OR(ЦТО!#REF!=ЦТО!$BK$8,ЦТО!#REF!=ЦТО!$BK$9,ЦТО!#REF!=ЦТО!$BK$10),"Обратить внимание","Отклонений нет")</f>
        <v>#REF!</v>
      </c>
      <c r="W38" s="47" t="e">
        <f>IF(OR(ЦТО!#REF!=ЦТО!$BK$8,ЦТО!#REF!=ЦТО!$BK$9,ЦТО!#REF!=ЦТО!$BK$10),"Обратить внимание","Отклонений нет")</f>
        <v>#REF!</v>
      </c>
      <c r="X38" s="47" t="e">
        <f>IF(OR(ЦТО!#REF!=ЦТО!$BK$8,ЦТО!#REF!=ЦТО!$BK$9,ЦТО!#REF!=ЦТО!$BK$10),"Обратить внимание","Отклонений нет")</f>
        <v>#REF!</v>
      </c>
    </row>
    <row r="39" spans="1:24" ht="18" customHeight="1">
      <c r="A39" s="10">
        <v>37</v>
      </c>
      <c r="B39" s="14" t="e">
        <f>IF(ЦТО!#REF!="","",ЦТО!#REF!)</f>
        <v>#REF!</v>
      </c>
      <c r="C39" s="14" t="e">
        <f>IF(ЦТО!#REF!="","",ЦТО!#REF!)</f>
        <v>#REF!</v>
      </c>
      <c r="D39" s="36" t="e">
        <f>IF(ЦТО!#REF!="","",ЦТО!#REF!)</f>
        <v>#REF!</v>
      </c>
      <c r="E3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3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3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3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3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39" s="47" t="e">
        <f>IF(OR(ЦТО!#REF!=ЦТО!$BK$8,ЦТО!#REF!=ЦТО!$BK$9,ЦТО!#REF!=ЦТО!$BK$10),"Обратить внимание","Отклонений нет")</f>
        <v>#REF!</v>
      </c>
      <c r="K39" s="14" t="e">
        <f>IF(OR(ЦТО!#REF!=ЦТО!$BK$8,ЦТО!#REF!=ЦТО!$BK$9,ЦТО!#REF!=ЦТО!$BK$10),"Обратить внимание","Отклонений нет")</f>
        <v>#REF!</v>
      </c>
      <c r="L39" s="14" t="e">
        <f>IF(OR(ЦТО!#REF!=ЦТО!$BK$8,ЦТО!#REF!=ЦТО!$BK$9,ЦТО!#REF!=ЦТО!$BK$10),"Обратить внимание","Отклонений нет")</f>
        <v>#REF!</v>
      </c>
      <c r="M39" s="14" t="e">
        <f>IF(OR(ЦТО!#REF!=ЦТО!$BK$8,ЦТО!#REF!=ЦТО!$BK$9,ЦТО!#REF!=ЦТО!$BK$10),"Обратить внимание","Отклонений нет")</f>
        <v>#REF!</v>
      </c>
      <c r="N39" s="14" t="e">
        <f>IF(OR(ЦТО!#REF!=ЦТО!$BK$8,ЦТО!#REF!=ЦТО!$BK$9,ЦТО!#REF!=ЦТО!$BK$10),"Обратить внимание","Отклонений нет")</f>
        <v>#REF!</v>
      </c>
      <c r="O39" s="14" t="e">
        <f>IF(OR(ЦТО!#REF!=ЦТО!$BK$8,ЦТО!#REF!=ЦТО!$BK$9,ЦТО!#REF!=ЦТО!$BK$10),"Обратить внимание","Отклонений нет")</f>
        <v>#REF!</v>
      </c>
      <c r="P39" s="14" t="e">
        <f>IF(OR(ЦТО!#REF!=ЦТО!$BK$8,ЦТО!#REF!=ЦТО!$BK$9,ЦТО!#REF!=ЦТО!$BK$10),"Обратить внимание","Отклонений нет")</f>
        <v>#REF!</v>
      </c>
      <c r="Q39" s="14" t="e">
        <f>IF(OR(ЦТО!#REF!=ЦТО!$BK$8,ЦТО!#REF!=ЦТО!$BK$9,ЦТО!#REF!=ЦТО!$BK$10),"Обратить внимание","Отклонений нет")</f>
        <v>#REF!</v>
      </c>
      <c r="R39" s="14" t="e">
        <f>IF(OR(ЦТО!#REF!=ЦТО!$BK$8,ЦТО!#REF!=ЦТО!$BK$9,ЦТО!#REF!=ЦТО!$BK$10),"Обратить внимание","Отклонений нет")</f>
        <v>#REF!</v>
      </c>
      <c r="S39" s="14" t="e">
        <f>IF(OR(ЦТО!#REF!=ЦТО!$BK$8,ЦТО!#REF!=ЦТО!$BK$9,ЦТО!#REF!=ЦТО!$BK$10),"Обратить внимание","Отклонений нет")</f>
        <v>#REF!</v>
      </c>
      <c r="T39" s="14" t="e">
        <f>IF(OR(ЦТО!#REF!=ЦТО!$BK$8,ЦТО!#REF!=ЦТО!$BK$9,ЦТО!#REF!=ЦТО!$BK$10),"Обратить внимание","Отклонений нет")</f>
        <v>#REF!</v>
      </c>
      <c r="U39" s="14" t="e">
        <f>IF(OR(ЦТО!#REF!=ЦТО!$BK$8,ЦТО!#REF!=ЦТО!$BK$9,ЦТО!#REF!=ЦТО!$BK$10),"Обратить внимание","Отклонений нет")</f>
        <v>#REF!</v>
      </c>
      <c r="V39" s="47" t="e">
        <f>IF(OR(ЦТО!#REF!=ЦТО!$BK$8,ЦТО!#REF!=ЦТО!$BK$9,ЦТО!#REF!=ЦТО!$BK$10),"Обратить внимание","Отклонений нет")</f>
        <v>#REF!</v>
      </c>
      <c r="W39" s="47" t="e">
        <f>IF(OR(ЦТО!#REF!=ЦТО!$BK$8,ЦТО!#REF!=ЦТО!$BK$9,ЦТО!#REF!=ЦТО!$BK$10),"Обратить внимание","Отклонений нет")</f>
        <v>#REF!</v>
      </c>
      <c r="X39" s="47" t="e">
        <f>IF(OR(ЦТО!#REF!=ЦТО!$BK$8,ЦТО!#REF!=ЦТО!$BK$9,ЦТО!#REF!=ЦТО!$BK$10),"Обратить внимание","Отклонений нет")</f>
        <v>#REF!</v>
      </c>
    </row>
    <row r="40" spans="1:24" ht="18" customHeight="1">
      <c r="A40" s="10">
        <v>38</v>
      </c>
      <c r="B40" s="14" t="e">
        <f>IF(ЦТО!#REF!="","",ЦТО!#REF!)</f>
        <v>#REF!</v>
      </c>
      <c r="C40" s="14" t="e">
        <f>IF(ЦТО!#REF!="","",ЦТО!#REF!)</f>
        <v>#REF!</v>
      </c>
      <c r="D40" s="36" t="e">
        <f>IF(ЦТО!#REF!="","",ЦТО!#REF!)</f>
        <v>#REF!</v>
      </c>
      <c r="E4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0" s="47" t="e">
        <f>IF(OR(ЦТО!#REF!=ЦТО!$BK$8,ЦТО!#REF!=ЦТО!$BK$9,ЦТО!#REF!=ЦТО!$BK$10),"Обратить внимание","Отклонений нет")</f>
        <v>#REF!</v>
      </c>
      <c r="K40" s="14" t="e">
        <f>IF(OR(ЦТО!#REF!=ЦТО!$BK$8,ЦТО!#REF!=ЦТО!$BK$9,ЦТО!#REF!=ЦТО!$BK$10),"Обратить внимание","Отклонений нет")</f>
        <v>#REF!</v>
      </c>
      <c r="L40" s="14" t="e">
        <f>IF(OR(ЦТО!#REF!=ЦТО!$BK$8,ЦТО!#REF!=ЦТО!$BK$9,ЦТО!#REF!=ЦТО!$BK$10),"Обратить внимание","Отклонений нет")</f>
        <v>#REF!</v>
      </c>
      <c r="M40" s="14" t="e">
        <f>IF(OR(ЦТО!#REF!=ЦТО!$BK$8,ЦТО!#REF!=ЦТО!$BK$9,ЦТО!#REF!=ЦТО!$BK$10),"Обратить внимание","Отклонений нет")</f>
        <v>#REF!</v>
      </c>
      <c r="N40" s="14" t="e">
        <f>IF(OR(ЦТО!#REF!=ЦТО!$BK$8,ЦТО!#REF!=ЦТО!$BK$9,ЦТО!#REF!=ЦТО!$BK$10),"Обратить внимание","Отклонений нет")</f>
        <v>#REF!</v>
      </c>
      <c r="O40" s="14" t="e">
        <f>IF(OR(ЦТО!#REF!=ЦТО!$BK$8,ЦТО!#REF!=ЦТО!$BK$9,ЦТО!#REF!=ЦТО!$BK$10),"Обратить внимание","Отклонений нет")</f>
        <v>#REF!</v>
      </c>
      <c r="P40" s="14" t="e">
        <f>IF(OR(ЦТО!#REF!=ЦТО!$BK$8,ЦТО!#REF!=ЦТО!$BK$9,ЦТО!#REF!=ЦТО!$BK$10),"Обратить внимание","Отклонений нет")</f>
        <v>#REF!</v>
      </c>
      <c r="Q40" s="14" t="e">
        <f>IF(OR(ЦТО!#REF!=ЦТО!$BK$8,ЦТО!#REF!=ЦТО!$BK$9,ЦТО!#REF!=ЦТО!$BK$10),"Обратить внимание","Отклонений нет")</f>
        <v>#REF!</v>
      </c>
      <c r="R40" s="14" t="e">
        <f>IF(OR(ЦТО!#REF!=ЦТО!$BK$8,ЦТО!#REF!=ЦТО!$BK$9,ЦТО!#REF!=ЦТО!$BK$10),"Обратить внимание","Отклонений нет")</f>
        <v>#REF!</v>
      </c>
      <c r="S40" s="14" t="e">
        <f>IF(OR(ЦТО!#REF!=ЦТО!$BK$8,ЦТО!#REF!=ЦТО!$BK$9,ЦТО!#REF!=ЦТО!$BK$10),"Обратить внимание","Отклонений нет")</f>
        <v>#REF!</v>
      </c>
      <c r="T40" s="14" t="e">
        <f>IF(OR(ЦТО!#REF!=ЦТО!$BK$8,ЦТО!#REF!=ЦТО!$BK$9,ЦТО!#REF!=ЦТО!$BK$10),"Обратить внимание","Отклонений нет")</f>
        <v>#REF!</v>
      </c>
      <c r="U40" s="14" t="e">
        <f>IF(OR(ЦТО!#REF!=ЦТО!$BK$8,ЦТО!#REF!=ЦТО!$BK$9,ЦТО!#REF!=ЦТО!$BK$10),"Обратить внимание","Отклонений нет")</f>
        <v>#REF!</v>
      </c>
      <c r="V40" s="47" t="e">
        <f>IF(OR(ЦТО!#REF!=ЦТО!$BK$8,ЦТО!#REF!=ЦТО!$BK$9,ЦТО!#REF!=ЦТО!$BK$10),"Обратить внимание","Отклонений нет")</f>
        <v>#REF!</v>
      </c>
      <c r="W40" s="47" t="e">
        <f>IF(OR(ЦТО!#REF!=ЦТО!$BK$8,ЦТО!#REF!=ЦТО!$BK$9,ЦТО!#REF!=ЦТО!$BK$10),"Обратить внимание","Отклонений нет")</f>
        <v>#REF!</v>
      </c>
      <c r="X40" s="47" t="e">
        <f>IF(OR(ЦТО!#REF!=ЦТО!$BK$8,ЦТО!#REF!=ЦТО!$BK$9,ЦТО!#REF!=ЦТО!$BK$10),"Обратить внимание","Отклонений нет")</f>
        <v>#REF!</v>
      </c>
    </row>
    <row r="41" spans="1:24" ht="18" customHeight="1">
      <c r="A41" s="10">
        <v>39</v>
      </c>
      <c r="B41" s="14" t="e">
        <f>IF(ЦТО!#REF!="","",ЦТО!#REF!)</f>
        <v>#REF!</v>
      </c>
      <c r="C41" s="14" t="e">
        <f>IF(ЦТО!#REF!="","",ЦТО!#REF!)</f>
        <v>#REF!</v>
      </c>
      <c r="D41" s="36" t="e">
        <f>IF(ЦТО!#REF!="","",ЦТО!#REF!)</f>
        <v>#REF!</v>
      </c>
      <c r="E4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1" s="47" t="e">
        <f>IF(OR(ЦТО!#REF!=ЦТО!$BK$8,ЦТО!#REF!=ЦТО!$BK$9,ЦТО!#REF!=ЦТО!$BK$10),"Обратить внимание","Отклонений нет")</f>
        <v>#REF!</v>
      </c>
      <c r="K41" s="14" t="e">
        <f>IF(OR(ЦТО!#REF!=ЦТО!$BK$8,ЦТО!#REF!=ЦТО!$BK$9,ЦТО!#REF!=ЦТО!$BK$10),"Обратить внимание","Отклонений нет")</f>
        <v>#REF!</v>
      </c>
      <c r="L41" s="14" t="e">
        <f>IF(OR(ЦТО!#REF!=ЦТО!$BK$8,ЦТО!#REF!=ЦТО!$BK$9,ЦТО!#REF!=ЦТО!$BK$10),"Обратить внимание","Отклонений нет")</f>
        <v>#REF!</v>
      </c>
      <c r="M41" s="14" t="e">
        <f>IF(OR(ЦТО!#REF!=ЦТО!$BK$8,ЦТО!#REF!=ЦТО!$BK$9,ЦТО!#REF!=ЦТО!$BK$10),"Обратить внимание","Отклонений нет")</f>
        <v>#REF!</v>
      </c>
      <c r="N41" s="14" t="e">
        <f>IF(OR(ЦТО!#REF!=ЦТО!$BK$8,ЦТО!#REF!=ЦТО!$BK$9,ЦТО!#REF!=ЦТО!$BK$10),"Обратить внимание","Отклонений нет")</f>
        <v>#REF!</v>
      </c>
      <c r="O41" s="14" t="e">
        <f>IF(OR(ЦТО!#REF!=ЦТО!$BK$8,ЦТО!#REF!=ЦТО!$BK$9,ЦТО!#REF!=ЦТО!$BK$10),"Обратить внимание","Отклонений нет")</f>
        <v>#REF!</v>
      </c>
      <c r="P41" s="14" t="e">
        <f>IF(OR(ЦТО!#REF!=ЦТО!$BK$8,ЦТО!#REF!=ЦТО!$BK$9,ЦТО!#REF!=ЦТО!$BK$10),"Обратить внимание","Отклонений нет")</f>
        <v>#REF!</v>
      </c>
      <c r="Q41" s="14" t="e">
        <f>IF(OR(ЦТО!#REF!=ЦТО!$BK$8,ЦТО!#REF!=ЦТО!$BK$9,ЦТО!#REF!=ЦТО!$BK$10),"Обратить внимание","Отклонений нет")</f>
        <v>#REF!</v>
      </c>
      <c r="R41" s="14" t="e">
        <f>IF(OR(ЦТО!#REF!=ЦТО!$BK$8,ЦТО!#REF!=ЦТО!$BK$9,ЦТО!#REF!=ЦТО!$BK$10),"Обратить внимание","Отклонений нет")</f>
        <v>#REF!</v>
      </c>
      <c r="S41" s="14" t="e">
        <f>IF(OR(ЦТО!#REF!=ЦТО!$BK$8,ЦТО!#REF!=ЦТО!$BK$9,ЦТО!#REF!=ЦТО!$BK$10),"Обратить внимание","Отклонений нет")</f>
        <v>#REF!</v>
      </c>
      <c r="T41" s="14" t="e">
        <f>IF(OR(ЦТО!#REF!=ЦТО!$BK$8,ЦТО!#REF!=ЦТО!$BK$9,ЦТО!#REF!=ЦТО!$BK$10),"Обратить внимание","Отклонений нет")</f>
        <v>#REF!</v>
      </c>
      <c r="U41" s="14" t="e">
        <f>IF(OR(ЦТО!#REF!=ЦТО!$BK$8,ЦТО!#REF!=ЦТО!$BK$9,ЦТО!#REF!=ЦТО!$BK$10),"Обратить внимание","Отклонений нет")</f>
        <v>#REF!</v>
      </c>
      <c r="V41" s="47" t="e">
        <f>IF(OR(ЦТО!#REF!=ЦТО!$BK$8,ЦТО!#REF!=ЦТО!$BK$9,ЦТО!#REF!=ЦТО!$BK$10),"Обратить внимание","Отклонений нет")</f>
        <v>#REF!</v>
      </c>
      <c r="W41" s="47" t="e">
        <f>IF(OR(ЦТО!#REF!=ЦТО!$BK$8,ЦТО!#REF!=ЦТО!$BK$9,ЦТО!#REF!=ЦТО!$BK$10),"Обратить внимание","Отклонений нет")</f>
        <v>#REF!</v>
      </c>
      <c r="X41" s="47" t="e">
        <f>IF(OR(ЦТО!#REF!=ЦТО!$BK$8,ЦТО!#REF!=ЦТО!$BK$9,ЦТО!#REF!=ЦТО!$BK$10),"Обратить внимание","Отклонений нет")</f>
        <v>#REF!</v>
      </c>
    </row>
    <row r="42" spans="1:24" ht="18" customHeight="1">
      <c r="A42" s="10">
        <v>40</v>
      </c>
      <c r="B42" s="14" t="e">
        <f>IF(ЦТО!#REF!="","",ЦТО!#REF!)</f>
        <v>#REF!</v>
      </c>
      <c r="C42" s="14" t="e">
        <f>IF(ЦТО!#REF!="","",ЦТО!#REF!)</f>
        <v>#REF!</v>
      </c>
      <c r="D42" s="36" t="e">
        <f>IF(ЦТО!#REF!="","",ЦТО!#REF!)</f>
        <v>#REF!</v>
      </c>
      <c r="E4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2" s="47" t="e">
        <f>IF(OR(ЦТО!#REF!=ЦТО!$BK$8,ЦТО!#REF!=ЦТО!$BK$9,ЦТО!#REF!=ЦТО!$BK$10),"Обратить внимание","Отклонений нет")</f>
        <v>#REF!</v>
      </c>
      <c r="K42" s="14" t="e">
        <f>IF(OR(ЦТО!#REF!=ЦТО!$BK$8,ЦТО!#REF!=ЦТО!$BK$9,ЦТО!#REF!=ЦТО!$BK$10),"Обратить внимание","Отклонений нет")</f>
        <v>#REF!</v>
      </c>
      <c r="L42" s="14" t="e">
        <f>IF(OR(ЦТО!#REF!=ЦТО!$BK$8,ЦТО!#REF!=ЦТО!$BK$9,ЦТО!#REF!=ЦТО!$BK$10),"Обратить внимание","Отклонений нет")</f>
        <v>#REF!</v>
      </c>
      <c r="M42" s="14" t="e">
        <f>IF(OR(ЦТО!#REF!=ЦТО!$BK$8,ЦТО!#REF!=ЦТО!$BK$9,ЦТО!#REF!=ЦТО!$BK$10),"Обратить внимание","Отклонений нет")</f>
        <v>#REF!</v>
      </c>
      <c r="N42" s="14" t="e">
        <f>IF(OR(ЦТО!#REF!=ЦТО!$BK$8,ЦТО!#REF!=ЦТО!$BK$9,ЦТО!#REF!=ЦТО!$BK$10),"Обратить внимание","Отклонений нет")</f>
        <v>#REF!</v>
      </c>
      <c r="O42" s="14" t="e">
        <f>IF(OR(ЦТО!#REF!=ЦТО!$BK$8,ЦТО!#REF!=ЦТО!$BK$9,ЦТО!#REF!=ЦТО!$BK$10),"Обратить внимание","Отклонений нет")</f>
        <v>#REF!</v>
      </c>
      <c r="P42" s="14" t="e">
        <f>IF(OR(ЦТО!#REF!=ЦТО!$BK$8,ЦТО!#REF!=ЦТО!$BK$9,ЦТО!#REF!=ЦТО!$BK$10),"Обратить внимание","Отклонений нет")</f>
        <v>#REF!</v>
      </c>
      <c r="Q42" s="14" t="e">
        <f>IF(OR(ЦТО!#REF!=ЦТО!$BK$8,ЦТО!#REF!=ЦТО!$BK$9,ЦТО!#REF!=ЦТО!$BK$10),"Обратить внимание","Отклонений нет")</f>
        <v>#REF!</v>
      </c>
      <c r="R42" s="14" t="e">
        <f>IF(OR(ЦТО!#REF!=ЦТО!$BK$8,ЦТО!#REF!=ЦТО!$BK$9,ЦТО!#REF!=ЦТО!$BK$10),"Обратить внимание","Отклонений нет")</f>
        <v>#REF!</v>
      </c>
      <c r="S42" s="14" t="e">
        <f>IF(OR(ЦТО!#REF!=ЦТО!$BK$8,ЦТО!#REF!=ЦТО!$BK$9,ЦТО!#REF!=ЦТО!$BK$10),"Обратить внимание","Отклонений нет")</f>
        <v>#REF!</v>
      </c>
      <c r="T42" s="14" t="e">
        <f>IF(OR(ЦТО!#REF!=ЦТО!$BK$8,ЦТО!#REF!=ЦТО!$BK$9,ЦТО!#REF!=ЦТО!$BK$10),"Обратить внимание","Отклонений нет")</f>
        <v>#REF!</v>
      </c>
      <c r="U42" s="14" t="e">
        <f>IF(OR(ЦТО!#REF!=ЦТО!$BK$8,ЦТО!#REF!=ЦТО!$BK$9,ЦТО!#REF!=ЦТО!$BK$10),"Обратить внимание","Отклонений нет")</f>
        <v>#REF!</v>
      </c>
      <c r="V42" s="47" t="e">
        <f>IF(OR(ЦТО!#REF!=ЦТО!$BK$8,ЦТО!#REF!=ЦТО!$BK$9,ЦТО!#REF!=ЦТО!$BK$10),"Обратить внимание","Отклонений нет")</f>
        <v>#REF!</v>
      </c>
      <c r="W42" s="47" t="e">
        <f>IF(OR(ЦТО!#REF!=ЦТО!$BK$8,ЦТО!#REF!=ЦТО!$BK$9,ЦТО!#REF!=ЦТО!$BK$10),"Обратить внимание","Отклонений нет")</f>
        <v>#REF!</v>
      </c>
      <c r="X42" s="47" t="e">
        <f>IF(OR(ЦТО!#REF!=ЦТО!$BK$8,ЦТО!#REF!=ЦТО!$BK$9,ЦТО!#REF!=ЦТО!$BK$10),"Обратить внимание","Отклонений нет")</f>
        <v>#REF!</v>
      </c>
    </row>
    <row r="43" spans="1:24" ht="18" customHeight="1">
      <c r="A43" s="10">
        <v>41</v>
      </c>
      <c r="B43" s="14" t="e">
        <f>IF(ЦТО!#REF!="","",ЦТО!#REF!)</f>
        <v>#REF!</v>
      </c>
      <c r="C43" s="14" t="e">
        <f>IF(ЦТО!#REF!="","",ЦТО!#REF!)</f>
        <v>#REF!</v>
      </c>
      <c r="D43" s="36" t="e">
        <f>IF(ЦТО!#REF!="","",ЦТО!#REF!)</f>
        <v>#REF!</v>
      </c>
      <c r="E4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3" s="47" t="e">
        <f>IF(OR(ЦТО!#REF!=ЦТО!$BK$8,ЦТО!#REF!=ЦТО!$BK$9,ЦТО!#REF!=ЦТО!$BK$10),"Обратить внимание","Отклонений нет")</f>
        <v>#REF!</v>
      </c>
      <c r="K43" s="14" t="e">
        <f>IF(OR(ЦТО!#REF!=ЦТО!$BK$8,ЦТО!#REF!=ЦТО!$BK$9,ЦТО!#REF!=ЦТО!$BK$10),"Обратить внимание","Отклонений нет")</f>
        <v>#REF!</v>
      </c>
      <c r="L43" s="14" t="e">
        <f>IF(OR(ЦТО!#REF!=ЦТО!$BK$8,ЦТО!#REF!=ЦТО!$BK$9,ЦТО!#REF!=ЦТО!$BK$10),"Обратить внимание","Отклонений нет")</f>
        <v>#REF!</v>
      </c>
      <c r="M43" s="14" t="e">
        <f>IF(OR(ЦТО!#REF!=ЦТО!$BK$8,ЦТО!#REF!=ЦТО!$BK$9,ЦТО!#REF!=ЦТО!$BK$10),"Обратить внимание","Отклонений нет")</f>
        <v>#REF!</v>
      </c>
      <c r="N43" s="14" t="e">
        <f>IF(OR(ЦТО!#REF!=ЦТО!$BK$8,ЦТО!#REF!=ЦТО!$BK$9,ЦТО!#REF!=ЦТО!$BK$10),"Обратить внимание","Отклонений нет")</f>
        <v>#REF!</v>
      </c>
      <c r="O43" s="14" t="e">
        <f>IF(OR(ЦТО!#REF!=ЦТО!$BK$8,ЦТО!#REF!=ЦТО!$BK$9,ЦТО!#REF!=ЦТО!$BK$10),"Обратить внимание","Отклонений нет")</f>
        <v>#REF!</v>
      </c>
      <c r="P43" s="14" t="e">
        <f>IF(OR(ЦТО!#REF!=ЦТО!$BK$8,ЦТО!#REF!=ЦТО!$BK$9,ЦТО!#REF!=ЦТО!$BK$10),"Обратить внимание","Отклонений нет")</f>
        <v>#REF!</v>
      </c>
      <c r="Q43" s="14" t="e">
        <f>IF(OR(ЦТО!#REF!=ЦТО!$BK$8,ЦТО!#REF!=ЦТО!$BK$9,ЦТО!#REF!=ЦТО!$BK$10),"Обратить внимание","Отклонений нет")</f>
        <v>#REF!</v>
      </c>
      <c r="R43" s="14" t="e">
        <f>IF(OR(ЦТО!#REF!=ЦТО!$BK$8,ЦТО!#REF!=ЦТО!$BK$9,ЦТО!#REF!=ЦТО!$BK$10),"Обратить внимание","Отклонений нет")</f>
        <v>#REF!</v>
      </c>
      <c r="S43" s="14" t="e">
        <f>IF(OR(ЦТО!#REF!=ЦТО!$BK$8,ЦТО!#REF!=ЦТО!$BK$9,ЦТО!#REF!=ЦТО!$BK$10),"Обратить внимание","Отклонений нет")</f>
        <v>#REF!</v>
      </c>
      <c r="T43" s="14" t="e">
        <f>IF(OR(ЦТО!#REF!=ЦТО!$BK$8,ЦТО!#REF!=ЦТО!$BK$9,ЦТО!#REF!=ЦТО!$BK$10),"Обратить внимание","Отклонений нет")</f>
        <v>#REF!</v>
      </c>
      <c r="U43" s="14" t="e">
        <f>IF(OR(ЦТО!#REF!=ЦТО!$BK$8,ЦТО!#REF!=ЦТО!$BK$9,ЦТО!#REF!=ЦТО!$BK$10),"Обратить внимание","Отклонений нет")</f>
        <v>#REF!</v>
      </c>
      <c r="V43" s="47" t="e">
        <f>IF(OR(ЦТО!#REF!=ЦТО!$BK$8,ЦТО!#REF!=ЦТО!$BK$9,ЦТО!#REF!=ЦТО!$BK$10),"Обратить внимание","Отклонений нет")</f>
        <v>#REF!</v>
      </c>
      <c r="W43" s="47" t="e">
        <f>IF(OR(ЦТО!#REF!=ЦТО!$BK$8,ЦТО!#REF!=ЦТО!$BK$9,ЦТО!#REF!=ЦТО!$BK$10),"Обратить внимание","Отклонений нет")</f>
        <v>#REF!</v>
      </c>
      <c r="X43" s="47" t="e">
        <f>IF(OR(ЦТО!#REF!=ЦТО!$BK$8,ЦТО!#REF!=ЦТО!$BK$9,ЦТО!#REF!=ЦТО!$BK$10),"Обратить внимание","Отклонений нет")</f>
        <v>#REF!</v>
      </c>
    </row>
    <row r="44" spans="1:24" ht="18" customHeight="1">
      <c r="A44" s="10">
        <v>42</v>
      </c>
      <c r="B44" s="14" t="e">
        <f>IF(ЦТО!#REF!="","",ЦТО!#REF!)</f>
        <v>#REF!</v>
      </c>
      <c r="C44" s="14" t="e">
        <f>IF(ЦТО!#REF!="","",ЦТО!#REF!)</f>
        <v>#REF!</v>
      </c>
      <c r="D44" s="36" t="e">
        <f>IF(ЦТО!#REF!="","",ЦТО!#REF!)</f>
        <v>#REF!</v>
      </c>
      <c r="E4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4" s="47" t="e">
        <f>IF(OR(ЦТО!#REF!=ЦТО!$BK$8,ЦТО!#REF!=ЦТО!$BK$9,ЦТО!#REF!=ЦТО!$BK$10),"Обратить внимание","Отклонений нет")</f>
        <v>#REF!</v>
      </c>
      <c r="K44" s="14" t="e">
        <f>IF(OR(ЦТО!#REF!=ЦТО!$BK$8,ЦТО!#REF!=ЦТО!$BK$9,ЦТО!#REF!=ЦТО!$BK$10),"Обратить внимание","Отклонений нет")</f>
        <v>#REF!</v>
      </c>
      <c r="L44" s="14" t="e">
        <f>IF(OR(ЦТО!#REF!=ЦТО!$BK$8,ЦТО!#REF!=ЦТО!$BK$9,ЦТО!#REF!=ЦТО!$BK$10),"Обратить внимание","Отклонений нет")</f>
        <v>#REF!</v>
      </c>
      <c r="M44" s="14" t="e">
        <f>IF(OR(ЦТО!#REF!=ЦТО!$BK$8,ЦТО!#REF!=ЦТО!$BK$9,ЦТО!#REF!=ЦТО!$BK$10),"Обратить внимание","Отклонений нет")</f>
        <v>#REF!</v>
      </c>
      <c r="N44" s="14" t="e">
        <f>IF(OR(ЦТО!#REF!=ЦТО!$BK$8,ЦТО!#REF!=ЦТО!$BK$9,ЦТО!#REF!=ЦТО!$BK$10),"Обратить внимание","Отклонений нет")</f>
        <v>#REF!</v>
      </c>
      <c r="O44" s="14" t="e">
        <f>IF(OR(ЦТО!#REF!=ЦТО!$BK$8,ЦТО!#REF!=ЦТО!$BK$9,ЦТО!#REF!=ЦТО!$BK$10),"Обратить внимание","Отклонений нет")</f>
        <v>#REF!</v>
      </c>
      <c r="P44" s="14" t="e">
        <f>IF(OR(ЦТО!#REF!=ЦТО!$BK$8,ЦТО!#REF!=ЦТО!$BK$9,ЦТО!#REF!=ЦТО!$BK$10),"Обратить внимание","Отклонений нет")</f>
        <v>#REF!</v>
      </c>
      <c r="Q44" s="14" t="e">
        <f>IF(OR(ЦТО!#REF!=ЦТО!$BK$8,ЦТО!#REF!=ЦТО!$BK$9,ЦТО!#REF!=ЦТО!$BK$10),"Обратить внимание","Отклонений нет")</f>
        <v>#REF!</v>
      </c>
      <c r="R44" s="14" t="e">
        <f>IF(OR(ЦТО!#REF!=ЦТО!$BK$8,ЦТО!#REF!=ЦТО!$BK$9,ЦТО!#REF!=ЦТО!$BK$10),"Обратить внимание","Отклонений нет")</f>
        <v>#REF!</v>
      </c>
      <c r="S44" s="14" t="e">
        <f>IF(OR(ЦТО!#REF!=ЦТО!$BK$8,ЦТО!#REF!=ЦТО!$BK$9,ЦТО!#REF!=ЦТО!$BK$10),"Обратить внимание","Отклонений нет")</f>
        <v>#REF!</v>
      </c>
      <c r="T44" s="14" t="e">
        <f>IF(OR(ЦТО!#REF!=ЦТО!$BK$8,ЦТО!#REF!=ЦТО!$BK$9,ЦТО!#REF!=ЦТО!$BK$10),"Обратить внимание","Отклонений нет")</f>
        <v>#REF!</v>
      </c>
      <c r="U44" s="14" t="e">
        <f>IF(OR(ЦТО!#REF!=ЦТО!$BK$8,ЦТО!#REF!=ЦТО!$BK$9,ЦТО!#REF!=ЦТО!$BK$10),"Обратить внимание","Отклонений нет")</f>
        <v>#REF!</v>
      </c>
      <c r="V44" s="47" t="e">
        <f>IF(OR(ЦТО!#REF!=ЦТО!$BK$8,ЦТО!#REF!=ЦТО!$BK$9,ЦТО!#REF!=ЦТО!$BK$10),"Обратить внимание","Отклонений нет")</f>
        <v>#REF!</v>
      </c>
      <c r="W44" s="47" t="e">
        <f>IF(OR(ЦТО!#REF!=ЦТО!$BK$8,ЦТО!#REF!=ЦТО!$BK$9,ЦТО!#REF!=ЦТО!$BK$10),"Обратить внимание","Отклонений нет")</f>
        <v>#REF!</v>
      </c>
      <c r="X44" s="47" t="e">
        <f>IF(OR(ЦТО!#REF!=ЦТО!$BK$8,ЦТО!#REF!=ЦТО!$BK$9,ЦТО!#REF!=ЦТО!$BK$10),"Обратить внимание","Отклонений нет")</f>
        <v>#REF!</v>
      </c>
    </row>
    <row r="45" spans="1:24" ht="18" customHeight="1">
      <c r="A45" s="10">
        <v>43</v>
      </c>
      <c r="B45" s="14" t="e">
        <f>IF(ЦТО!#REF!="","",ЦТО!#REF!)</f>
        <v>#REF!</v>
      </c>
      <c r="C45" s="14" t="e">
        <f>IF(ЦТО!#REF!="","",ЦТО!#REF!)</f>
        <v>#REF!</v>
      </c>
      <c r="D45" s="36" t="e">
        <f>IF(ЦТО!#REF!="","",ЦТО!#REF!)</f>
        <v>#REF!</v>
      </c>
      <c r="E4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5" s="47" t="e">
        <f>IF(OR(ЦТО!#REF!=ЦТО!$BK$8,ЦТО!#REF!=ЦТО!$BK$9,ЦТО!#REF!=ЦТО!$BK$10),"Обратить внимание","Отклонений нет")</f>
        <v>#REF!</v>
      </c>
      <c r="K45" s="14" t="e">
        <f>IF(OR(ЦТО!#REF!=ЦТО!$BK$8,ЦТО!#REF!=ЦТО!$BK$9,ЦТО!#REF!=ЦТО!$BK$10),"Обратить внимание","Отклонений нет")</f>
        <v>#REF!</v>
      </c>
      <c r="L45" s="14" t="e">
        <f>IF(OR(ЦТО!#REF!=ЦТО!$BK$8,ЦТО!#REF!=ЦТО!$BK$9,ЦТО!#REF!=ЦТО!$BK$10),"Обратить внимание","Отклонений нет")</f>
        <v>#REF!</v>
      </c>
      <c r="M45" s="14" t="e">
        <f>IF(OR(ЦТО!#REF!=ЦТО!$BK$8,ЦТО!#REF!=ЦТО!$BK$9,ЦТО!#REF!=ЦТО!$BK$10),"Обратить внимание","Отклонений нет")</f>
        <v>#REF!</v>
      </c>
      <c r="N45" s="14" t="e">
        <f>IF(OR(ЦТО!#REF!=ЦТО!$BK$8,ЦТО!#REF!=ЦТО!$BK$9,ЦТО!#REF!=ЦТО!$BK$10),"Обратить внимание","Отклонений нет")</f>
        <v>#REF!</v>
      </c>
      <c r="O45" s="14" t="e">
        <f>IF(OR(ЦТО!#REF!=ЦТО!$BK$8,ЦТО!#REF!=ЦТО!$BK$9,ЦТО!#REF!=ЦТО!$BK$10),"Обратить внимание","Отклонений нет")</f>
        <v>#REF!</v>
      </c>
      <c r="P45" s="14" t="e">
        <f>IF(OR(ЦТО!#REF!=ЦТО!$BK$8,ЦТО!#REF!=ЦТО!$BK$9,ЦТО!#REF!=ЦТО!$BK$10),"Обратить внимание","Отклонений нет")</f>
        <v>#REF!</v>
      </c>
      <c r="Q45" s="14" t="e">
        <f>IF(OR(ЦТО!#REF!=ЦТО!$BK$8,ЦТО!#REF!=ЦТО!$BK$9,ЦТО!#REF!=ЦТО!$BK$10),"Обратить внимание","Отклонений нет")</f>
        <v>#REF!</v>
      </c>
      <c r="R45" s="14" t="e">
        <f>IF(OR(ЦТО!#REF!=ЦТО!$BK$8,ЦТО!#REF!=ЦТО!$BK$9,ЦТО!#REF!=ЦТО!$BK$10),"Обратить внимание","Отклонений нет")</f>
        <v>#REF!</v>
      </c>
      <c r="S45" s="14" t="e">
        <f>IF(OR(ЦТО!#REF!=ЦТО!$BK$8,ЦТО!#REF!=ЦТО!$BK$9,ЦТО!#REF!=ЦТО!$BK$10),"Обратить внимание","Отклонений нет")</f>
        <v>#REF!</v>
      </c>
      <c r="T45" s="14" t="e">
        <f>IF(OR(ЦТО!#REF!=ЦТО!$BK$8,ЦТО!#REF!=ЦТО!$BK$9,ЦТО!#REF!=ЦТО!$BK$10),"Обратить внимание","Отклонений нет")</f>
        <v>#REF!</v>
      </c>
      <c r="U45" s="14" t="e">
        <f>IF(OR(ЦТО!#REF!=ЦТО!$BK$8,ЦТО!#REF!=ЦТО!$BK$9,ЦТО!#REF!=ЦТО!$BK$10),"Обратить внимание","Отклонений нет")</f>
        <v>#REF!</v>
      </c>
      <c r="V45" s="47" t="e">
        <f>IF(OR(ЦТО!#REF!=ЦТО!$BK$8,ЦТО!#REF!=ЦТО!$BK$9,ЦТО!#REF!=ЦТО!$BK$10),"Обратить внимание","Отклонений нет")</f>
        <v>#REF!</v>
      </c>
      <c r="W45" s="47" t="e">
        <f>IF(OR(ЦТО!#REF!=ЦТО!$BK$8,ЦТО!#REF!=ЦТО!$BK$9,ЦТО!#REF!=ЦТО!$BK$10),"Обратить внимание","Отклонений нет")</f>
        <v>#REF!</v>
      </c>
      <c r="X45" s="47" t="e">
        <f>IF(OR(ЦТО!#REF!=ЦТО!$BK$8,ЦТО!#REF!=ЦТО!$BK$9,ЦТО!#REF!=ЦТО!$BK$10),"Обратить внимание","Отклонений нет")</f>
        <v>#REF!</v>
      </c>
    </row>
    <row r="46" spans="1:24" ht="18" customHeight="1">
      <c r="A46" s="10">
        <v>44</v>
      </c>
      <c r="B46" s="14" t="e">
        <f>IF(ЦТО!#REF!="","",ЦТО!#REF!)</f>
        <v>#REF!</v>
      </c>
      <c r="C46" s="14" t="e">
        <f>IF(ЦТО!#REF!="","",ЦТО!#REF!)</f>
        <v>#REF!</v>
      </c>
      <c r="D46" s="36" t="e">
        <f>IF(ЦТО!#REF!="","",ЦТО!#REF!)</f>
        <v>#REF!</v>
      </c>
      <c r="E4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6" s="47" t="e">
        <f>IF(OR(ЦТО!#REF!=ЦТО!$BK$8,ЦТО!#REF!=ЦТО!$BK$9,ЦТО!#REF!=ЦТО!$BK$10),"Обратить внимание","Отклонений нет")</f>
        <v>#REF!</v>
      </c>
      <c r="K46" s="14" t="e">
        <f>IF(OR(ЦТО!#REF!=ЦТО!$BK$8,ЦТО!#REF!=ЦТО!$BK$9,ЦТО!#REF!=ЦТО!$BK$10),"Обратить внимание","Отклонений нет")</f>
        <v>#REF!</v>
      </c>
      <c r="L46" s="14" t="e">
        <f>IF(OR(ЦТО!#REF!=ЦТО!$BK$8,ЦТО!#REF!=ЦТО!$BK$9,ЦТО!#REF!=ЦТО!$BK$10),"Обратить внимание","Отклонений нет")</f>
        <v>#REF!</v>
      </c>
      <c r="M46" s="14" t="e">
        <f>IF(OR(ЦТО!#REF!=ЦТО!$BK$8,ЦТО!#REF!=ЦТО!$BK$9,ЦТО!#REF!=ЦТО!$BK$10),"Обратить внимание","Отклонений нет")</f>
        <v>#REF!</v>
      </c>
      <c r="N46" s="14" t="e">
        <f>IF(OR(ЦТО!#REF!=ЦТО!$BK$8,ЦТО!#REF!=ЦТО!$BK$9,ЦТО!#REF!=ЦТО!$BK$10),"Обратить внимание","Отклонений нет")</f>
        <v>#REF!</v>
      </c>
      <c r="O46" s="14" t="e">
        <f>IF(OR(ЦТО!#REF!=ЦТО!$BK$8,ЦТО!#REF!=ЦТО!$BK$9,ЦТО!#REF!=ЦТО!$BK$10),"Обратить внимание","Отклонений нет")</f>
        <v>#REF!</v>
      </c>
      <c r="P46" s="14" t="e">
        <f>IF(OR(ЦТО!#REF!=ЦТО!$BK$8,ЦТО!#REF!=ЦТО!$BK$9,ЦТО!#REF!=ЦТО!$BK$10),"Обратить внимание","Отклонений нет")</f>
        <v>#REF!</v>
      </c>
      <c r="Q46" s="14" t="e">
        <f>IF(OR(ЦТО!#REF!=ЦТО!$BK$8,ЦТО!#REF!=ЦТО!$BK$9,ЦТО!#REF!=ЦТО!$BK$10),"Обратить внимание","Отклонений нет")</f>
        <v>#REF!</v>
      </c>
      <c r="R46" s="14" t="e">
        <f>IF(OR(ЦТО!#REF!=ЦТО!$BK$8,ЦТО!#REF!=ЦТО!$BK$9,ЦТО!#REF!=ЦТО!$BK$10),"Обратить внимание","Отклонений нет")</f>
        <v>#REF!</v>
      </c>
      <c r="S46" s="14" t="e">
        <f>IF(OR(ЦТО!#REF!=ЦТО!$BK$8,ЦТО!#REF!=ЦТО!$BK$9,ЦТО!#REF!=ЦТО!$BK$10),"Обратить внимание","Отклонений нет")</f>
        <v>#REF!</v>
      </c>
      <c r="T46" s="14" t="e">
        <f>IF(OR(ЦТО!#REF!=ЦТО!$BK$8,ЦТО!#REF!=ЦТО!$BK$9,ЦТО!#REF!=ЦТО!$BK$10),"Обратить внимание","Отклонений нет")</f>
        <v>#REF!</v>
      </c>
      <c r="U46" s="14" t="e">
        <f>IF(OR(ЦТО!#REF!=ЦТО!$BK$8,ЦТО!#REF!=ЦТО!$BK$9,ЦТО!#REF!=ЦТО!$BK$10),"Обратить внимание","Отклонений нет")</f>
        <v>#REF!</v>
      </c>
      <c r="V46" s="47" t="e">
        <f>IF(OR(ЦТО!#REF!=ЦТО!$BK$8,ЦТО!#REF!=ЦТО!$BK$9,ЦТО!#REF!=ЦТО!$BK$10),"Обратить внимание","Отклонений нет")</f>
        <v>#REF!</v>
      </c>
      <c r="W46" s="47" t="e">
        <f>IF(OR(ЦТО!#REF!=ЦТО!$BK$8,ЦТО!#REF!=ЦТО!$BK$9,ЦТО!#REF!=ЦТО!$BK$10),"Обратить внимание","Отклонений нет")</f>
        <v>#REF!</v>
      </c>
      <c r="X46" s="47" t="e">
        <f>IF(OR(ЦТО!#REF!=ЦТО!$BK$8,ЦТО!#REF!=ЦТО!$BK$9,ЦТО!#REF!=ЦТО!$BK$10),"Обратить внимание","Отклонений нет")</f>
        <v>#REF!</v>
      </c>
    </row>
    <row r="47" spans="1:24" ht="18" customHeight="1">
      <c r="A47" s="10">
        <v>45</v>
      </c>
      <c r="B47" s="14" t="e">
        <f>IF(ЦТО!#REF!="","",ЦТО!#REF!)</f>
        <v>#REF!</v>
      </c>
      <c r="C47" s="14" t="e">
        <f>IF(ЦТО!#REF!="","",ЦТО!#REF!)</f>
        <v>#REF!</v>
      </c>
      <c r="D47" s="36" t="e">
        <f>IF(ЦТО!#REF!="","",ЦТО!#REF!)</f>
        <v>#REF!</v>
      </c>
      <c r="E4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7" s="47" t="e">
        <f>IF(OR(ЦТО!#REF!=ЦТО!$BK$8,ЦТО!#REF!=ЦТО!$BK$9,ЦТО!#REF!=ЦТО!$BK$10),"Обратить внимание","Отклонений нет")</f>
        <v>#REF!</v>
      </c>
      <c r="K47" s="14" t="e">
        <f>IF(OR(ЦТО!#REF!=ЦТО!$BK$8,ЦТО!#REF!=ЦТО!$BK$9,ЦТО!#REF!=ЦТО!$BK$10),"Обратить внимание","Отклонений нет")</f>
        <v>#REF!</v>
      </c>
      <c r="L47" s="14" t="e">
        <f>IF(OR(ЦТО!#REF!=ЦТО!$BK$8,ЦТО!#REF!=ЦТО!$BK$9,ЦТО!#REF!=ЦТО!$BK$10),"Обратить внимание","Отклонений нет")</f>
        <v>#REF!</v>
      </c>
      <c r="M47" s="14" t="e">
        <f>IF(OR(ЦТО!#REF!=ЦТО!$BK$8,ЦТО!#REF!=ЦТО!$BK$9,ЦТО!#REF!=ЦТО!$BK$10),"Обратить внимание","Отклонений нет")</f>
        <v>#REF!</v>
      </c>
      <c r="N47" s="14" t="e">
        <f>IF(OR(ЦТО!#REF!=ЦТО!$BK$8,ЦТО!#REF!=ЦТО!$BK$9,ЦТО!#REF!=ЦТО!$BK$10),"Обратить внимание","Отклонений нет")</f>
        <v>#REF!</v>
      </c>
      <c r="O47" s="14" t="e">
        <f>IF(OR(ЦТО!#REF!=ЦТО!$BK$8,ЦТО!#REF!=ЦТО!$BK$9,ЦТО!#REF!=ЦТО!$BK$10),"Обратить внимание","Отклонений нет")</f>
        <v>#REF!</v>
      </c>
      <c r="P47" s="14" t="e">
        <f>IF(OR(ЦТО!#REF!=ЦТО!$BK$8,ЦТО!#REF!=ЦТО!$BK$9,ЦТО!#REF!=ЦТО!$BK$10),"Обратить внимание","Отклонений нет")</f>
        <v>#REF!</v>
      </c>
      <c r="Q47" s="14" t="e">
        <f>IF(OR(ЦТО!#REF!=ЦТО!$BK$8,ЦТО!#REF!=ЦТО!$BK$9,ЦТО!#REF!=ЦТО!$BK$10),"Обратить внимание","Отклонений нет")</f>
        <v>#REF!</v>
      </c>
      <c r="R47" s="14" t="e">
        <f>IF(OR(ЦТО!#REF!=ЦТО!$BK$8,ЦТО!#REF!=ЦТО!$BK$9,ЦТО!#REF!=ЦТО!$BK$10),"Обратить внимание","Отклонений нет")</f>
        <v>#REF!</v>
      </c>
      <c r="S47" s="14" t="e">
        <f>IF(OR(ЦТО!#REF!=ЦТО!$BK$8,ЦТО!#REF!=ЦТО!$BK$9,ЦТО!#REF!=ЦТО!$BK$10),"Обратить внимание","Отклонений нет")</f>
        <v>#REF!</v>
      </c>
      <c r="T47" s="14" t="e">
        <f>IF(OR(ЦТО!#REF!=ЦТО!$BK$8,ЦТО!#REF!=ЦТО!$BK$9,ЦТО!#REF!=ЦТО!$BK$10),"Обратить внимание","Отклонений нет")</f>
        <v>#REF!</v>
      </c>
      <c r="U47" s="14" t="e">
        <f>IF(OR(ЦТО!#REF!=ЦТО!$BK$8,ЦТО!#REF!=ЦТО!$BK$9,ЦТО!#REF!=ЦТО!$BK$10),"Обратить внимание","Отклонений нет")</f>
        <v>#REF!</v>
      </c>
      <c r="V47" s="47" t="e">
        <f>IF(OR(ЦТО!#REF!=ЦТО!$BK$8,ЦТО!#REF!=ЦТО!$BK$9,ЦТО!#REF!=ЦТО!$BK$10),"Обратить внимание","Отклонений нет")</f>
        <v>#REF!</v>
      </c>
      <c r="W47" s="47" t="e">
        <f>IF(OR(ЦТО!#REF!=ЦТО!$BK$8,ЦТО!#REF!=ЦТО!$BK$9,ЦТО!#REF!=ЦТО!$BK$10),"Обратить внимание","Отклонений нет")</f>
        <v>#REF!</v>
      </c>
      <c r="X47" s="47" t="e">
        <f>IF(OR(ЦТО!#REF!=ЦТО!$BK$8,ЦТО!#REF!=ЦТО!$BK$9,ЦТО!#REF!=ЦТО!$BK$10),"Обратить внимание","Отклонений нет")</f>
        <v>#REF!</v>
      </c>
    </row>
    <row r="48" spans="1:24" ht="18" customHeight="1">
      <c r="A48" s="10">
        <v>46</v>
      </c>
      <c r="B48" s="14" t="e">
        <f>IF(ЦТО!#REF!="","",ЦТО!#REF!)</f>
        <v>#REF!</v>
      </c>
      <c r="C48" s="14" t="e">
        <f>IF(ЦТО!#REF!="","",ЦТО!#REF!)</f>
        <v>#REF!</v>
      </c>
      <c r="D48" s="36" t="e">
        <f>IF(ЦТО!#REF!="","",ЦТО!#REF!)</f>
        <v>#REF!</v>
      </c>
      <c r="E4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8" s="47" t="e">
        <f>IF(OR(ЦТО!#REF!=ЦТО!$BK$8,ЦТО!#REF!=ЦТО!$BK$9,ЦТО!#REF!=ЦТО!$BK$10),"Обратить внимание","Отклонений нет")</f>
        <v>#REF!</v>
      </c>
      <c r="K48" s="14" t="e">
        <f>IF(OR(ЦТО!#REF!=ЦТО!$BK$8,ЦТО!#REF!=ЦТО!$BK$9,ЦТО!#REF!=ЦТО!$BK$10),"Обратить внимание","Отклонений нет")</f>
        <v>#REF!</v>
      </c>
      <c r="L48" s="14" t="e">
        <f>IF(OR(ЦТО!#REF!=ЦТО!$BK$8,ЦТО!#REF!=ЦТО!$BK$9,ЦТО!#REF!=ЦТО!$BK$10),"Обратить внимание","Отклонений нет")</f>
        <v>#REF!</v>
      </c>
      <c r="M48" s="14" t="e">
        <f>IF(OR(ЦТО!#REF!=ЦТО!$BK$8,ЦТО!#REF!=ЦТО!$BK$9,ЦТО!#REF!=ЦТО!$BK$10),"Обратить внимание","Отклонений нет")</f>
        <v>#REF!</v>
      </c>
      <c r="N48" s="14" t="e">
        <f>IF(OR(ЦТО!#REF!=ЦТО!$BK$8,ЦТО!#REF!=ЦТО!$BK$9,ЦТО!#REF!=ЦТО!$BK$10),"Обратить внимание","Отклонений нет")</f>
        <v>#REF!</v>
      </c>
      <c r="O48" s="14" t="e">
        <f>IF(OR(ЦТО!#REF!=ЦТО!$BK$8,ЦТО!#REF!=ЦТО!$BK$9,ЦТО!#REF!=ЦТО!$BK$10),"Обратить внимание","Отклонений нет")</f>
        <v>#REF!</v>
      </c>
      <c r="P48" s="14" t="e">
        <f>IF(OR(ЦТО!#REF!=ЦТО!$BK$8,ЦТО!#REF!=ЦТО!$BK$9,ЦТО!#REF!=ЦТО!$BK$10),"Обратить внимание","Отклонений нет")</f>
        <v>#REF!</v>
      </c>
      <c r="Q48" s="14" t="e">
        <f>IF(OR(ЦТО!#REF!=ЦТО!$BK$8,ЦТО!#REF!=ЦТО!$BK$9,ЦТО!#REF!=ЦТО!$BK$10),"Обратить внимание","Отклонений нет")</f>
        <v>#REF!</v>
      </c>
      <c r="R48" s="14" t="e">
        <f>IF(OR(ЦТО!#REF!=ЦТО!$BK$8,ЦТО!#REF!=ЦТО!$BK$9,ЦТО!#REF!=ЦТО!$BK$10),"Обратить внимание","Отклонений нет")</f>
        <v>#REF!</v>
      </c>
      <c r="S48" s="14" t="e">
        <f>IF(OR(ЦТО!#REF!=ЦТО!$BK$8,ЦТО!#REF!=ЦТО!$BK$9,ЦТО!#REF!=ЦТО!$BK$10),"Обратить внимание","Отклонений нет")</f>
        <v>#REF!</v>
      </c>
      <c r="T48" s="14" t="e">
        <f>IF(OR(ЦТО!#REF!=ЦТО!$BK$8,ЦТО!#REF!=ЦТО!$BK$9,ЦТО!#REF!=ЦТО!$BK$10),"Обратить внимание","Отклонений нет")</f>
        <v>#REF!</v>
      </c>
      <c r="U48" s="14" t="e">
        <f>IF(OR(ЦТО!#REF!=ЦТО!$BK$8,ЦТО!#REF!=ЦТО!$BK$9,ЦТО!#REF!=ЦТО!$BK$10),"Обратить внимание","Отклонений нет")</f>
        <v>#REF!</v>
      </c>
      <c r="V48" s="47" t="e">
        <f>IF(OR(ЦТО!#REF!=ЦТО!$BK$8,ЦТО!#REF!=ЦТО!$BK$9,ЦТО!#REF!=ЦТО!$BK$10),"Обратить внимание","Отклонений нет")</f>
        <v>#REF!</v>
      </c>
      <c r="W48" s="47" t="e">
        <f>IF(OR(ЦТО!#REF!=ЦТО!$BK$8,ЦТО!#REF!=ЦТО!$BK$9,ЦТО!#REF!=ЦТО!$BK$10),"Обратить внимание","Отклонений нет")</f>
        <v>#REF!</v>
      </c>
      <c r="X48" s="47" t="e">
        <f>IF(OR(ЦТО!#REF!=ЦТО!$BK$8,ЦТО!#REF!=ЦТО!$BK$9,ЦТО!#REF!=ЦТО!$BK$10),"Обратить внимание","Отклонений нет")</f>
        <v>#REF!</v>
      </c>
    </row>
    <row r="49" spans="1:24" ht="18" customHeight="1">
      <c r="A49" s="10">
        <v>47</v>
      </c>
      <c r="B49" s="14" t="e">
        <f>IF(ЦТО!#REF!="","",ЦТО!#REF!)</f>
        <v>#REF!</v>
      </c>
      <c r="C49" s="14" t="e">
        <f>IF(ЦТО!#REF!="","",ЦТО!#REF!)</f>
        <v>#REF!</v>
      </c>
      <c r="D49" s="36" t="e">
        <f>IF(ЦТО!#REF!="","",ЦТО!#REF!)</f>
        <v>#REF!</v>
      </c>
      <c r="E4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4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4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4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4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49" s="47" t="e">
        <f>IF(OR(ЦТО!#REF!=ЦТО!$BK$8,ЦТО!#REF!=ЦТО!$BK$9,ЦТО!#REF!=ЦТО!$BK$10),"Обратить внимание","Отклонений нет")</f>
        <v>#REF!</v>
      </c>
      <c r="K49" s="14" t="e">
        <f>IF(OR(ЦТО!#REF!=ЦТО!$BK$8,ЦТО!#REF!=ЦТО!$BK$9,ЦТО!#REF!=ЦТО!$BK$10),"Обратить внимание","Отклонений нет")</f>
        <v>#REF!</v>
      </c>
      <c r="L49" s="14" t="e">
        <f>IF(OR(ЦТО!#REF!=ЦТО!$BK$8,ЦТО!#REF!=ЦТО!$BK$9,ЦТО!#REF!=ЦТО!$BK$10),"Обратить внимание","Отклонений нет")</f>
        <v>#REF!</v>
      </c>
      <c r="M49" s="14" t="e">
        <f>IF(OR(ЦТО!#REF!=ЦТО!$BK$8,ЦТО!#REF!=ЦТО!$BK$9,ЦТО!#REF!=ЦТО!$BK$10),"Обратить внимание","Отклонений нет")</f>
        <v>#REF!</v>
      </c>
      <c r="N49" s="14" t="e">
        <f>IF(OR(ЦТО!#REF!=ЦТО!$BK$8,ЦТО!#REF!=ЦТО!$BK$9,ЦТО!#REF!=ЦТО!$BK$10),"Обратить внимание","Отклонений нет")</f>
        <v>#REF!</v>
      </c>
      <c r="O49" s="14" t="e">
        <f>IF(OR(ЦТО!#REF!=ЦТО!$BK$8,ЦТО!#REF!=ЦТО!$BK$9,ЦТО!#REF!=ЦТО!$BK$10),"Обратить внимание","Отклонений нет")</f>
        <v>#REF!</v>
      </c>
      <c r="P49" s="14" t="e">
        <f>IF(OR(ЦТО!#REF!=ЦТО!$BK$8,ЦТО!#REF!=ЦТО!$BK$9,ЦТО!#REF!=ЦТО!$BK$10),"Обратить внимание","Отклонений нет")</f>
        <v>#REF!</v>
      </c>
      <c r="Q49" s="14" t="e">
        <f>IF(OR(ЦТО!#REF!=ЦТО!$BK$8,ЦТО!#REF!=ЦТО!$BK$9,ЦТО!#REF!=ЦТО!$BK$10),"Обратить внимание","Отклонений нет")</f>
        <v>#REF!</v>
      </c>
      <c r="R49" s="14" t="e">
        <f>IF(OR(ЦТО!#REF!=ЦТО!$BK$8,ЦТО!#REF!=ЦТО!$BK$9,ЦТО!#REF!=ЦТО!$BK$10),"Обратить внимание","Отклонений нет")</f>
        <v>#REF!</v>
      </c>
      <c r="S49" s="14" t="e">
        <f>IF(OR(ЦТО!#REF!=ЦТО!$BK$8,ЦТО!#REF!=ЦТО!$BK$9,ЦТО!#REF!=ЦТО!$BK$10),"Обратить внимание","Отклонений нет")</f>
        <v>#REF!</v>
      </c>
      <c r="T49" s="14" t="e">
        <f>IF(OR(ЦТО!#REF!=ЦТО!$BK$8,ЦТО!#REF!=ЦТО!$BK$9,ЦТО!#REF!=ЦТО!$BK$10),"Обратить внимание","Отклонений нет")</f>
        <v>#REF!</v>
      </c>
      <c r="U49" s="14" t="e">
        <f>IF(OR(ЦТО!#REF!=ЦТО!$BK$8,ЦТО!#REF!=ЦТО!$BK$9,ЦТО!#REF!=ЦТО!$BK$10),"Обратить внимание","Отклонений нет")</f>
        <v>#REF!</v>
      </c>
      <c r="V49" s="47" t="e">
        <f>IF(OR(ЦТО!#REF!=ЦТО!$BK$8,ЦТО!#REF!=ЦТО!$BK$9,ЦТО!#REF!=ЦТО!$BK$10),"Обратить внимание","Отклонений нет")</f>
        <v>#REF!</v>
      </c>
      <c r="W49" s="47" t="e">
        <f>IF(OR(ЦТО!#REF!=ЦТО!$BK$8,ЦТО!#REF!=ЦТО!$BK$9,ЦТО!#REF!=ЦТО!$BK$10),"Обратить внимание","Отклонений нет")</f>
        <v>#REF!</v>
      </c>
      <c r="X49" s="47" t="e">
        <f>IF(OR(ЦТО!#REF!=ЦТО!$BK$8,ЦТО!#REF!=ЦТО!$BK$9,ЦТО!#REF!=ЦТО!$BK$10),"Обратить внимание","Отклонений нет")</f>
        <v>#REF!</v>
      </c>
    </row>
    <row r="50" spans="1:24" ht="18" customHeight="1">
      <c r="A50" s="10">
        <v>48</v>
      </c>
      <c r="B50" s="14" t="e">
        <f>IF(ЦТО!#REF!="","",ЦТО!#REF!)</f>
        <v>#REF!</v>
      </c>
      <c r="C50" s="14" t="e">
        <f>IF(ЦТО!#REF!="","",ЦТО!#REF!)</f>
        <v>#REF!</v>
      </c>
      <c r="D50" s="36" t="e">
        <f>IF(ЦТО!#REF!="","",ЦТО!#REF!)</f>
        <v>#REF!</v>
      </c>
      <c r="E5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0" s="47" t="e">
        <f>IF(OR(ЦТО!#REF!=ЦТО!$BK$8,ЦТО!#REF!=ЦТО!$BK$9,ЦТО!#REF!=ЦТО!$BK$10),"Обратить внимание","Отклонений нет")</f>
        <v>#REF!</v>
      </c>
      <c r="K50" s="14" t="e">
        <f>IF(OR(ЦТО!#REF!=ЦТО!$BK$8,ЦТО!#REF!=ЦТО!$BK$9,ЦТО!#REF!=ЦТО!$BK$10),"Обратить внимание","Отклонений нет")</f>
        <v>#REF!</v>
      </c>
      <c r="L50" s="14" t="e">
        <f>IF(OR(ЦТО!#REF!=ЦТО!$BK$8,ЦТО!#REF!=ЦТО!$BK$9,ЦТО!#REF!=ЦТО!$BK$10),"Обратить внимание","Отклонений нет")</f>
        <v>#REF!</v>
      </c>
      <c r="M50" s="14" t="e">
        <f>IF(OR(ЦТО!#REF!=ЦТО!$BK$8,ЦТО!#REF!=ЦТО!$BK$9,ЦТО!#REF!=ЦТО!$BK$10),"Обратить внимание","Отклонений нет")</f>
        <v>#REF!</v>
      </c>
      <c r="N50" s="14" t="e">
        <f>IF(OR(ЦТО!#REF!=ЦТО!$BK$8,ЦТО!#REF!=ЦТО!$BK$9,ЦТО!#REF!=ЦТО!$BK$10),"Обратить внимание","Отклонений нет")</f>
        <v>#REF!</v>
      </c>
      <c r="O50" s="14" t="e">
        <f>IF(OR(ЦТО!#REF!=ЦТО!$BK$8,ЦТО!#REF!=ЦТО!$BK$9,ЦТО!#REF!=ЦТО!$BK$10),"Обратить внимание","Отклонений нет")</f>
        <v>#REF!</v>
      </c>
      <c r="P50" s="14" t="e">
        <f>IF(OR(ЦТО!#REF!=ЦТО!$BK$8,ЦТО!#REF!=ЦТО!$BK$9,ЦТО!#REF!=ЦТО!$BK$10),"Обратить внимание","Отклонений нет")</f>
        <v>#REF!</v>
      </c>
      <c r="Q50" s="14" t="e">
        <f>IF(OR(ЦТО!#REF!=ЦТО!$BK$8,ЦТО!#REF!=ЦТО!$BK$9,ЦТО!#REF!=ЦТО!$BK$10),"Обратить внимание","Отклонений нет")</f>
        <v>#REF!</v>
      </c>
      <c r="R50" s="14" t="e">
        <f>IF(OR(ЦТО!#REF!=ЦТО!$BK$8,ЦТО!#REF!=ЦТО!$BK$9,ЦТО!#REF!=ЦТО!$BK$10),"Обратить внимание","Отклонений нет")</f>
        <v>#REF!</v>
      </c>
      <c r="S50" s="14" t="e">
        <f>IF(OR(ЦТО!#REF!=ЦТО!$BK$8,ЦТО!#REF!=ЦТО!$BK$9,ЦТО!#REF!=ЦТО!$BK$10),"Обратить внимание","Отклонений нет")</f>
        <v>#REF!</v>
      </c>
      <c r="T50" s="14" t="e">
        <f>IF(OR(ЦТО!#REF!=ЦТО!$BK$8,ЦТО!#REF!=ЦТО!$BK$9,ЦТО!#REF!=ЦТО!$BK$10),"Обратить внимание","Отклонений нет")</f>
        <v>#REF!</v>
      </c>
      <c r="U50" s="14" t="e">
        <f>IF(OR(ЦТО!#REF!=ЦТО!$BK$8,ЦТО!#REF!=ЦТО!$BK$9,ЦТО!#REF!=ЦТО!$BK$10),"Обратить внимание","Отклонений нет")</f>
        <v>#REF!</v>
      </c>
      <c r="V50" s="47" t="e">
        <f>IF(OR(ЦТО!#REF!=ЦТО!$BK$8,ЦТО!#REF!=ЦТО!$BK$9,ЦТО!#REF!=ЦТО!$BK$10),"Обратить внимание","Отклонений нет")</f>
        <v>#REF!</v>
      </c>
      <c r="W50" s="47" t="e">
        <f>IF(OR(ЦТО!#REF!=ЦТО!$BK$8,ЦТО!#REF!=ЦТО!$BK$9,ЦТО!#REF!=ЦТО!$BK$10),"Обратить внимание","Отклонений нет")</f>
        <v>#REF!</v>
      </c>
      <c r="X50" s="47" t="e">
        <f>IF(OR(ЦТО!#REF!=ЦТО!$BK$8,ЦТО!#REF!=ЦТО!$BK$9,ЦТО!#REF!=ЦТО!$BK$10),"Обратить внимание","Отклонений нет")</f>
        <v>#REF!</v>
      </c>
    </row>
    <row r="51" spans="1:24" ht="18" customHeight="1">
      <c r="A51" s="10">
        <v>49</v>
      </c>
      <c r="B51" s="14" t="e">
        <f>IF(ЦТО!#REF!="","",ЦТО!#REF!)</f>
        <v>#REF!</v>
      </c>
      <c r="C51" s="14" t="e">
        <f>IF(ЦТО!#REF!="","",ЦТО!#REF!)</f>
        <v>#REF!</v>
      </c>
      <c r="D51" s="36" t="e">
        <f>IF(ЦТО!#REF!="","",ЦТО!#REF!)</f>
        <v>#REF!</v>
      </c>
      <c r="E5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1" s="47" t="e">
        <f>IF(OR(ЦТО!#REF!=ЦТО!$BK$8,ЦТО!#REF!=ЦТО!$BK$9,ЦТО!#REF!=ЦТО!$BK$10),"Обратить внимание","Отклонений нет")</f>
        <v>#REF!</v>
      </c>
      <c r="K51" s="14" t="e">
        <f>IF(OR(ЦТО!#REF!=ЦТО!$BK$8,ЦТО!#REF!=ЦТО!$BK$9,ЦТО!#REF!=ЦТО!$BK$10),"Обратить внимание","Отклонений нет")</f>
        <v>#REF!</v>
      </c>
      <c r="L51" s="14" t="e">
        <f>IF(OR(ЦТО!#REF!=ЦТО!$BK$8,ЦТО!#REF!=ЦТО!$BK$9,ЦТО!#REF!=ЦТО!$BK$10),"Обратить внимание","Отклонений нет")</f>
        <v>#REF!</v>
      </c>
      <c r="M51" s="14" t="e">
        <f>IF(OR(ЦТО!#REF!=ЦТО!$BK$8,ЦТО!#REF!=ЦТО!$BK$9,ЦТО!#REF!=ЦТО!$BK$10),"Обратить внимание","Отклонений нет")</f>
        <v>#REF!</v>
      </c>
      <c r="N51" s="14" t="e">
        <f>IF(OR(ЦТО!#REF!=ЦТО!$BK$8,ЦТО!#REF!=ЦТО!$BK$9,ЦТО!#REF!=ЦТО!$BK$10),"Обратить внимание","Отклонений нет")</f>
        <v>#REF!</v>
      </c>
      <c r="O51" s="14" t="e">
        <f>IF(OR(ЦТО!#REF!=ЦТО!$BK$8,ЦТО!#REF!=ЦТО!$BK$9,ЦТО!#REF!=ЦТО!$BK$10),"Обратить внимание","Отклонений нет")</f>
        <v>#REF!</v>
      </c>
      <c r="P51" s="14" t="e">
        <f>IF(OR(ЦТО!#REF!=ЦТО!$BK$8,ЦТО!#REF!=ЦТО!$BK$9,ЦТО!#REF!=ЦТО!$BK$10),"Обратить внимание","Отклонений нет")</f>
        <v>#REF!</v>
      </c>
      <c r="Q51" s="14" t="e">
        <f>IF(OR(ЦТО!#REF!=ЦТО!$BK$8,ЦТО!#REF!=ЦТО!$BK$9,ЦТО!#REF!=ЦТО!$BK$10),"Обратить внимание","Отклонений нет")</f>
        <v>#REF!</v>
      </c>
      <c r="R51" s="14" t="e">
        <f>IF(OR(ЦТО!#REF!=ЦТО!$BK$8,ЦТО!#REF!=ЦТО!$BK$9,ЦТО!#REF!=ЦТО!$BK$10),"Обратить внимание","Отклонений нет")</f>
        <v>#REF!</v>
      </c>
      <c r="S51" s="14" t="e">
        <f>IF(OR(ЦТО!#REF!=ЦТО!$BK$8,ЦТО!#REF!=ЦТО!$BK$9,ЦТО!#REF!=ЦТО!$BK$10),"Обратить внимание","Отклонений нет")</f>
        <v>#REF!</v>
      </c>
      <c r="T51" s="14" t="e">
        <f>IF(OR(ЦТО!#REF!=ЦТО!$BK$8,ЦТО!#REF!=ЦТО!$BK$9,ЦТО!#REF!=ЦТО!$BK$10),"Обратить внимание","Отклонений нет")</f>
        <v>#REF!</v>
      </c>
      <c r="U51" s="14" t="e">
        <f>IF(OR(ЦТО!#REF!=ЦТО!$BK$8,ЦТО!#REF!=ЦТО!$BK$9,ЦТО!#REF!=ЦТО!$BK$10),"Обратить внимание","Отклонений нет")</f>
        <v>#REF!</v>
      </c>
      <c r="V51" s="47" t="e">
        <f>IF(OR(ЦТО!#REF!=ЦТО!$BK$8,ЦТО!#REF!=ЦТО!$BK$9,ЦТО!#REF!=ЦТО!$BK$10),"Обратить внимание","Отклонений нет")</f>
        <v>#REF!</v>
      </c>
      <c r="W51" s="47" t="e">
        <f>IF(OR(ЦТО!#REF!=ЦТО!$BK$8,ЦТО!#REF!=ЦТО!$BK$9,ЦТО!#REF!=ЦТО!$BK$10),"Обратить внимание","Отклонений нет")</f>
        <v>#REF!</v>
      </c>
      <c r="X51" s="47" t="e">
        <f>IF(OR(ЦТО!#REF!=ЦТО!$BK$8,ЦТО!#REF!=ЦТО!$BK$9,ЦТО!#REF!=ЦТО!$BK$10),"Обратить внимание","Отклонений нет")</f>
        <v>#REF!</v>
      </c>
    </row>
    <row r="52" spans="1:24" ht="18" customHeight="1">
      <c r="A52" s="10">
        <v>50</v>
      </c>
      <c r="B52" s="14" t="e">
        <f>IF(ЦТО!#REF!="","",ЦТО!#REF!)</f>
        <v>#REF!</v>
      </c>
      <c r="C52" s="14" t="e">
        <f>IF(ЦТО!#REF!="","",ЦТО!#REF!)</f>
        <v>#REF!</v>
      </c>
      <c r="D52" s="36" t="e">
        <f>IF(ЦТО!#REF!="","",ЦТО!#REF!)</f>
        <v>#REF!</v>
      </c>
      <c r="E5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2" s="47" t="e">
        <f>IF(OR(ЦТО!#REF!=ЦТО!$BK$8,ЦТО!#REF!=ЦТО!$BK$9,ЦТО!#REF!=ЦТО!$BK$10),"Обратить внимание","Отклонений нет")</f>
        <v>#REF!</v>
      </c>
      <c r="K52" s="14" t="e">
        <f>IF(OR(ЦТО!#REF!=ЦТО!$BK$8,ЦТО!#REF!=ЦТО!$BK$9,ЦТО!#REF!=ЦТО!$BK$10),"Обратить внимание","Отклонений нет")</f>
        <v>#REF!</v>
      </c>
      <c r="L52" s="14" t="e">
        <f>IF(OR(ЦТО!#REF!=ЦТО!$BK$8,ЦТО!#REF!=ЦТО!$BK$9,ЦТО!#REF!=ЦТО!$BK$10),"Обратить внимание","Отклонений нет")</f>
        <v>#REF!</v>
      </c>
      <c r="M52" s="14" t="e">
        <f>IF(OR(ЦТО!#REF!=ЦТО!$BK$8,ЦТО!#REF!=ЦТО!$BK$9,ЦТО!#REF!=ЦТО!$BK$10),"Обратить внимание","Отклонений нет")</f>
        <v>#REF!</v>
      </c>
      <c r="N52" s="14" t="e">
        <f>IF(OR(ЦТО!#REF!=ЦТО!$BK$8,ЦТО!#REF!=ЦТО!$BK$9,ЦТО!#REF!=ЦТО!$BK$10),"Обратить внимание","Отклонений нет")</f>
        <v>#REF!</v>
      </c>
      <c r="O52" s="14" t="e">
        <f>IF(OR(ЦТО!#REF!=ЦТО!$BK$8,ЦТО!#REF!=ЦТО!$BK$9,ЦТО!#REF!=ЦТО!$BK$10),"Обратить внимание","Отклонений нет")</f>
        <v>#REF!</v>
      </c>
      <c r="P52" s="14" t="e">
        <f>IF(OR(ЦТО!#REF!=ЦТО!$BK$8,ЦТО!#REF!=ЦТО!$BK$9,ЦТО!#REF!=ЦТО!$BK$10),"Обратить внимание","Отклонений нет")</f>
        <v>#REF!</v>
      </c>
      <c r="Q52" s="14" t="e">
        <f>IF(OR(ЦТО!#REF!=ЦТО!$BK$8,ЦТО!#REF!=ЦТО!$BK$9,ЦТО!#REF!=ЦТО!$BK$10),"Обратить внимание","Отклонений нет")</f>
        <v>#REF!</v>
      </c>
      <c r="R52" s="14" t="e">
        <f>IF(OR(ЦТО!#REF!=ЦТО!$BK$8,ЦТО!#REF!=ЦТО!$BK$9,ЦТО!#REF!=ЦТО!$BK$10),"Обратить внимание","Отклонений нет")</f>
        <v>#REF!</v>
      </c>
      <c r="S52" s="14" t="e">
        <f>IF(OR(ЦТО!#REF!=ЦТО!$BK$8,ЦТО!#REF!=ЦТО!$BK$9,ЦТО!#REF!=ЦТО!$BK$10),"Обратить внимание","Отклонений нет")</f>
        <v>#REF!</v>
      </c>
      <c r="T52" s="14" t="e">
        <f>IF(OR(ЦТО!#REF!=ЦТО!$BK$8,ЦТО!#REF!=ЦТО!$BK$9,ЦТО!#REF!=ЦТО!$BK$10),"Обратить внимание","Отклонений нет")</f>
        <v>#REF!</v>
      </c>
      <c r="U52" s="14" t="e">
        <f>IF(OR(ЦТО!#REF!=ЦТО!$BK$8,ЦТО!#REF!=ЦТО!$BK$9,ЦТО!#REF!=ЦТО!$BK$10),"Обратить внимание","Отклонений нет")</f>
        <v>#REF!</v>
      </c>
      <c r="V52" s="47" t="e">
        <f>IF(OR(ЦТО!#REF!=ЦТО!$BK$8,ЦТО!#REF!=ЦТО!$BK$9,ЦТО!#REF!=ЦТО!$BK$10),"Обратить внимание","Отклонений нет")</f>
        <v>#REF!</v>
      </c>
      <c r="W52" s="47" t="e">
        <f>IF(OR(ЦТО!#REF!=ЦТО!$BK$8,ЦТО!#REF!=ЦТО!$BK$9,ЦТО!#REF!=ЦТО!$BK$10),"Обратить внимание","Отклонений нет")</f>
        <v>#REF!</v>
      </c>
      <c r="X52" s="47" t="e">
        <f>IF(OR(ЦТО!#REF!=ЦТО!$BK$8,ЦТО!#REF!=ЦТО!$BK$9,ЦТО!#REF!=ЦТО!$BK$10),"Обратить внимание","Отклонений нет")</f>
        <v>#REF!</v>
      </c>
    </row>
    <row r="53" spans="1:24" ht="18" customHeight="1">
      <c r="A53" s="10">
        <v>51</v>
      </c>
      <c r="B53" s="14" t="e">
        <f>IF(ЦТО!#REF!="","",ЦТО!#REF!)</f>
        <v>#REF!</v>
      </c>
      <c r="C53" s="14" t="e">
        <f>IF(ЦТО!#REF!="","",ЦТО!#REF!)</f>
        <v>#REF!</v>
      </c>
      <c r="D53" s="36" t="e">
        <f>IF(ЦТО!#REF!="","",ЦТО!#REF!)</f>
        <v>#REF!</v>
      </c>
      <c r="E5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3" s="47" t="e">
        <f>IF(OR(ЦТО!#REF!=ЦТО!$BK$8,ЦТО!#REF!=ЦТО!$BK$9,ЦТО!#REF!=ЦТО!$BK$10),"Обратить внимание","Отклонений нет")</f>
        <v>#REF!</v>
      </c>
      <c r="K53" s="14" t="e">
        <f>IF(OR(ЦТО!#REF!=ЦТО!$BK$8,ЦТО!#REF!=ЦТО!$BK$9,ЦТО!#REF!=ЦТО!$BK$10),"Обратить внимание","Отклонений нет")</f>
        <v>#REF!</v>
      </c>
      <c r="L53" s="14" t="e">
        <f>IF(OR(ЦТО!#REF!=ЦТО!$BK$8,ЦТО!#REF!=ЦТО!$BK$9,ЦТО!#REF!=ЦТО!$BK$10),"Обратить внимание","Отклонений нет")</f>
        <v>#REF!</v>
      </c>
      <c r="M53" s="14" t="e">
        <f>IF(OR(ЦТО!#REF!=ЦТО!$BK$8,ЦТО!#REF!=ЦТО!$BK$9,ЦТО!#REF!=ЦТО!$BK$10),"Обратить внимание","Отклонений нет")</f>
        <v>#REF!</v>
      </c>
      <c r="N53" s="14" t="e">
        <f>IF(OR(ЦТО!#REF!=ЦТО!$BK$8,ЦТО!#REF!=ЦТО!$BK$9,ЦТО!#REF!=ЦТО!$BK$10),"Обратить внимание","Отклонений нет")</f>
        <v>#REF!</v>
      </c>
      <c r="O53" s="14" t="e">
        <f>IF(OR(ЦТО!#REF!=ЦТО!$BK$8,ЦТО!#REF!=ЦТО!$BK$9,ЦТО!#REF!=ЦТО!$BK$10),"Обратить внимание","Отклонений нет")</f>
        <v>#REF!</v>
      </c>
      <c r="P53" s="14" t="e">
        <f>IF(OR(ЦТО!#REF!=ЦТО!$BK$8,ЦТО!#REF!=ЦТО!$BK$9,ЦТО!#REF!=ЦТО!$BK$10),"Обратить внимание","Отклонений нет")</f>
        <v>#REF!</v>
      </c>
      <c r="Q53" s="14" t="e">
        <f>IF(OR(ЦТО!#REF!=ЦТО!$BK$8,ЦТО!#REF!=ЦТО!$BK$9,ЦТО!#REF!=ЦТО!$BK$10),"Обратить внимание","Отклонений нет")</f>
        <v>#REF!</v>
      </c>
      <c r="R53" s="14" t="e">
        <f>IF(OR(ЦТО!#REF!=ЦТО!$BK$8,ЦТО!#REF!=ЦТО!$BK$9,ЦТО!#REF!=ЦТО!$BK$10),"Обратить внимание","Отклонений нет")</f>
        <v>#REF!</v>
      </c>
      <c r="S53" s="14" t="e">
        <f>IF(OR(ЦТО!#REF!=ЦТО!$BK$8,ЦТО!#REF!=ЦТО!$BK$9,ЦТО!#REF!=ЦТО!$BK$10),"Обратить внимание","Отклонений нет")</f>
        <v>#REF!</v>
      </c>
      <c r="T53" s="14" t="e">
        <f>IF(OR(ЦТО!#REF!=ЦТО!$BK$8,ЦТО!#REF!=ЦТО!$BK$9,ЦТО!#REF!=ЦТО!$BK$10),"Обратить внимание","Отклонений нет")</f>
        <v>#REF!</v>
      </c>
      <c r="U53" s="14" t="e">
        <f>IF(OR(ЦТО!#REF!=ЦТО!$BK$8,ЦТО!#REF!=ЦТО!$BK$9,ЦТО!#REF!=ЦТО!$BK$10),"Обратить внимание","Отклонений нет")</f>
        <v>#REF!</v>
      </c>
      <c r="V53" s="47" t="e">
        <f>IF(OR(ЦТО!#REF!=ЦТО!$BK$8,ЦТО!#REF!=ЦТО!$BK$9,ЦТО!#REF!=ЦТО!$BK$10),"Обратить внимание","Отклонений нет")</f>
        <v>#REF!</v>
      </c>
      <c r="W53" s="47" t="e">
        <f>IF(OR(ЦТО!#REF!=ЦТО!$BK$8,ЦТО!#REF!=ЦТО!$BK$9,ЦТО!#REF!=ЦТО!$BK$10),"Обратить внимание","Отклонений нет")</f>
        <v>#REF!</v>
      </c>
      <c r="X53" s="47" t="e">
        <f>IF(OR(ЦТО!#REF!=ЦТО!$BK$8,ЦТО!#REF!=ЦТО!$BK$9,ЦТО!#REF!=ЦТО!$BK$10),"Обратить внимание","Отклонений нет")</f>
        <v>#REF!</v>
      </c>
    </row>
    <row r="54" spans="1:24" ht="18" customHeight="1">
      <c r="A54" s="10">
        <v>52</v>
      </c>
      <c r="B54" s="14" t="e">
        <f>IF(ЦТО!#REF!="","",ЦТО!#REF!)</f>
        <v>#REF!</v>
      </c>
      <c r="C54" s="14" t="e">
        <f>IF(ЦТО!#REF!="","",ЦТО!#REF!)</f>
        <v>#REF!</v>
      </c>
      <c r="D54" s="36" t="e">
        <f>IF(ЦТО!#REF!="","",ЦТО!#REF!)</f>
        <v>#REF!</v>
      </c>
      <c r="E5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4" s="47" t="e">
        <f>IF(OR(ЦТО!#REF!=ЦТО!$BK$8,ЦТО!#REF!=ЦТО!$BK$9,ЦТО!#REF!=ЦТО!$BK$10),"Обратить внимание","Отклонений нет")</f>
        <v>#REF!</v>
      </c>
      <c r="K54" s="14" t="e">
        <f>IF(OR(ЦТО!#REF!=ЦТО!$BK$8,ЦТО!#REF!=ЦТО!$BK$9,ЦТО!#REF!=ЦТО!$BK$10),"Обратить внимание","Отклонений нет")</f>
        <v>#REF!</v>
      </c>
      <c r="L54" s="14" t="e">
        <f>IF(OR(ЦТО!#REF!=ЦТО!$BK$8,ЦТО!#REF!=ЦТО!$BK$9,ЦТО!#REF!=ЦТО!$BK$10),"Обратить внимание","Отклонений нет")</f>
        <v>#REF!</v>
      </c>
      <c r="M54" s="14" t="e">
        <f>IF(OR(ЦТО!#REF!=ЦТО!$BK$8,ЦТО!#REF!=ЦТО!$BK$9,ЦТО!#REF!=ЦТО!$BK$10),"Обратить внимание","Отклонений нет")</f>
        <v>#REF!</v>
      </c>
      <c r="N54" s="14" t="e">
        <f>IF(OR(ЦТО!#REF!=ЦТО!$BK$8,ЦТО!#REF!=ЦТО!$BK$9,ЦТО!#REF!=ЦТО!$BK$10),"Обратить внимание","Отклонений нет")</f>
        <v>#REF!</v>
      </c>
      <c r="O54" s="14" t="e">
        <f>IF(OR(ЦТО!#REF!=ЦТО!$BK$8,ЦТО!#REF!=ЦТО!$BK$9,ЦТО!#REF!=ЦТО!$BK$10),"Обратить внимание","Отклонений нет")</f>
        <v>#REF!</v>
      </c>
      <c r="P54" s="14" t="e">
        <f>IF(OR(ЦТО!#REF!=ЦТО!$BK$8,ЦТО!#REF!=ЦТО!$BK$9,ЦТО!#REF!=ЦТО!$BK$10),"Обратить внимание","Отклонений нет")</f>
        <v>#REF!</v>
      </c>
      <c r="Q54" s="14" t="e">
        <f>IF(OR(ЦТО!#REF!=ЦТО!$BK$8,ЦТО!#REF!=ЦТО!$BK$9,ЦТО!#REF!=ЦТО!$BK$10),"Обратить внимание","Отклонений нет")</f>
        <v>#REF!</v>
      </c>
      <c r="R54" s="14" t="e">
        <f>IF(OR(ЦТО!#REF!=ЦТО!$BK$8,ЦТО!#REF!=ЦТО!$BK$9,ЦТО!#REF!=ЦТО!$BK$10),"Обратить внимание","Отклонений нет")</f>
        <v>#REF!</v>
      </c>
      <c r="S54" s="14" t="e">
        <f>IF(OR(ЦТО!#REF!=ЦТО!$BK$8,ЦТО!#REF!=ЦТО!$BK$9,ЦТО!#REF!=ЦТО!$BK$10),"Обратить внимание","Отклонений нет")</f>
        <v>#REF!</v>
      </c>
      <c r="T54" s="14" t="e">
        <f>IF(OR(ЦТО!#REF!=ЦТО!$BK$8,ЦТО!#REF!=ЦТО!$BK$9,ЦТО!#REF!=ЦТО!$BK$10),"Обратить внимание","Отклонений нет")</f>
        <v>#REF!</v>
      </c>
      <c r="U54" s="14" t="e">
        <f>IF(OR(ЦТО!#REF!=ЦТО!$BK$8,ЦТО!#REF!=ЦТО!$BK$9,ЦТО!#REF!=ЦТО!$BK$10),"Обратить внимание","Отклонений нет")</f>
        <v>#REF!</v>
      </c>
      <c r="V54" s="47" t="e">
        <f>IF(OR(ЦТО!#REF!=ЦТО!$BK$8,ЦТО!#REF!=ЦТО!$BK$9,ЦТО!#REF!=ЦТО!$BK$10),"Обратить внимание","Отклонений нет")</f>
        <v>#REF!</v>
      </c>
      <c r="W54" s="47" t="e">
        <f>IF(OR(ЦТО!#REF!=ЦТО!$BK$8,ЦТО!#REF!=ЦТО!$BK$9,ЦТО!#REF!=ЦТО!$BK$10),"Обратить внимание","Отклонений нет")</f>
        <v>#REF!</v>
      </c>
      <c r="X54" s="47" t="e">
        <f>IF(OR(ЦТО!#REF!=ЦТО!$BK$8,ЦТО!#REF!=ЦТО!$BK$9,ЦТО!#REF!=ЦТО!$BK$10),"Обратить внимание","Отклонений нет")</f>
        <v>#REF!</v>
      </c>
    </row>
    <row r="55" spans="1:24" ht="18" customHeight="1">
      <c r="A55" s="10">
        <v>53</v>
      </c>
      <c r="B55" s="14" t="e">
        <f>IF(ЦТО!#REF!="","",ЦТО!#REF!)</f>
        <v>#REF!</v>
      </c>
      <c r="C55" s="14" t="e">
        <f>IF(ЦТО!#REF!="","",ЦТО!#REF!)</f>
        <v>#REF!</v>
      </c>
      <c r="D55" s="36" t="e">
        <f>IF(ЦТО!#REF!="","",ЦТО!#REF!)</f>
        <v>#REF!</v>
      </c>
      <c r="E5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5" s="47" t="e">
        <f>IF(OR(ЦТО!#REF!=ЦТО!$BK$8,ЦТО!#REF!=ЦТО!$BK$9,ЦТО!#REF!=ЦТО!$BK$10),"Обратить внимание","Отклонений нет")</f>
        <v>#REF!</v>
      </c>
      <c r="K55" s="14" t="e">
        <f>IF(OR(ЦТО!#REF!=ЦТО!$BK$8,ЦТО!#REF!=ЦТО!$BK$9,ЦТО!#REF!=ЦТО!$BK$10),"Обратить внимание","Отклонений нет")</f>
        <v>#REF!</v>
      </c>
      <c r="L55" s="14" t="e">
        <f>IF(OR(ЦТО!#REF!=ЦТО!$BK$8,ЦТО!#REF!=ЦТО!$BK$9,ЦТО!#REF!=ЦТО!$BK$10),"Обратить внимание","Отклонений нет")</f>
        <v>#REF!</v>
      </c>
      <c r="M55" s="14" t="e">
        <f>IF(OR(ЦТО!#REF!=ЦТО!$BK$8,ЦТО!#REF!=ЦТО!$BK$9,ЦТО!#REF!=ЦТО!$BK$10),"Обратить внимание","Отклонений нет")</f>
        <v>#REF!</v>
      </c>
      <c r="N55" s="14" t="e">
        <f>IF(OR(ЦТО!#REF!=ЦТО!$BK$8,ЦТО!#REF!=ЦТО!$BK$9,ЦТО!#REF!=ЦТО!$BK$10),"Обратить внимание","Отклонений нет")</f>
        <v>#REF!</v>
      </c>
      <c r="O55" s="14" t="e">
        <f>IF(OR(ЦТО!#REF!=ЦТО!$BK$8,ЦТО!#REF!=ЦТО!$BK$9,ЦТО!#REF!=ЦТО!$BK$10),"Обратить внимание","Отклонений нет")</f>
        <v>#REF!</v>
      </c>
      <c r="P55" s="14" t="e">
        <f>IF(OR(ЦТО!#REF!=ЦТО!$BK$8,ЦТО!#REF!=ЦТО!$BK$9,ЦТО!#REF!=ЦТО!$BK$10),"Обратить внимание","Отклонений нет")</f>
        <v>#REF!</v>
      </c>
      <c r="Q55" s="14" t="e">
        <f>IF(OR(ЦТО!#REF!=ЦТО!$BK$8,ЦТО!#REF!=ЦТО!$BK$9,ЦТО!#REF!=ЦТО!$BK$10),"Обратить внимание","Отклонений нет")</f>
        <v>#REF!</v>
      </c>
      <c r="R55" s="14" t="e">
        <f>IF(OR(ЦТО!#REF!=ЦТО!$BK$8,ЦТО!#REF!=ЦТО!$BK$9,ЦТО!#REF!=ЦТО!$BK$10),"Обратить внимание","Отклонений нет")</f>
        <v>#REF!</v>
      </c>
      <c r="S55" s="14" t="e">
        <f>IF(OR(ЦТО!#REF!=ЦТО!$BK$8,ЦТО!#REF!=ЦТО!$BK$9,ЦТО!#REF!=ЦТО!$BK$10),"Обратить внимание","Отклонений нет")</f>
        <v>#REF!</v>
      </c>
      <c r="T55" s="14" t="e">
        <f>IF(OR(ЦТО!#REF!=ЦТО!$BK$8,ЦТО!#REF!=ЦТО!$BK$9,ЦТО!#REF!=ЦТО!$BK$10),"Обратить внимание","Отклонений нет")</f>
        <v>#REF!</v>
      </c>
      <c r="U55" s="14" t="e">
        <f>IF(OR(ЦТО!#REF!=ЦТО!$BK$8,ЦТО!#REF!=ЦТО!$BK$9,ЦТО!#REF!=ЦТО!$BK$10),"Обратить внимание","Отклонений нет")</f>
        <v>#REF!</v>
      </c>
      <c r="V55" s="47" t="e">
        <f>IF(OR(ЦТО!#REF!=ЦТО!$BK$8,ЦТО!#REF!=ЦТО!$BK$9,ЦТО!#REF!=ЦТО!$BK$10),"Обратить внимание","Отклонений нет")</f>
        <v>#REF!</v>
      </c>
      <c r="W55" s="47" t="e">
        <f>IF(OR(ЦТО!#REF!=ЦТО!$BK$8,ЦТО!#REF!=ЦТО!$BK$9,ЦТО!#REF!=ЦТО!$BK$10),"Обратить внимание","Отклонений нет")</f>
        <v>#REF!</v>
      </c>
      <c r="X55" s="47" t="e">
        <f>IF(OR(ЦТО!#REF!=ЦТО!$BK$8,ЦТО!#REF!=ЦТО!$BK$9,ЦТО!#REF!=ЦТО!$BK$10),"Обратить внимание","Отклонений нет")</f>
        <v>#REF!</v>
      </c>
    </row>
    <row r="56" spans="1:24" ht="18" customHeight="1">
      <c r="A56" s="10">
        <v>54</v>
      </c>
      <c r="B56" s="14" t="e">
        <f>IF(ЦТО!#REF!="","",ЦТО!#REF!)</f>
        <v>#REF!</v>
      </c>
      <c r="C56" s="14" t="e">
        <f>IF(ЦТО!#REF!="","",ЦТО!#REF!)</f>
        <v>#REF!</v>
      </c>
      <c r="D56" s="36" t="e">
        <f>IF(ЦТО!#REF!="","",ЦТО!#REF!)</f>
        <v>#REF!</v>
      </c>
      <c r="E5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6" s="47" t="e">
        <f>IF(OR(ЦТО!#REF!=ЦТО!$BK$8,ЦТО!#REF!=ЦТО!$BK$9,ЦТО!#REF!=ЦТО!$BK$10),"Обратить внимание","Отклонений нет")</f>
        <v>#REF!</v>
      </c>
      <c r="K56" s="14" t="e">
        <f>IF(OR(ЦТО!#REF!=ЦТО!$BK$8,ЦТО!#REF!=ЦТО!$BK$9,ЦТО!#REF!=ЦТО!$BK$10),"Обратить внимание","Отклонений нет")</f>
        <v>#REF!</v>
      </c>
      <c r="L56" s="14" t="e">
        <f>IF(OR(ЦТО!#REF!=ЦТО!$BK$8,ЦТО!#REF!=ЦТО!$BK$9,ЦТО!#REF!=ЦТО!$BK$10),"Обратить внимание","Отклонений нет")</f>
        <v>#REF!</v>
      </c>
      <c r="M56" s="14" t="e">
        <f>IF(OR(ЦТО!#REF!=ЦТО!$BK$8,ЦТО!#REF!=ЦТО!$BK$9,ЦТО!#REF!=ЦТО!$BK$10),"Обратить внимание","Отклонений нет")</f>
        <v>#REF!</v>
      </c>
      <c r="N56" s="14" t="e">
        <f>IF(OR(ЦТО!#REF!=ЦТО!$BK$8,ЦТО!#REF!=ЦТО!$BK$9,ЦТО!#REF!=ЦТО!$BK$10),"Обратить внимание","Отклонений нет")</f>
        <v>#REF!</v>
      </c>
      <c r="O56" s="14" t="e">
        <f>IF(OR(ЦТО!#REF!=ЦТО!$BK$8,ЦТО!#REF!=ЦТО!$BK$9,ЦТО!#REF!=ЦТО!$BK$10),"Обратить внимание","Отклонений нет")</f>
        <v>#REF!</v>
      </c>
      <c r="P56" s="14" t="e">
        <f>IF(OR(ЦТО!#REF!=ЦТО!$BK$8,ЦТО!#REF!=ЦТО!$BK$9,ЦТО!#REF!=ЦТО!$BK$10),"Обратить внимание","Отклонений нет")</f>
        <v>#REF!</v>
      </c>
      <c r="Q56" s="14" t="e">
        <f>IF(OR(ЦТО!#REF!=ЦТО!$BK$8,ЦТО!#REF!=ЦТО!$BK$9,ЦТО!#REF!=ЦТО!$BK$10),"Обратить внимание","Отклонений нет")</f>
        <v>#REF!</v>
      </c>
      <c r="R56" s="14" t="e">
        <f>IF(OR(ЦТО!#REF!=ЦТО!$BK$8,ЦТО!#REF!=ЦТО!$BK$9,ЦТО!#REF!=ЦТО!$BK$10),"Обратить внимание","Отклонений нет")</f>
        <v>#REF!</v>
      </c>
      <c r="S56" s="14" t="e">
        <f>IF(OR(ЦТО!#REF!=ЦТО!$BK$8,ЦТО!#REF!=ЦТО!$BK$9,ЦТО!#REF!=ЦТО!$BK$10),"Обратить внимание","Отклонений нет")</f>
        <v>#REF!</v>
      </c>
      <c r="T56" s="14" t="e">
        <f>IF(OR(ЦТО!#REF!=ЦТО!$BK$8,ЦТО!#REF!=ЦТО!$BK$9,ЦТО!#REF!=ЦТО!$BK$10),"Обратить внимание","Отклонений нет")</f>
        <v>#REF!</v>
      </c>
      <c r="U56" s="14" t="e">
        <f>IF(OR(ЦТО!#REF!=ЦТО!$BK$8,ЦТО!#REF!=ЦТО!$BK$9,ЦТО!#REF!=ЦТО!$BK$10),"Обратить внимание","Отклонений нет")</f>
        <v>#REF!</v>
      </c>
      <c r="V56" s="47" t="e">
        <f>IF(OR(ЦТО!#REF!=ЦТО!$BK$8,ЦТО!#REF!=ЦТО!$BK$9,ЦТО!#REF!=ЦТО!$BK$10),"Обратить внимание","Отклонений нет")</f>
        <v>#REF!</v>
      </c>
      <c r="W56" s="47" t="e">
        <f>IF(OR(ЦТО!#REF!=ЦТО!$BK$8,ЦТО!#REF!=ЦТО!$BK$9,ЦТО!#REF!=ЦТО!$BK$10),"Обратить внимание","Отклонений нет")</f>
        <v>#REF!</v>
      </c>
      <c r="X56" s="47" t="e">
        <f>IF(OR(ЦТО!#REF!=ЦТО!$BK$8,ЦТО!#REF!=ЦТО!$BK$9,ЦТО!#REF!=ЦТО!$BK$10),"Обратить внимание","Отклонений нет")</f>
        <v>#REF!</v>
      </c>
    </row>
    <row r="57" spans="1:24" ht="18" customHeight="1">
      <c r="A57" s="10">
        <v>55</v>
      </c>
      <c r="B57" s="14" t="e">
        <f>IF(ЦТО!#REF!="","",ЦТО!#REF!)</f>
        <v>#REF!</v>
      </c>
      <c r="C57" s="14" t="e">
        <f>IF(ЦТО!#REF!="","",ЦТО!#REF!)</f>
        <v>#REF!</v>
      </c>
      <c r="D57" s="36" t="e">
        <f>IF(ЦТО!#REF!="","",ЦТО!#REF!)</f>
        <v>#REF!</v>
      </c>
      <c r="E5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7" s="47" t="e">
        <f>IF(OR(ЦТО!#REF!=ЦТО!$BK$8,ЦТО!#REF!=ЦТО!$BK$9,ЦТО!#REF!=ЦТО!$BK$10),"Обратить внимание","Отклонений нет")</f>
        <v>#REF!</v>
      </c>
      <c r="K57" s="14" t="e">
        <f>IF(OR(ЦТО!#REF!=ЦТО!$BK$8,ЦТО!#REF!=ЦТО!$BK$9,ЦТО!#REF!=ЦТО!$BK$10),"Обратить внимание","Отклонений нет")</f>
        <v>#REF!</v>
      </c>
      <c r="L57" s="14" t="e">
        <f>IF(OR(ЦТО!#REF!=ЦТО!$BK$8,ЦТО!#REF!=ЦТО!$BK$9,ЦТО!#REF!=ЦТО!$BK$10),"Обратить внимание","Отклонений нет")</f>
        <v>#REF!</v>
      </c>
      <c r="M57" s="14" t="e">
        <f>IF(OR(ЦТО!#REF!=ЦТО!$BK$8,ЦТО!#REF!=ЦТО!$BK$9,ЦТО!#REF!=ЦТО!$BK$10),"Обратить внимание","Отклонений нет")</f>
        <v>#REF!</v>
      </c>
      <c r="N57" s="14" t="e">
        <f>IF(OR(ЦТО!#REF!=ЦТО!$BK$8,ЦТО!#REF!=ЦТО!$BK$9,ЦТО!#REF!=ЦТО!$BK$10),"Обратить внимание","Отклонений нет")</f>
        <v>#REF!</v>
      </c>
      <c r="O57" s="14" t="e">
        <f>IF(OR(ЦТО!#REF!=ЦТО!$BK$8,ЦТО!#REF!=ЦТО!$BK$9,ЦТО!#REF!=ЦТО!$BK$10),"Обратить внимание","Отклонений нет")</f>
        <v>#REF!</v>
      </c>
      <c r="P57" s="14" t="e">
        <f>IF(OR(ЦТО!#REF!=ЦТО!$BK$8,ЦТО!#REF!=ЦТО!$BK$9,ЦТО!#REF!=ЦТО!$BK$10),"Обратить внимание","Отклонений нет")</f>
        <v>#REF!</v>
      </c>
      <c r="Q57" s="14" t="e">
        <f>IF(OR(ЦТО!#REF!=ЦТО!$BK$8,ЦТО!#REF!=ЦТО!$BK$9,ЦТО!#REF!=ЦТО!$BK$10),"Обратить внимание","Отклонений нет")</f>
        <v>#REF!</v>
      </c>
      <c r="R57" s="14" t="e">
        <f>IF(OR(ЦТО!#REF!=ЦТО!$BK$8,ЦТО!#REF!=ЦТО!$BK$9,ЦТО!#REF!=ЦТО!$BK$10),"Обратить внимание","Отклонений нет")</f>
        <v>#REF!</v>
      </c>
      <c r="S57" s="14" t="e">
        <f>IF(OR(ЦТО!#REF!=ЦТО!$BK$8,ЦТО!#REF!=ЦТО!$BK$9,ЦТО!#REF!=ЦТО!$BK$10),"Обратить внимание","Отклонений нет")</f>
        <v>#REF!</v>
      </c>
      <c r="T57" s="14" t="e">
        <f>IF(OR(ЦТО!#REF!=ЦТО!$BK$8,ЦТО!#REF!=ЦТО!$BK$9,ЦТО!#REF!=ЦТО!$BK$10),"Обратить внимание","Отклонений нет")</f>
        <v>#REF!</v>
      </c>
      <c r="U57" s="14" t="e">
        <f>IF(OR(ЦТО!#REF!=ЦТО!$BK$8,ЦТО!#REF!=ЦТО!$BK$9,ЦТО!#REF!=ЦТО!$BK$10),"Обратить внимание","Отклонений нет")</f>
        <v>#REF!</v>
      </c>
      <c r="V57" s="47" t="e">
        <f>IF(OR(ЦТО!#REF!=ЦТО!$BK$8,ЦТО!#REF!=ЦТО!$BK$9,ЦТО!#REF!=ЦТО!$BK$10),"Обратить внимание","Отклонений нет")</f>
        <v>#REF!</v>
      </c>
      <c r="W57" s="47" t="e">
        <f>IF(OR(ЦТО!#REF!=ЦТО!$BK$8,ЦТО!#REF!=ЦТО!$BK$9,ЦТО!#REF!=ЦТО!$BK$10),"Обратить внимание","Отклонений нет")</f>
        <v>#REF!</v>
      </c>
      <c r="X57" s="47" t="e">
        <f>IF(OR(ЦТО!#REF!=ЦТО!$BK$8,ЦТО!#REF!=ЦТО!$BK$9,ЦТО!#REF!=ЦТО!$BK$10),"Обратить внимание","Отклонений нет")</f>
        <v>#REF!</v>
      </c>
    </row>
    <row r="58" spans="1:24" ht="18" customHeight="1">
      <c r="A58" s="10">
        <v>56</v>
      </c>
      <c r="B58" s="14" t="e">
        <f>IF(ЦТО!#REF!="","",ЦТО!#REF!)</f>
        <v>#REF!</v>
      </c>
      <c r="C58" s="14" t="e">
        <f>IF(ЦТО!#REF!="","",ЦТО!#REF!)</f>
        <v>#REF!</v>
      </c>
      <c r="D58" s="36" t="e">
        <f>IF(ЦТО!#REF!="","",ЦТО!#REF!)</f>
        <v>#REF!</v>
      </c>
      <c r="E5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8" s="47" t="e">
        <f>IF(OR(ЦТО!#REF!=ЦТО!$BK$8,ЦТО!#REF!=ЦТО!$BK$9,ЦТО!#REF!=ЦТО!$BK$10),"Обратить внимание","Отклонений нет")</f>
        <v>#REF!</v>
      </c>
      <c r="K58" s="14" t="e">
        <f>IF(OR(ЦТО!#REF!=ЦТО!$BK$8,ЦТО!#REF!=ЦТО!$BK$9,ЦТО!#REF!=ЦТО!$BK$10),"Обратить внимание","Отклонений нет")</f>
        <v>#REF!</v>
      </c>
      <c r="L58" s="14" t="e">
        <f>IF(OR(ЦТО!#REF!=ЦТО!$BK$8,ЦТО!#REF!=ЦТО!$BK$9,ЦТО!#REF!=ЦТО!$BK$10),"Обратить внимание","Отклонений нет")</f>
        <v>#REF!</v>
      </c>
      <c r="M58" s="14" t="e">
        <f>IF(OR(ЦТО!#REF!=ЦТО!$BK$8,ЦТО!#REF!=ЦТО!$BK$9,ЦТО!#REF!=ЦТО!$BK$10),"Обратить внимание","Отклонений нет")</f>
        <v>#REF!</v>
      </c>
      <c r="N58" s="14" t="e">
        <f>IF(OR(ЦТО!#REF!=ЦТО!$BK$8,ЦТО!#REF!=ЦТО!$BK$9,ЦТО!#REF!=ЦТО!$BK$10),"Обратить внимание","Отклонений нет")</f>
        <v>#REF!</v>
      </c>
      <c r="O58" s="14" t="e">
        <f>IF(OR(ЦТО!#REF!=ЦТО!$BK$8,ЦТО!#REF!=ЦТО!$BK$9,ЦТО!#REF!=ЦТО!$BK$10),"Обратить внимание","Отклонений нет")</f>
        <v>#REF!</v>
      </c>
      <c r="P58" s="14" t="e">
        <f>IF(OR(ЦТО!#REF!=ЦТО!$BK$8,ЦТО!#REF!=ЦТО!$BK$9,ЦТО!#REF!=ЦТО!$BK$10),"Обратить внимание","Отклонений нет")</f>
        <v>#REF!</v>
      </c>
      <c r="Q58" s="14" t="e">
        <f>IF(OR(ЦТО!#REF!=ЦТО!$BK$8,ЦТО!#REF!=ЦТО!$BK$9,ЦТО!#REF!=ЦТО!$BK$10),"Обратить внимание","Отклонений нет")</f>
        <v>#REF!</v>
      </c>
      <c r="R58" s="14" t="e">
        <f>IF(OR(ЦТО!#REF!=ЦТО!$BK$8,ЦТО!#REF!=ЦТО!$BK$9,ЦТО!#REF!=ЦТО!$BK$10),"Обратить внимание","Отклонений нет")</f>
        <v>#REF!</v>
      </c>
      <c r="S58" s="14" t="e">
        <f>IF(OR(ЦТО!#REF!=ЦТО!$BK$8,ЦТО!#REF!=ЦТО!$BK$9,ЦТО!#REF!=ЦТО!$BK$10),"Обратить внимание","Отклонений нет")</f>
        <v>#REF!</v>
      </c>
      <c r="T58" s="14" t="e">
        <f>IF(OR(ЦТО!#REF!=ЦТО!$BK$8,ЦТО!#REF!=ЦТО!$BK$9,ЦТО!#REF!=ЦТО!$BK$10),"Обратить внимание","Отклонений нет")</f>
        <v>#REF!</v>
      </c>
      <c r="U58" s="14" t="e">
        <f>IF(OR(ЦТО!#REF!=ЦТО!$BK$8,ЦТО!#REF!=ЦТО!$BK$9,ЦТО!#REF!=ЦТО!$BK$10),"Обратить внимание","Отклонений нет")</f>
        <v>#REF!</v>
      </c>
      <c r="V58" s="47" t="e">
        <f>IF(OR(ЦТО!#REF!=ЦТО!$BK$8,ЦТО!#REF!=ЦТО!$BK$9,ЦТО!#REF!=ЦТО!$BK$10),"Обратить внимание","Отклонений нет")</f>
        <v>#REF!</v>
      </c>
      <c r="W58" s="47" t="e">
        <f>IF(OR(ЦТО!#REF!=ЦТО!$BK$8,ЦТО!#REF!=ЦТО!$BK$9,ЦТО!#REF!=ЦТО!$BK$10),"Обратить внимание","Отклонений нет")</f>
        <v>#REF!</v>
      </c>
      <c r="X58" s="47" t="e">
        <f>IF(OR(ЦТО!#REF!=ЦТО!$BK$8,ЦТО!#REF!=ЦТО!$BK$9,ЦТО!#REF!=ЦТО!$BK$10),"Обратить внимание","Отклонений нет")</f>
        <v>#REF!</v>
      </c>
    </row>
    <row r="59" spans="1:24" ht="18" customHeight="1">
      <c r="A59" s="10">
        <v>57</v>
      </c>
      <c r="B59" s="14" t="e">
        <f>IF(ЦТО!#REF!="","",ЦТО!#REF!)</f>
        <v>#REF!</v>
      </c>
      <c r="C59" s="14" t="e">
        <f>IF(ЦТО!#REF!="","",ЦТО!#REF!)</f>
        <v>#REF!</v>
      </c>
      <c r="D59" s="36" t="e">
        <f>IF(ЦТО!#REF!="","",ЦТО!#REF!)</f>
        <v>#REF!</v>
      </c>
      <c r="E5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5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5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5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5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59" s="47" t="e">
        <f>IF(OR(ЦТО!#REF!=ЦТО!$BK$8,ЦТО!#REF!=ЦТО!$BK$9,ЦТО!#REF!=ЦТО!$BK$10),"Обратить внимание","Отклонений нет")</f>
        <v>#REF!</v>
      </c>
      <c r="K59" s="14" t="e">
        <f>IF(OR(ЦТО!#REF!=ЦТО!$BK$8,ЦТО!#REF!=ЦТО!$BK$9,ЦТО!#REF!=ЦТО!$BK$10),"Обратить внимание","Отклонений нет")</f>
        <v>#REF!</v>
      </c>
      <c r="L59" s="14" t="e">
        <f>IF(OR(ЦТО!#REF!=ЦТО!$BK$8,ЦТО!#REF!=ЦТО!$BK$9,ЦТО!#REF!=ЦТО!$BK$10),"Обратить внимание","Отклонений нет")</f>
        <v>#REF!</v>
      </c>
      <c r="M59" s="14" t="e">
        <f>IF(OR(ЦТО!#REF!=ЦТО!$BK$8,ЦТО!#REF!=ЦТО!$BK$9,ЦТО!#REF!=ЦТО!$BK$10),"Обратить внимание","Отклонений нет")</f>
        <v>#REF!</v>
      </c>
      <c r="N59" s="14" t="e">
        <f>IF(OR(ЦТО!#REF!=ЦТО!$BK$8,ЦТО!#REF!=ЦТО!$BK$9,ЦТО!#REF!=ЦТО!$BK$10),"Обратить внимание","Отклонений нет")</f>
        <v>#REF!</v>
      </c>
      <c r="O59" s="14" t="e">
        <f>IF(OR(ЦТО!#REF!=ЦТО!$BK$8,ЦТО!#REF!=ЦТО!$BK$9,ЦТО!#REF!=ЦТО!$BK$10),"Обратить внимание","Отклонений нет")</f>
        <v>#REF!</v>
      </c>
      <c r="P59" s="14" t="e">
        <f>IF(OR(ЦТО!#REF!=ЦТО!$BK$8,ЦТО!#REF!=ЦТО!$BK$9,ЦТО!#REF!=ЦТО!$BK$10),"Обратить внимание","Отклонений нет")</f>
        <v>#REF!</v>
      </c>
      <c r="Q59" s="14" t="e">
        <f>IF(OR(ЦТО!#REF!=ЦТО!$BK$8,ЦТО!#REF!=ЦТО!$BK$9,ЦТО!#REF!=ЦТО!$BK$10),"Обратить внимание","Отклонений нет")</f>
        <v>#REF!</v>
      </c>
      <c r="R59" s="14" t="e">
        <f>IF(OR(ЦТО!#REF!=ЦТО!$BK$8,ЦТО!#REF!=ЦТО!$BK$9,ЦТО!#REF!=ЦТО!$BK$10),"Обратить внимание","Отклонений нет")</f>
        <v>#REF!</v>
      </c>
      <c r="S59" s="14" t="e">
        <f>IF(OR(ЦТО!#REF!=ЦТО!$BK$8,ЦТО!#REF!=ЦТО!$BK$9,ЦТО!#REF!=ЦТО!$BK$10),"Обратить внимание","Отклонений нет")</f>
        <v>#REF!</v>
      </c>
      <c r="T59" s="14" t="e">
        <f>IF(OR(ЦТО!#REF!=ЦТО!$BK$8,ЦТО!#REF!=ЦТО!$BK$9,ЦТО!#REF!=ЦТО!$BK$10),"Обратить внимание","Отклонений нет")</f>
        <v>#REF!</v>
      </c>
      <c r="U59" s="14" t="e">
        <f>IF(OR(ЦТО!#REF!=ЦТО!$BK$8,ЦТО!#REF!=ЦТО!$BK$9,ЦТО!#REF!=ЦТО!$BK$10),"Обратить внимание","Отклонений нет")</f>
        <v>#REF!</v>
      </c>
      <c r="V59" s="47" t="e">
        <f>IF(OR(ЦТО!#REF!=ЦТО!$BK$8,ЦТО!#REF!=ЦТО!$BK$9,ЦТО!#REF!=ЦТО!$BK$10),"Обратить внимание","Отклонений нет")</f>
        <v>#REF!</v>
      </c>
      <c r="W59" s="47" t="e">
        <f>IF(OR(ЦТО!#REF!=ЦТО!$BK$8,ЦТО!#REF!=ЦТО!$BK$9,ЦТО!#REF!=ЦТО!$BK$10),"Обратить внимание","Отклонений нет")</f>
        <v>#REF!</v>
      </c>
      <c r="X59" s="47" t="e">
        <f>IF(OR(ЦТО!#REF!=ЦТО!$BK$8,ЦТО!#REF!=ЦТО!$BK$9,ЦТО!#REF!=ЦТО!$BK$10),"Обратить внимание","Отклонений нет")</f>
        <v>#REF!</v>
      </c>
    </row>
    <row r="60" spans="1:24" ht="18" customHeight="1">
      <c r="A60" s="10">
        <v>58</v>
      </c>
      <c r="B60" s="14" t="e">
        <f>IF(ЦТО!#REF!="","",ЦТО!#REF!)</f>
        <v>#REF!</v>
      </c>
      <c r="C60" s="14" t="e">
        <f>IF(ЦТО!#REF!="","",ЦТО!#REF!)</f>
        <v>#REF!</v>
      </c>
      <c r="D60" s="36" t="e">
        <f>IF(ЦТО!#REF!="","",ЦТО!#REF!)</f>
        <v>#REF!</v>
      </c>
      <c r="E6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0" s="47" t="e">
        <f>IF(OR(ЦТО!#REF!=ЦТО!$BK$8,ЦТО!#REF!=ЦТО!$BK$9,ЦТО!#REF!=ЦТО!$BK$10),"Обратить внимание","Отклонений нет")</f>
        <v>#REF!</v>
      </c>
      <c r="K60" s="14" t="e">
        <f>IF(OR(ЦТО!#REF!=ЦТО!$BK$8,ЦТО!#REF!=ЦТО!$BK$9,ЦТО!#REF!=ЦТО!$BK$10),"Обратить внимание","Отклонений нет")</f>
        <v>#REF!</v>
      </c>
      <c r="L60" s="14" t="e">
        <f>IF(OR(ЦТО!#REF!=ЦТО!$BK$8,ЦТО!#REF!=ЦТО!$BK$9,ЦТО!#REF!=ЦТО!$BK$10),"Обратить внимание","Отклонений нет")</f>
        <v>#REF!</v>
      </c>
      <c r="M60" s="14" t="e">
        <f>IF(OR(ЦТО!#REF!=ЦТО!$BK$8,ЦТО!#REF!=ЦТО!$BK$9,ЦТО!#REF!=ЦТО!$BK$10),"Обратить внимание","Отклонений нет")</f>
        <v>#REF!</v>
      </c>
      <c r="N60" s="14" t="e">
        <f>IF(OR(ЦТО!#REF!=ЦТО!$BK$8,ЦТО!#REF!=ЦТО!$BK$9,ЦТО!#REF!=ЦТО!$BK$10),"Обратить внимание","Отклонений нет")</f>
        <v>#REF!</v>
      </c>
      <c r="O60" s="14" t="e">
        <f>IF(OR(ЦТО!#REF!=ЦТО!$BK$8,ЦТО!#REF!=ЦТО!$BK$9,ЦТО!#REF!=ЦТО!$BK$10),"Обратить внимание","Отклонений нет")</f>
        <v>#REF!</v>
      </c>
      <c r="P60" s="14" t="e">
        <f>IF(OR(ЦТО!#REF!=ЦТО!$BK$8,ЦТО!#REF!=ЦТО!$BK$9,ЦТО!#REF!=ЦТО!$BK$10),"Обратить внимание","Отклонений нет")</f>
        <v>#REF!</v>
      </c>
      <c r="Q60" s="14" t="e">
        <f>IF(OR(ЦТО!#REF!=ЦТО!$BK$8,ЦТО!#REF!=ЦТО!$BK$9,ЦТО!#REF!=ЦТО!$BK$10),"Обратить внимание","Отклонений нет")</f>
        <v>#REF!</v>
      </c>
      <c r="R60" s="14" t="e">
        <f>IF(OR(ЦТО!#REF!=ЦТО!$BK$8,ЦТО!#REF!=ЦТО!$BK$9,ЦТО!#REF!=ЦТО!$BK$10),"Обратить внимание","Отклонений нет")</f>
        <v>#REF!</v>
      </c>
      <c r="S60" s="14" t="e">
        <f>IF(OR(ЦТО!#REF!=ЦТО!$BK$8,ЦТО!#REF!=ЦТО!$BK$9,ЦТО!#REF!=ЦТО!$BK$10),"Обратить внимание","Отклонений нет")</f>
        <v>#REF!</v>
      </c>
      <c r="T60" s="14" t="e">
        <f>IF(OR(ЦТО!#REF!=ЦТО!$BK$8,ЦТО!#REF!=ЦТО!$BK$9,ЦТО!#REF!=ЦТО!$BK$10),"Обратить внимание","Отклонений нет")</f>
        <v>#REF!</v>
      </c>
      <c r="U60" s="14" t="e">
        <f>IF(OR(ЦТО!#REF!=ЦТО!$BK$8,ЦТО!#REF!=ЦТО!$BK$9,ЦТО!#REF!=ЦТО!$BK$10),"Обратить внимание","Отклонений нет")</f>
        <v>#REF!</v>
      </c>
      <c r="V60" s="47" t="e">
        <f>IF(OR(ЦТО!#REF!=ЦТО!$BK$8,ЦТО!#REF!=ЦТО!$BK$9,ЦТО!#REF!=ЦТО!$BK$10),"Обратить внимание","Отклонений нет")</f>
        <v>#REF!</v>
      </c>
      <c r="W60" s="47" t="e">
        <f>IF(OR(ЦТО!#REF!=ЦТО!$BK$8,ЦТО!#REF!=ЦТО!$BK$9,ЦТО!#REF!=ЦТО!$BK$10),"Обратить внимание","Отклонений нет")</f>
        <v>#REF!</v>
      </c>
      <c r="X60" s="47" t="e">
        <f>IF(OR(ЦТО!#REF!=ЦТО!$BK$8,ЦТО!#REF!=ЦТО!$BK$9,ЦТО!#REF!=ЦТО!$BK$10),"Обратить внимание","Отклонений нет")</f>
        <v>#REF!</v>
      </c>
    </row>
    <row r="61" spans="1:24" ht="18" customHeight="1">
      <c r="A61" s="10">
        <v>59</v>
      </c>
      <c r="B61" s="14" t="e">
        <f>IF(ЦТО!#REF!="","",ЦТО!#REF!)</f>
        <v>#REF!</v>
      </c>
      <c r="C61" s="14" t="e">
        <f>IF(ЦТО!#REF!="","",ЦТО!#REF!)</f>
        <v>#REF!</v>
      </c>
      <c r="D61" s="36" t="e">
        <f>IF(ЦТО!#REF!="","",ЦТО!#REF!)</f>
        <v>#REF!</v>
      </c>
      <c r="E6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1" s="47" t="e">
        <f>IF(OR(ЦТО!#REF!=ЦТО!$BK$8,ЦТО!#REF!=ЦТО!$BK$9,ЦТО!#REF!=ЦТО!$BK$10),"Обратить внимание","Отклонений нет")</f>
        <v>#REF!</v>
      </c>
      <c r="K61" s="14" t="e">
        <f>IF(OR(ЦТО!#REF!=ЦТО!$BK$8,ЦТО!#REF!=ЦТО!$BK$9,ЦТО!#REF!=ЦТО!$BK$10),"Обратить внимание","Отклонений нет")</f>
        <v>#REF!</v>
      </c>
      <c r="L61" s="14" t="e">
        <f>IF(OR(ЦТО!#REF!=ЦТО!$BK$8,ЦТО!#REF!=ЦТО!$BK$9,ЦТО!#REF!=ЦТО!$BK$10),"Обратить внимание","Отклонений нет")</f>
        <v>#REF!</v>
      </c>
      <c r="M61" s="14" t="e">
        <f>IF(OR(ЦТО!#REF!=ЦТО!$BK$8,ЦТО!#REF!=ЦТО!$BK$9,ЦТО!#REF!=ЦТО!$BK$10),"Обратить внимание","Отклонений нет")</f>
        <v>#REF!</v>
      </c>
      <c r="N61" s="14" t="e">
        <f>IF(OR(ЦТО!#REF!=ЦТО!$BK$8,ЦТО!#REF!=ЦТО!$BK$9,ЦТО!#REF!=ЦТО!$BK$10),"Обратить внимание","Отклонений нет")</f>
        <v>#REF!</v>
      </c>
      <c r="O61" s="14" t="e">
        <f>IF(OR(ЦТО!#REF!=ЦТО!$BK$8,ЦТО!#REF!=ЦТО!$BK$9,ЦТО!#REF!=ЦТО!$BK$10),"Обратить внимание","Отклонений нет")</f>
        <v>#REF!</v>
      </c>
      <c r="P61" s="14" t="e">
        <f>IF(OR(ЦТО!#REF!=ЦТО!$BK$8,ЦТО!#REF!=ЦТО!$BK$9,ЦТО!#REF!=ЦТО!$BK$10),"Обратить внимание","Отклонений нет")</f>
        <v>#REF!</v>
      </c>
      <c r="Q61" s="14" t="e">
        <f>IF(OR(ЦТО!#REF!=ЦТО!$BK$8,ЦТО!#REF!=ЦТО!$BK$9,ЦТО!#REF!=ЦТО!$BK$10),"Обратить внимание","Отклонений нет")</f>
        <v>#REF!</v>
      </c>
      <c r="R61" s="14" t="e">
        <f>IF(OR(ЦТО!#REF!=ЦТО!$BK$8,ЦТО!#REF!=ЦТО!$BK$9,ЦТО!#REF!=ЦТО!$BK$10),"Обратить внимание","Отклонений нет")</f>
        <v>#REF!</v>
      </c>
      <c r="S61" s="14" t="e">
        <f>IF(OR(ЦТО!#REF!=ЦТО!$BK$8,ЦТО!#REF!=ЦТО!$BK$9,ЦТО!#REF!=ЦТО!$BK$10),"Обратить внимание","Отклонений нет")</f>
        <v>#REF!</v>
      </c>
      <c r="T61" s="14" t="e">
        <f>IF(OR(ЦТО!#REF!=ЦТО!$BK$8,ЦТО!#REF!=ЦТО!$BK$9,ЦТО!#REF!=ЦТО!$BK$10),"Обратить внимание","Отклонений нет")</f>
        <v>#REF!</v>
      </c>
      <c r="U61" s="14" t="e">
        <f>IF(OR(ЦТО!#REF!=ЦТО!$BK$8,ЦТО!#REF!=ЦТО!$BK$9,ЦТО!#REF!=ЦТО!$BK$10),"Обратить внимание","Отклонений нет")</f>
        <v>#REF!</v>
      </c>
      <c r="V61" s="47" t="e">
        <f>IF(OR(ЦТО!#REF!=ЦТО!$BK$8,ЦТО!#REF!=ЦТО!$BK$9,ЦТО!#REF!=ЦТО!$BK$10),"Обратить внимание","Отклонений нет")</f>
        <v>#REF!</v>
      </c>
      <c r="W61" s="47" t="e">
        <f>IF(OR(ЦТО!#REF!=ЦТО!$BK$8,ЦТО!#REF!=ЦТО!$BK$9,ЦТО!#REF!=ЦТО!$BK$10),"Обратить внимание","Отклонений нет")</f>
        <v>#REF!</v>
      </c>
      <c r="X61" s="47" t="e">
        <f>IF(OR(ЦТО!#REF!=ЦТО!$BK$8,ЦТО!#REF!=ЦТО!$BK$9,ЦТО!#REF!=ЦТО!$BK$10),"Обратить внимание","Отклонений нет")</f>
        <v>#REF!</v>
      </c>
    </row>
    <row r="62" spans="1:24" ht="18" customHeight="1">
      <c r="A62" s="10">
        <v>60</v>
      </c>
      <c r="B62" s="14" t="e">
        <f>IF(ЦТО!#REF!="","",ЦТО!#REF!)</f>
        <v>#REF!</v>
      </c>
      <c r="C62" s="14" t="e">
        <f>IF(ЦТО!#REF!="","",ЦТО!#REF!)</f>
        <v>#REF!</v>
      </c>
      <c r="D62" s="36" t="e">
        <f>IF(ЦТО!#REF!="","",ЦТО!#REF!)</f>
        <v>#REF!</v>
      </c>
      <c r="E6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2" s="47" t="e">
        <f>IF(OR(ЦТО!#REF!=ЦТО!$BK$8,ЦТО!#REF!=ЦТО!$BK$9,ЦТО!#REF!=ЦТО!$BK$10),"Обратить внимание","Отклонений нет")</f>
        <v>#REF!</v>
      </c>
      <c r="K62" s="14" t="e">
        <f>IF(OR(ЦТО!#REF!=ЦТО!$BK$8,ЦТО!#REF!=ЦТО!$BK$9,ЦТО!#REF!=ЦТО!$BK$10),"Обратить внимание","Отклонений нет")</f>
        <v>#REF!</v>
      </c>
      <c r="L62" s="14" t="e">
        <f>IF(OR(ЦТО!#REF!=ЦТО!$BK$8,ЦТО!#REF!=ЦТО!$BK$9,ЦТО!#REF!=ЦТО!$BK$10),"Обратить внимание","Отклонений нет")</f>
        <v>#REF!</v>
      </c>
      <c r="M62" s="14" t="e">
        <f>IF(OR(ЦТО!#REF!=ЦТО!$BK$8,ЦТО!#REF!=ЦТО!$BK$9,ЦТО!#REF!=ЦТО!$BK$10),"Обратить внимание","Отклонений нет")</f>
        <v>#REF!</v>
      </c>
      <c r="N62" s="14" t="e">
        <f>IF(OR(ЦТО!#REF!=ЦТО!$BK$8,ЦТО!#REF!=ЦТО!$BK$9,ЦТО!#REF!=ЦТО!$BK$10),"Обратить внимание","Отклонений нет")</f>
        <v>#REF!</v>
      </c>
      <c r="O62" s="14" t="e">
        <f>IF(OR(ЦТО!#REF!=ЦТО!$BK$8,ЦТО!#REF!=ЦТО!$BK$9,ЦТО!#REF!=ЦТО!$BK$10),"Обратить внимание","Отклонений нет")</f>
        <v>#REF!</v>
      </c>
      <c r="P62" s="14" t="e">
        <f>IF(OR(ЦТО!#REF!=ЦТО!$BK$8,ЦТО!#REF!=ЦТО!$BK$9,ЦТО!#REF!=ЦТО!$BK$10),"Обратить внимание","Отклонений нет")</f>
        <v>#REF!</v>
      </c>
      <c r="Q62" s="14" t="e">
        <f>IF(OR(ЦТО!#REF!=ЦТО!$BK$8,ЦТО!#REF!=ЦТО!$BK$9,ЦТО!#REF!=ЦТО!$BK$10),"Обратить внимание","Отклонений нет")</f>
        <v>#REF!</v>
      </c>
      <c r="R62" s="14" t="e">
        <f>IF(OR(ЦТО!#REF!=ЦТО!$BK$8,ЦТО!#REF!=ЦТО!$BK$9,ЦТО!#REF!=ЦТО!$BK$10),"Обратить внимание","Отклонений нет")</f>
        <v>#REF!</v>
      </c>
      <c r="S62" s="14" t="e">
        <f>IF(OR(ЦТО!#REF!=ЦТО!$BK$8,ЦТО!#REF!=ЦТО!$BK$9,ЦТО!#REF!=ЦТО!$BK$10),"Обратить внимание","Отклонений нет")</f>
        <v>#REF!</v>
      </c>
      <c r="T62" s="14" t="e">
        <f>IF(OR(ЦТО!#REF!=ЦТО!$BK$8,ЦТО!#REF!=ЦТО!$BK$9,ЦТО!#REF!=ЦТО!$BK$10),"Обратить внимание","Отклонений нет")</f>
        <v>#REF!</v>
      </c>
      <c r="U62" s="14" t="e">
        <f>IF(OR(ЦТО!#REF!=ЦТО!$BK$8,ЦТО!#REF!=ЦТО!$BK$9,ЦТО!#REF!=ЦТО!$BK$10),"Обратить внимание","Отклонений нет")</f>
        <v>#REF!</v>
      </c>
      <c r="V62" s="47" t="e">
        <f>IF(OR(ЦТО!#REF!=ЦТО!$BK$8,ЦТО!#REF!=ЦТО!$BK$9,ЦТО!#REF!=ЦТО!$BK$10),"Обратить внимание","Отклонений нет")</f>
        <v>#REF!</v>
      </c>
      <c r="W62" s="47" t="e">
        <f>IF(OR(ЦТО!#REF!=ЦТО!$BK$8,ЦТО!#REF!=ЦТО!$BK$9,ЦТО!#REF!=ЦТО!$BK$10),"Обратить внимание","Отклонений нет")</f>
        <v>#REF!</v>
      </c>
      <c r="X62" s="47" t="e">
        <f>IF(OR(ЦТО!#REF!=ЦТО!$BK$8,ЦТО!#REF!=ЦТО!$BK$9,ЦТО!#REF!=ЦТО!$BK$10),"Обратить внимание","Отклонений нет")</f>
        <v>#REF!</v>
      </c>
    </row>
    <row r="63" spans="1:24" ht="18" customHeight="1">
      <c r="A63" s="10">
        <v>61</v>
      </c>
      <c r="B63" s="14" t="e">
        <f>IF(ЦТО!#REF!="","",ЦТО!#REF!)</f>
        <v>#REF!</v>
      </c>
      <c r="C63" s="14" t="e">
        <f>IF(ЦТО!#REF!="","",ЦТО!#REF!)</f>
        <v>#REF!</v>
      </c>
      <c r="D63" s="36" t="e">
        <f>IF(ЦТО!#REF!="","",ЦТО!#REF!)</f>
        <v>#REF!</v>
      </c>
      <c r="E6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3" s="47" t="e">
        <f>IF(OR(ЦТО!#REF!=ЦТО!$BK$8,ЦТО!#REF!=ЦТО!$BK$9,ЦТО!#REF!=ЦТО!$BK$10),"Обратить внимание","Отклонений нет")</f>
        <v>#REF!</v>
      </c>
      <c r="K63" s="14" t="e">
        <f>IF(OR(ЦТО!#REF!=ЦТО!$BK$8,ЦТО!#REF!=ЦТО!$BK$9,ЦТО!#REF!=ЦТО!$BK$10),"Обратить внимание","Отклонений нет")</f>
        <v>#REF!</v>
      </c>
      <c r="L63" s="14" t="e">
        <f>IF(OR(ЦТО!#REF!=ЦТО!$BK$8,ЦТО!#REF!=ЦТО!$BK$9,ЦТО!#REF!=ЦТО!$BK$10),"Обратить внимание","Отклонений нет")</f>
        <v>#REF!</v>
      </c>
      <c r="M63" s="14" t="e">
        <f>IF(OR(ЦТО!#REF!=ЦТО!$BK$8,ЦТО!#REF!=ЦТО!$BK$9,ЦТО!#REF!=ЦТО!$BK$10),"Обратить внимание","Отклонений нет")</f>
        <v>#REF!</v>
      </c>
      <c r="N63" s="14" t="e">
        <f>IF(OR(ЦТО!#REF!=ЦТО!$BK$8,ЦТО!#REF!=ЦТО!$BK$9,ЦТО!#REF!=ЦТО!$BK$10),"Обратить внимание","Отклонений нет")</f>
        <v>#REF!</v>
      </c>
      <c r="O63" s="14" t="e">
        <f>IF(OR(ЦТО!#REF!=ЦТО!$BK$8,ЦТО!#REF!=ЦТО!$BK$9,ЦТО!#REF!=ЦТО!$BK$10),"Обратить внимание","Отклонений нет")</f>
        <v>#REF!</v>
      </c>
      <c r="P63" s="14" t="e">
        <f>IF(OR(ЦТО!#REF!=ЦТО!$BK$8,ЦТО!#REF!=ЦТО!$BK$9,ЦТО!#REF!=ЦТО!$BK$10),"Обратить внимание","Отклонений нет")</f>
        <v>#REF!</v>
      </c>
      <c r="Q63" s="14" t="e">
        <f>IF(OR(ЦТО!#REF!=ЦТО!$BK$8,ЦТО!#REF!=ЦТО!$BK$9,ЦТО!#REF!=ЦТО!$BK$10),"Обратить внимание","Отклонений нет")</f>
        <v>#REF!</v>
      </c>
      <c r="R63" s="14" t="e">
        <f>IF(OR(ЦТО!#REF!=ЦТО!$BK$8,ЦТО!#REF!=ЦТО!$BK$9,ЦТО!#REF!=ЦТО!$BK$10),"Обратить внимание","Отклонений нет")</f>
        <v>#REF!</v>
      </c>
      <c r="S63" s="14" t="e">
        <f>IF(OR(ЦТО!#REF!=ЦТО!$BK$8,ЦТО!#REF!=ЦТО!$BK$9,ЦТО!#REF!=ЦТО!$BK$10),"Обратить внимание","Отклонений нет")</f>
        <v>#REF!</v>
      </c>
      <c r="T63" s="14" t="e">
        <f>IF(OR(ЦТО!#REF!=ЦТО!$BK$8,ЦТО!#REF!=ЦТО!$BK$9,ЦТО!#REF!=ЦТО!$BK$10),"Обратить внимание","Отклонений нет")</f>
        <v>#REF!</v>
      </c>
      <c r="U63" s="14" t="e">
        <f>IF(OR(ЦТО!#REF!=ЦТО!$BK$8,ЦТО!#REF!=ЦТО!$BK$9,ЦТО!#REF!=ЦТО!$BK$10),"Обратить внимание","Отклонений нет")</f>
        <v>#REF!</v>
      </c>
      <c r="V63" s="47" t="e">
        <f>IF(OR(ЦТО!#REF!=ЦТО!$BK$8,ЦТО!#REF!=ЦТО!$BK$9,ЦТО!#REF!=ЦТО!$BK$10),"Обратить внимание","Отклонений нет")</f>
        <v>#REF!</v>
      </c>
      <c r="W63" s="47" t="e">
        <f>IF(OR(ЦТО!#REF!=ЦТО!$BK$8,ЦТО!#REF!=ЦТО!$BK$9,ЦТО!#REF!=ЦТО!$BK$10),"Обратить внимание","Отклонений нет")</f>
        <v>#REF!</v>
      </c>
      <c r="X63" s="47" t="e">
        <f>IF(OR(ЦТО!#REF!=ЦТО!$BK$8,ЦТО!#REF!=ЦТО!$BK$9,ЦТО!#REF!=ЦТО!$BK$10),"Обратить внимание","Отклонений нет")</f>
        <v>#REF!</v>
      </c>
    </row>
    <row r="64" spans="1:24" ht="18" customHeight="1">
      <c r="A64" s="10">
        <v>62</v>
      </c>
      <c r="B64" s="14" t="e">
        <f>IF(ЦТО!#REF!="","",ЦТО!#REF!)</f>
        <v>#REF!</v>
      </c>
      <c r="C64" s="14" t="e">
        <f>IF(ЦТО!#REF!="","",ЦТО!#REF!)</f>
        <v>#REF!</v>
      </c>
      <c r="D64" s="36" t="e">
        <f>IF(ЦТО!#REF!="","",ЦТО!#REF!)</f>
        <v>#REF!</v>
      </c>
      <c r="E6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4" s="47" t="e">
        <f>IF(OR(ЦТО!#REF!=ЦТО!$BK$8,ЦТО!#REF!=ЦТО!$BK$9,ЦТО!#REF!=ЦТО!$BK$10),"Обратить внимание","Отклонений нет")</f>
        <v>#REF!</v>
      </c>
      <c r="K64" s="14" t="e">
        <f>IF(OR(ЦТО!#REF!=ЦТО!$BK$8,ЦТО!#REF!=ЦТО!$BK$9,ЦТО!#REF!=ЦТО!$BK$10),"Обратить внимание","Отклонений нет")</f>
        <v>#REF!</v>
      </c>
      <c r="L64" s="14" t="e">
        <f>IF(OR(ЦТО!#REF!=ЦТО!$BK$8,ЦТО!#REF!=ЦТО!$BK$9,ЦТО!#REF!=ЦТО!$BK$10),"Обратить внимание","Отклонений нет")</f>
        <v>#REF!</v>
      </c>
      <c r="M64" s="14" t="e">
        <f>IF(OR(ЦТО!#REF!=ЦТО!$BK$8,ЦТО!#REF!=ЦТО!$BK$9,ЦТО!#REF!=ЦТО!$BK$10),"Обратить внимание","Отклонений нет")</f>
        <v>#REF!</v>
      </c>
      <c r="N64" s="14" t="e">
        <f>IF(OR(ЦТО!#REF!=ЦТО!$BK$8,ЦТО!#REF!=ЦТО!$BK$9,ЦТО!#REF!=ЦТО!$BK$10),"Обратить внимание","Отклонений нет")</f>
        <v>#REF!</v>
      </c>
      <c r="O64" s="14" t="e">
        <f>IF(OR(ЦТО!#REF!=ЦТО!$BK$8,ЦТО!#REF!=ЦТО!$BK$9,ЦТО!#REF!=ЦТО!$BK$10),"Обратить внимание","Отклонений нет")</f>
        <v>#REF!</v>
      </c>
      <c r="P64" s="14" t="e">
        <f>IF(OR(ЦТО!#REF!=ЦТО!$BK$8,ЦТО!#REF!=ЦТО!$BK$9,ЦТО!#REF!=ЦТО!$BK$10),"Обратить внимание","Отклонений нет")</f>
        <v>#REF!</v>
      </c>
      <c r="Q64" s="14" t="e">
        <f>IF(OR(ЦТО!#REF!=ЦТО!$BK$8,ЦТО!#REF!=ЦТО!$BK$9,ЦТО!#REF!=ЦТО!$BK$10),"Обратить внимание","Отклонений нет")</f>
        <v>#REF!</v>
      </c>
      <c r="R64" s="14" t="e">
        <f>IF(OR(ЦТО!#REF!=ЦТО!$BK$8,ЦТО!#REF!=ЦТО!$BK$9,ЦТО!#REF!=ЦТО!$BK$10),"Обратить внимание","Отклонений нет")</f>
        <v>#REF!</v>
      </c>
      <c r="S64" s="14" t="e">
        <f>IF(OR(ЦТО!#REF!=ЦТО!$BK$8,ЦТО!#REF!=ЦТО!$BK$9,ЦТО!#REF!=ЦТО!$BK$10),"Обратить внимание","Отклонений нет")</f>
        <v>#REF!</v>
      </c>
      <c r="T64" s="14" t="e">
        <f>IF(OR(ЦТО!#REF!=ЦТО!$BK$8,ЦТО!#REF!=ЦТО!$BK$9,ЦТО!#REF!=ЦТО!$BK$10),"Обратить внимание","Отклонений нет")</f>
        <v>#REF!</v>
      </c>
      <c r="U64" s="14" t="e">
        <f>IF(OR(ЦТО!#REF!=ЦТО!$BK$8,ЦТО!#REF!=ЦТО!$BK$9,ЦТО!#REF!=ЦТО!$BK$10),"Обратить внимание","Отклонений нет")</f>
        <v>#REF!</v>
      </c>
      <c r="V64" s="47" t="e">
        <f>IF(OR(ЦТО!#REF!=ЦТО!$BK$8,ЦТО!#REF!=ЦТО!$BK$9,ЦТО!#REF!=ЦТО!$BK$10),"Обратить внимание","Отклонений нет")</f>
        <v>#REF!</v>
      </c>
      <c r="W64" s="47" t="e">
        <f>IF(OR(ЦТО!#REF!=ЦТО!$BK$8,ЦТО!#REF!=ЦТО!$BK$9,ЦТО!#REF!=ЦТО!$BK$10),"Обратить внимание","Отклонений нет")</f>
        <v>#REF!</v>
      </c>
      <c r="X64" s="47" t="e">
        <f>IF(OR(ЦТО!#REF!=ЦТО!$BK$8,ЦТО!#REF!=ЦТО!$BK$9,ЦТО!#REF!=ЦТО!$BK$10),"Обратить внимание","Отклонений нет")</f>
        <v>#REF!</v>
      </c>
    </row>
    <row r="65" spans="1:24" ht="18" customHeight="1">
      <c r="A65" s="10">
        <v>63</v>
      </c>
      <c r="B65" s="14" t="e">
        <f>IF(ЦТО!#REF!="","",ЦТО!#REF!)</f>
        <v>#REF!</v>
      </c>
      <c r="C65" s="14" t="e">
        <f>IF(ЦТО!#REF!="","",ЦТО!#REF!)</f>
        <v>#REF!</v>
      </c>
      <c r="D65" s="36" t="e">
        <f>IF(ЦТО!#REF!="","",ЦТО!#REF!)</f>
        <v>#REF!</v>
      </c>
      <c r="E6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5" s="47" t="e">
        <f>IF(OR(ЦТО!#REF!=ЦТО!$BK$8,ЦТО!#REF!=ЦТО!$BK$9,ЦТО!#REF!=ЦТО!$BK$10),"Обратить внимание","Отклонений нет")</f>
        <v>#REF!</v>
      </c>
      <c r="K65" s="14" t="e">
        <f>IF(OR(ЦТО!#REF!=ЦТО!$BK$8,ЦТО!#REF!=ЦТО!$BK$9,ЦТО!#REF!=ЦТО!$BK$10),"Обратить внимание","Отклонений нет")</f>
        <v>#REF!</v>
      </c>
      <c r="L65" s="14" t="e">
        <f>IF(OR(ЦТО!#REF!=ЦТО!$BK$8,ЦТО!#REF!=ЦТО!$BK$9,ЦТО!#REF!=ЦТО!$BK$10),"Обратить внимание","Отклонений нет")</f>
        <v>#REF!</v>
      </c>
      <c r="M65" s="14" t="e">
        <f>IF(OR(ЦТО!#REF!=ЦТО!$BK$8,ЦТО!#REF!=ЦТО!$BK$9,ЦТО!#REF!=ЦТО!$BK$10),"Обратить внимание","Отклонений нет")</f>
        <v>#REF!</v>
      </c>
      <c r="N65" s="14" t="e">
        <f>IF(OR(ЦТО!#REF!=ЦТО!$BK$8,ЦТО!#REF!=ЦТО!$BK$9,ЦТО!#REF!=ЦТО!$BK$10),"Обратить внимание","Отклонений нет")</f>
        <v>#REF!</v>
      </c>
      <c r="O65" s="14" t="e">
        <f>IF(OR(ЦТО!#REF!=ЦТО!$BK$8,ЦТО!#REF!=ЦТО!$BK$9,ЦТО!#REF!=ЦТО!$BK$10),"Обратить внимание","Отклонений нет")</f>
        <v>#REF!</v>
      </c>
      <c r="P65" s="14" t="e">
        <f>IF(OR(ЦТО!#REF!=ЦТО!$BK$8,ЦТО!#REF!=ЦТО!$BK$9,ЦТО!#REF!=ЦТО!$BK$10),"Обратить внимание","Отклонений нет")</f>
        <v>#REF!</v>
      </c>
      <c r="Q65" s="14" t="e">
        <f>IF(OR(ЦТО!#REF!=ЦТО!$BK$8,ЦТО!#REF!=ЦТО!$BK$9,ЦТО!#REF!=ЦТО!$BK$10),"Обратить внимание","Отклонений нет")</f>
        <v>#REF!</v>
      </c>
      <c r="R65" s="14" t="e">
        <f>IF(OR(ЦТО!#REF!=ЦТО!$BK$8,ЦТО!#REF!=ЦТО!$BK$9,ЦТО!#REF!=ЦТО!$BK$10),"Обратить внимание","Отклонений нет")</f>
        <v>#REF!</v>
      </c>
      <c r="S65" s="14" t="e">
        <f>IF(OR(ЦТО!#REF!=ЦТО!$BK$8,ЦТО!#REF!=ЦТО!$BK$9,ЦТО!#REF!=ЦТО!$BK$10),"Обратить внимание","Отклонений нет")</f>
        <v>#REF!</v>
      </c>
      <c r="T65" s="14" t="e">
        <f>IF(OR(ЦТО!#REF!=ЦТО!$BK$8,ЦТО!#REF!=ЦТО!$BK$9,ЦТО!#REF!=ЦТО!$BK$10),"Обратить внимание","Отклонений нет")</f>
        <v>#REF!</v>
      </c>
      <c r="U65" s="14" t="e">
        <f>IF(OR(ЦТО!#REF!=ЦТО!$BK$8,ЦТО!#REF!=ЦТО!$BK$9,ЦТО!#REF!=ЦТО!$BK$10),"Обратить внимание","Отклонений нет")</f>
        <v>#REF!</v>
      </c>
      <c r="V65" s="47" t="e">
        <f>IF(OR(ЦТО!#REF!=ЦТО!$BK$8,ЦТО!#REF!=ЦТО!$BK$9,ЦТО!#REF!=ЦТО!$BK$10),"Обратить внимание","Отклонений нет")</f>
        <v>#REF!</v>
      </c>
      <c r="W65" s="47" t="e">
        <f>IF(OR(ЦТО!#REF!=ЦТО!$BK$8,ЦТО!#REF!=ЦТО!$BK$9,ЦТО!#REF!=ЦТО!$BK$10),"Обратить внимание","Отклонений нет")</f>
        <v>#REF!</v>
      </c>
      <c r="X65" s="47" t="e">
        <f>IF(OR(ЦТО!#REF!=ЦТО!$BK$8,ЦТО!#REF!=ЦТО!$BK$9,ЦТО!#REF!=ЦТО!$BK$10),"Обратить внимание","Отклонений нет")</f>
        <v>#REF!</v>
      </c>
    </row>
    <row r="66" spans="1:24" ht="18" customHeight="1">
      <c r="A66" s="10">
        <v>64</v>
      </c>
      <c r="B66" s="14" t="e">
        <f>IF(ЦТО!#REF!="","",ЦТО!#REF!)</f>
        <v>#REF!</v>
      </c>
      <c r="C66" s="14" t="e">
        <f>IF(ЦТО!#REF!="","",ЦТО!#REF!)</f>
        <v>#REF!</v>
      </c>
      <c r="D66" s="36" t="e">
        <f>IF(ЦТО!#REF!="","",ЦТО!#REF!)</f>
        <v>#REF!</v>
      </c>
      <c r="E6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6" s="47" t="e">
        <f>IF(OR(ЦТО!#REF!=ЦТО!$BK$8,ЦТО!#REF!=ЦТО!$BK$9,ЦТО!#REF!=ЦТО!$BK$10),"Обратить внимание","Отклонений нет")</f>
        <v>#REF!</v>
      </c>
      <c r="K66" s="14" t="e">
        <f>IF(OR(ЦТО!#REF!=ЦТО!$BK$8,ЦТО!#REF!=ЦТО!$BK$9,ЦТО!#REF!=ЦТО!$BK$10),"Обратить внимание","Отклонений нет")</f>
        <v>#REF!</v>
      </c>
      <c r="L66" s="14" t="e">
        <f>IF(OR(ЦТО!#REF!=ЦТО!$BK$8,ЦТО!#REF!=ЦТО!$BK$9,ЦТО!#REF!=ЦТО!$BK$10),"Обратить внимание","Отклонений нет")</f>
        <v>#REF!</v>
      </c>
      <c r="M66" s="14" t="e">
        <f>IF(OR(ЦТО!#REF!=ЦТО!$BK$8,ЦТО!#REF!=ЦТО!$BK$9,ЦТО!#REF!=ЦТО!$BK$10),"Обратить внимание","Отклонений нет")</f>
        <v>#REF!</v>
      </c>
      <c r="N66" s="14" t="e">
        <f>IF(OR(ЦТО!#REF!=ЦТО!$BK$8,ЦТО!#REF!=ЦТО!$BK$9,ЦТО!#REF!=ЦТО!$BK$10),"Обратить внимание","Отклонений нет")</f>
        <v>#REF!</v>
      </c>
      <c r="O66" s="14" t="e">
        <f>IF(OR(ЦТО!#REF!=ЦТО!$BK$8,ЦТО!#REF!=ЦТО!$BK$9,ЦТО!#REF!=ЦТО!$BK$10),"Обратить внимание","Отклонений нет")</f>
        <v>#REF!</v>
      </c>
      <c r="P66" s="14" t="e">
        <f>IF(OR(ЦТО!#REF!=ЦТО!$BK$8,ЦТО!#REF!=ЦТО!$BK$9,ЦТО!#REF!=ЦТО!$BK$10),"Обратить внимание","Отклонений нет")</f>
        <v>#REF!</v>
      </c>
      <c r="Q66" s="14" t="e">
        <f>IF(OR(ЦТО!#REF!=ЦТО!$BK$8,ЦТО!#REF!=ЦТО!$BK$9,ЦТО!#REF!=ЦТО!$BK$10),"Обратить внимание","Отклонений нет")</f>
        <v>#REF!</v>
      </c>
      <c r="R66" s="14" t="e">
        <f>IF(OR(ЦТО!#REF!=ЦТО!$BK$8,ЦТО!#REF!=ЦТО!$BK$9,ЦТО!#REF!=ЦТО!$BK$10),"Обратить внимание","Отклонений нет")</f>
        <v>#REF!</v>
      </c>
      <c r="S66" s="14" t="e">
        <f>IF(OR(ЦТО!#REF!=ЦТО!$BK$8,ЦТО!#REF!=ЦТО!$BK$9,ЦТО!#REF!=ЦТО!$BK$10),"Обратить внимание","Отклонений нет")</f>
        <v>#REF!</v>
      </c>
      <c r="T66" s="14" t="e">
        <f>IF(OR(ЦТО!#REF!=ЦТО!$BK$8,ЦТО!#REF!=ЦТО!$BK$9,ЦТО!#REF!=ЦТО!$BK$10),"Обратить внимание","Отклонений нет")</f>
        <v>#REF!</v>
      </c>
      <c r="U66" s="14" t="e">
        <f>IF(OR(ЦТО!#REF!=ЦТО!$BK$8,ЦТО!#REF!=ЦТО!$BK$9,ЦТО!#REF!=ЦТО!$BK$10),"Обратить внимание","Отклонений нет")</f>
        <v>#REF!</v>
      </c>
      <c r="V66" s="47" t="e">
        <f>IF(OR(ЦТО!#REF!=ЦТО!$BK$8,ЦТО!#REF!=ЦТО!$BK$9,ЦТО!#REF!=ЦТО!$BK$10),"Обратить внимание","Отклонений нет")</f>
        <v>#REF!</v>
      </c>
      <c r="W66" s="47" t="e">
        <f>IF(OR(ЦТО!#REF!=ЦТО!$BK$8,ЦТО!#REF!=ЦТО!$BK$9,ЦТО!#REF!=ЦТО!$BK$10),"Обратить внимание","Отклонений нет")</f>
        <v>#REF!</v>
      </c>
      <c r="X66" s="47" t="e">
        <f>IF(OR(ЦТО!#REF!=ЦТО!$BK$8,ЦТО!#REF!=ЦТО!$BK$9,ЦТО!#REF!=ЦТО!$BK$10),"Обратить внимание","Отклонений нет")</f>
        <v>#REF!</v>
      </c>
    </row>
    <row r="67" spans="1:24" ht="18" customHeight="1">
      <c r="A67" s="10">
        <v>65</v>
      </c>
      <c r="B67" s="14" t="e">
        <f>IF(ЦТО!#REF!="","",ЦТО!#REF!)</f>
        <v>#REF!</v>
      </c>
      <c r="C67" s="14" t="e">
        <f>IF(ЦТО!#REF!="","",ЦТО!#REF!)</f>
        <v>#REF!</v>
      </c>
      <c r="D67" s="36" t="e">
        <f>IF(ЦТО!#REF!="","",ЦТО!#REF!)</f>
        <v>#REF!</v>
      </c>
      <c r="E6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7" s="47" t="e">
        <f>IF(OR(ЦТО!#REF!=ЦТО!$BK$8,ЦТО!#REF!=ЦТО!$BK$9,ЦТО!#REF!=ЦТО!$BK$10),"Обратить внимание","Отклонений нет")</f>
        <v>#REF!</v>
      </c>
      <c r="K67" s="14" t="e">
        <f>IF(OR(ЦТО!#REF!=ЦТО!$BK$8,ЦТО!#REF!=ЦТО!$BK$9,ЦТО!#REF!=ЦТО!$BK$10),"Обратить внимание","Отклонений нет")</f>
        <v>#REF!</v>
      </c>
      <c r="L67" s="14" t="e">
        <f>IF(OR(ЦТО!#REF!=ЦТО!$BK$8,ЦТО!#REF!=ЦТО!$BK$9,ЦТО!#REF!=ЦТО!$BK$10),"Обратить внимание","Отклонений нет")</f>
        <v>#REF!</v>
      </c>
      <c r="M67" s="14" t="e">
        <f>IF(OR(ЦТО!#REF!=ЦТО!$BK$8,ЦТО!#REF!=ЦТО!$BK$9,ЦТО!#REF!=ЦТО!$BK$10),"Обратить внимание","Отклонений нет")</f>
        <v>#REF!</v>
      </c>
      <c r="N67" s="14" t="e">
        <f>IF(OR(ЦТО!#REF!=ЦТО!$BK$8,ЦТО!#REF!=ЦТО!$BK$9,ЦТО!#REF!=ЦТО!$BK$10),"Обратить внимание","Отклонений нет")</f>
        <v>#REF!</v>
      </c>
      <c r="O67" s="14" t="e">
        <f>IF(OR(ЦТО!#REF!=ЦТО!$BK$8,ЦТО!#REF!=ЦТО!$BK$9,ЦТО!#REF!=ЦТО!$BK$10),"Обратить внимание","Отклонений нет")</f>
        <v>#REF!</v>
      </c>
      <c r="P67" s="14" t="e">
        <f>IF(OR(ЦТО!#REF!=ЦТО!$BK$8,ЦТО!#REF!=ЦТО!$BK$9,ЦТО!#REF!=ЦТО!$BK$10),"Обратить внимание","Отклонений нет")</f>
        <v>#REF!</v>
      </c>
      <c r="Q67" s="14" t="e">
        <f>IF(OR(ЦТО!#REF!=ЦТО!$BK$8,ЦТО!#REF!=ЦТО!$BK$9,ЦТО!#REF!=ЦТО!$BK$10),"Обратить внимание","Отклонений нет")</f>
        <v>#REF!</v>
      </c>
      <c r="R67" s="14" t="e">
        <f>IF(OR(ЦТО!#REF!=ЦТО!$BK$8,ЦТО!#REF!=ЦТО!$BK$9,ЦТО!#REF!=ЦТО!$BK$10),"Обратить внимание","Отклонений нет")</f>
        <v>#REF!</v>
      </c>
      <c r="S67" s="14" t="e">
        <f>IF(OR(ЦТО!#REF!=ЦТО!$BK$8,ЦТО!#REF!=ЦТО!$BK$9,ЦТО!#REF!=ЦТО!$BK$10),"Обратить внимание","Отклонений нет")</f>
        <v>#REF!</v>
      </c>
      <c r="T67" s="14" t="e">
        <f>IF(OR(ЦТО!#REF!=ЦТО!$BK$8,ЦТО!#REF!=ЦТО!$BK$9,ЦТО!#REF!=ЦТО!$BK$10),"Обратить внимание","Отклонений нет")</f>
        <v>#REF!</v>
      </c>
      <c r="U67" s="14" t="e">
        <f>IF(OR(ЦТО!#REF!=ЦТО!$BK$8,ЦТО!#REF!=ЦТО!$BK$9,ЦТО!#REF!=ЦТО!$BK$10),"Обратить внимание","Отклонений нет")</f>
        <v>#REF!</v>
      </c>
      <c r="V67" s="47" t="e">
        <f>IF(OR(ЦТО!#REF!=ЦТО!$BK$8,ЦТО!#REF!=ЦТО!$BK$9,ЦТО!#REF!=ЦТО!$BK$10),"Обратить внимание","Отклонений нет")</f>
        <v>#REF!</v>
      </c>
      <c r="W67" s="47" t="e">
        <f>IF(OR(ЦТО!#REF!=ЦТО!$BK$8,ЦТО!#REF!=ЦТО!$BK$9,ЦТО!#REF!=ЦТО!$BK$10),"Обратить внимание","Отклонений нет")</f>
        <v>#REF!</v>
      </c>
      <c r="X67" s="47" t="e">
        <f>IF(OR(ЦТО!#REF!=ЦТО!$BK$8,ЦТО!#REF!=ЦТО!$BK$9,ЦТО!#REF!=ЦТО!$BK$10),"Обратить внимание","Отклонений нет")</f>
        <v>#REF!</v>
      </c>
    </row>
    <row r="68" spans="1:24" ht="18" customHeight="1">
      <c r="A68" s="10">
        <v>66</v>
      </c>
      <c r="B68" s="14" t="e">
        <f>IF(ЦТО!#REF!="","",ЦТО!#REF!)</f>
        <v>#REF!</v>
      </c>
      <c r="C68" s="14" t="e">
        <f>IF(ЦТО!#REF!="","",ЦТО!#REF!)</f>
        <v>#REF!</v>
      </c>
      <c r="D68" s="36" t="e">
        <f>IF(ЦТО!#REF!="","",ЦТО!#REF!)</f>
        <v>#REF!</v>
      </c>
      <c r="E6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8" s="47" t="e">
        <f>IF(OR(ЦТО!#REF!=ЦТО!$BK$8,ЦТО!#REF!=ЦТО!$BK$9,ЦТО!#REF!=ЦТО!$BK$10),"Обратить внимание","Отклонений нет")</f>
        <v>#REF!</v>
      </c>
      <c r="K68" s="14" t="e">
        <f>IF(OR(ЦТО!#REF!=ЦТО!$BK$8,ЦТО!#REF!=ЦТО!$BK$9,ЦТО!#REF!=ЦТО!$BK$10),"Обратить внимание","Отклонений нет")</f>
        <v>#REF!</v>
      </c>
      <c r="L68" s="14" t="e">
        <f>IF(OR(ЦТО!#REF!=ЦТО!$BK$8,ЦТО!#REF!=ЦТО!$BK$9,ЦТО!#REF!=ЦТО!$BK$10),"Обратить внимание","Отклонений нет")</f>
        <v>#REF!</v>
      </c>
      <c r="M68" s="14" t="e">
        <f>IF(OR(ЦТО!#REF!=ЦТО!$BK$8,ЦТО!#REF!=ЦТО!$BK$9,ЦТО!#REF!=ЦТО!$BK$10),"Обратить внимание","Отклонений нет")</f>
        <v>#REF!</v>
      </c>
      <c r="N68" s="14" t="e">
        <f>IF(OR(ЦТО!#REF!=ЦТО!$BK$8,ЦТО!#REF!=ЦТО!$BK$9,ЦТО!#REF!=ЦТО!$BK$10),"Обратить внимание","Отклонений нет")</f>
        <v>#REF!</v>
      </c>
      <c r="O68" s="14" t="e">
        <f>IF(OR(ЦТО!#REF!=ЦТО!$BK$8,ЦТО!#REF!=ЦТО!$BK$9,ЦТО!#REF!=ЦТО!$BK$10),"Обратить внимание","Отклонений нет")</f>
        <v>#REF!</v>
      </c>
      <c r="P68" s="14" t="e">
        <f>IF(OR(ЦТО!#REF!=ЦТО!$BK$8,ЦТО!#REF!=ЦТО!$BK$9,ЦТО!#REF!=ЦТО!$BK$10),"Обратить внимание","Отклонений нет")</f>
        <v>#REF!</v>
      </c>
      <c r="Q68" s="14" t="e">
        <f>IF(OR(ЦТО!#REF!=ЦТО!$BK$8,ЦТО!#REF!=ЦТО!$BK$9,ЦТО!#REF!=ЦТО!$BK$10),"Обратить внимание","Отклонений нет")</f>
        <v>#REF!</v>
      </c>
      <c r="R68" s="14" t="e">
        <f>IF(OR(ЦТО!#REF!=ЦТО!$BK$8,ЦТО!#REF!=ЦТО!$BK$9,ЦТО!#REF!=ЦТО!$BK$10),"Обратить внимание","Отклонений нет")</f>
        <v>#REF!</v>
      </c>
      <c r="S68" s="14" t="e">
        <f>IF(OR(ЦТО!#REF!=ЦТО!$BK$8,ЦТО!#REF!=ЦТО!$BK$9,ЦТО!#REF!=ЦТО!$BK$10),"Обратить внимание","Отклонений нет")</f>
        <v>#REF!</v>
      </c>
      <c r="T68" s="14" t="e">
        <f>IF(OR(ЦТО!#REF!=ЦТО!$BK$8,ЦТО!#REF!=ЦТО!$BK$9,ЦТО!#REF!=ЦТО!$BK$10),"Обратить внимание","Отклонений нет")</f>
        <v>#REF!</v>
      </c>
      <c r="U68" s="14" t="e">
        <f>IF(OR(ЦТО!#REF!=ЦТО!$BK$8,ЦТО!#REF!=ЦТО!$BK$9,ЦТО!#REF!=ЦТО!$BK$10),"Обратить внимание","Отклонений нет")</f>
        <v>#REF!</v>
      </c>
      <c r="V68" s="47" t="e">
        <f>IF(OR(ЦТО!#REF!=ЦТО!$BK$8,ЦТО!#REF!=ЦТО!$BK$9,ЦТО!#REF!=ЦТО!$BK$10),"Обратить внимание","Отклонений нет")</f>
        <v>#REF!</v>
      </c>
      <c r="W68" s="47" t="e">
        <f>IF(OR(ЦТО!#REF!=ЦТО!$BK$8,ЦТО!#REF!=ЦТО!$BK$9,ЦТО!#REF!=ЦТО!$BK$10),"Обратить внимание","Отклонений нет")</f>
        <v>#REF!</v>
      </c>
      <c r="X68" s="47" t="e">
        <f>IF(OR(ЦТО!#REF!=ЦТО!$BK$8,ЦТО!#REF!=ЦТО!$BK$9,ЦТО!#REF!=ЦТО!$BK$10),"Обратить внимание","Отклонений нет")</f>
        <v>#REF!</v>
      </c>
    </row>
    <row r="69" spans="1:24" ht="18" customHeight="1">
      <c r="A69" s="10">
        <v>67</v>
      </c>
      <c r="B69" s="14" t="e">
        <f>IF(ЦТО!#REF!="","",ЦТО!#REF!)</f>
        <v>#REF!</v>
      </c>
      <c r="C69" s="14" t="e">
        <f>IF(ЦТО!#REF!="","",ЦТО!#REF!)</f>
        <v>#REF!</v>
      </c>
      <c r="D69" s="36" t="e">
        <f>IF(ЦТО!#REF!="","",ЦТО!#REF!)</f>
        <v>#REF!</v>
      </c>
      <c r="E6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6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6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6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6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69" s="47" t="e">
        <f>IF(OR(ЦТО!#REF!=ЦТО!$BK$8,ЦТО!#REF!=ЦТО!$BK$9,ЦТО!#REF!=ЦТО!$BK$10),"Обратить внимание","Отклонений нет")</f>
        <v>#REF!</v>
      </c>
      <c r="K69" s="14" t="e">
        <f>IF(OR(ЦТО!#REF!=ЦТО!$BK$8,ЦТО!#REF!=ЦТО!$BK$9,ЦТО!#REF!=ЦТО!$BK$10),"Обратить внимание","Отклонений нет")</f>
        <v>#REF!</v>
      </c>
      <c r="L69" s="14" t="e">
        <f>IF(OR(ЦТО!#REF!=ЦТО!$BK$8,ЦТО!#REF!=ЦТО!$BK$9,ЦТО!#REF!=ЦТО!$BK$10),"Обратить внимание","Отклонений нет")</f>
        <v>#REF!</v>
      </c>
      <c r="M69" s="14" t="e">
        <f>IF(OR(ЦТО!#REF!=ЦТО!$BK$8,ЦТО!#REF!=ЦТО!$BK$9,ЦТО!#REF!=ЦТО!$BK$10),"Обратить внимание","Отклонений нет")</f>
        <v>#REF!</v>
      </c>
      <c r="N69" s="14" t="e">
        <f>IF(OR(ЦТО!#REF!=ЦТО!$BK$8,ЦТО!#REF!=ЦТО!$BK$9,ЦТО!#REF!=ЦТО!$BK$10),"Обратить внимание","Отклонений нет")</f>
        <v>#REF!</v>
      </c>
      <c r="O69" s="14" t="e">
        <f>IF(OR(ЦТО!#REF!=ЦТО!$BK$8,ЦТО!#REF!=ЦТО!$BK$9,ЦТО!#REF!=ЦТО!$BK$10),"Обратить внимание","Отклонений нет")</f>
        <v>#REF!</v>
      </c>
      <c r="P69" s="14" t="e">
        <f>IF(OR(ЦТО!#REF!=ЦТО!$BK$8,ЦТО!#REF!=ЦТО!$BK$9,ЦТО!#REF!=ЦТО!$BK$10),"Обратить внимание","Отклонений нет")</f>
        <v>#REF!</v>
      </c>
      <c r="Q69" s="14" t="e">
        <f>IF(OR(ЦТО!#REF!=ЦТО!$BK$8,ЦТО!#REF!=ЦТО!$BK$9,ЦТО!#REF!=ЦТО!$BK$10),"Обратить внимание","Отклонений нет")</f>
        <v>#REF!</v>
      </c>
      <c r="R69" s="14" t="e">
        <f>IF(OR(ЦТО!#REF!=ЦТО!$BK$8,ЦТО!#REF!=ЦТО!$BK$9,ЦТО!#REF!=ЦТО!$BK$10),"Обратить внимание","Отклонений нет")</f>
        <v>#REF!</v>
      </c>
      <c r="S69" s="14" t="e">
        <f>IF(OR(ЦТО!#REF!=ЦТО!$BK$8,ЦТО!#REF!=ЦТО!$BK$9,ЦТО!#REF!=ЦТО!$BK$10),"Обратить внимание","Отклонений нет")</f>
        <v>#REF!</v>
      </c>
      <c r="T69" s="14" t="e">
        <f>IF(OR(ЦТО!#REF!=ЦТО!$BK$8,ЦТО!#REF!=ЦТО!$BK$9,ЦТО!#REF!=ЦТО!$BK$10),"Обратить внимание","Отклонений нет")</f>
        <v>#REF!</v>
      </c>
      <c r="U69" s="14" t="e">
        <f>IF(OR(ЦТО!#REF!=ЦТО!$BK$8,ЦТО!#REF!=ЦТО!$BK$9,ЦТО!#REF!=ЦТО!$BK$10),"Обратить внимание","Отклонений нет")</f>
        <v>#REF!</v>
      </c>
      <c r="V69" s="47" t="e">
        <f>IF(OR(ЦТО!#REF!=ЦТО!$BK$8,ЦТО!#REF!=ЦТО!$BK$9,ЦТО!#REF!=ЦТО!$BK$10),"Обратить внимание","Отклонений нет")</f>
        <v>#REF!</v>
      </c>
      <c r="W69" s="47" t="e">
        <f>IF(OR(ЦТО!#REF!=ЦТО!$BK$8,ЦТО!#REF!=ЦТО!$BK$9,ЦТО!#REF!=ЦТО!$BK$10),"Обратить внимание","Отклонений нет")</f>
        <v>#REF!</v>
      </c>
      <c r="X69" s="47" t="e">
        <f>IF(OR(ЦТО!#REF!=ЦТО!$BK$8,ЦТО!#REF!=ЦТО!$BK$9,ЦТО!#REF!=ЦТО!$BK$10),"Обратить внимание","Отклонений нет")</f>
        <v>#REF!</v>
      </c>
    </row>
    <row r="70" spans="1:24" ht="18" customHeight="1">
      <c r="A70" s="10">
        <v>68</v>
      </c>
      <c r="B70" s="14" t="e">
        <f>IF(ЦТО!#REF!="","",ЦТО!#REF!)</f>
        <v>#REF!</v>
      </c>
      <c r="C70" s="14" t="e">
        <f>IF(ЦТО!#REF!="","",ЦТО!#REF!)</f>
        <v>#REF!</v>
      </c>
      <c r="D70" s="36" t="e">
        <f>IF(ЦТО!#REF!="","",ЦТО!#REF!)</f>
        <v>#REF!</v>
      </c>
      <c r="E7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0" s="47" t="e">
        <f>IF(OR(ЦТО!#REF!=ЦТО!$BK$8,ЦТО!#REF!=ЦТО!$BK$9,ЦТО!#REF!=ЦТО!$BK$10),"Обратить внимание","Отклонений нет")</f>
        <v>#REF!</v>
      </c>
      <c r="K70" s="14" t="e">
        <f>IF(OR(ЦТО!#REF!=ЦТО!$BK$8,ЦТО!#REF!=ЦТО!$BK$9,ЦТО!#REF!=ЦТО!$BK$10),"Обратить внимание","Отклонений нет")</f>
        <v>#REF!</v>
      </c>
      <c r="L70" s="14" t="e">
        <f>IF(OR(ЦТО!#REF!=ЦТО!$BK$8,ЦТО!#REF!=ЦТО!$BK$9,ЦТО!#REF!=ЦТО!$BK$10),"Обратить внимание","Отклонений нет")</f>
        <v>#REF!</v>
      </c>
      <c r="M70" s="14" t="e">
        <f>IF(OR(ЦТО!#REF!=ЦТО!$BK$8,ЦТО!#REF!=ЦТО!$BK$9,ЦТО!#REF!=ЦТО!$BK$10),"Обратить внимание","Отклонений нет")</f>
        <v>#REF!</v>
      </c>
      <c r="N70" s="14" t="e">
        <f>IF(OR(ЦТО!#REF!=ЦТО!$BK$8,ЦТО!#REF!=ЦТО!$BK$9,ЦТО!#REF!=ЦТО!$BK$10),"Обратить внимание","Отклонений нет")</f>
        <v>#REF!</v>
      </c>
      <c r="O70" s="14" t="e">
        <f>IF(OR(ЦТО!#REF!=ЦТО!$BK$8,ЦТО!#REF!=ЦТО!$BK$9,ЦТО!#REF!=ЦТО!$BK$10),"Обратить внимание","Отклонений нет")</f>
        <v>#REF!</v>
      </c>
      <c r="P70" s="14" t="e">
        <f>IF(OR(ЦТО!#REF!=ЦТО!$BK$8,ЦТО!#REF!=ЦТО!$BK$9,ЦТО!#REF!=ЦТО!$BK$10),"Обратить внимание","Отклонений нет")</f>
        <v>#REF!</v>
      </c>
      <c r="Q70" s="14" t="e">
        <f>IF(OR(ЦТО!#REF!=ЦТО!$BK$8,ЦТО!#REF!=ЦТО!$BK$9,ЦТО!#REF!=ЦТО!$BK$10),"Обратить внимание","Отклонений нет")</f>
        <v>#REF!</v>
      </c>
      <c r="R70" s="14" t="e">
        <f>IF(OR(ЦТО!#REF!=ЦТО!$BK$8,ЦТО!#REF!=ЦТО!$BK$9,ЦТО!#REF!=ЦТО!$BK$10),"Обратить внимание","Отклонений нет")</f>
        <v>#REF!</v>
      </c>
      <c r="S70" s="14" t="e">
        <f>IF(OR(ЦТО!#REF!=ЦТО!$BK$8,ЦТО!#REF!=ЦТО!$BK$9,ЦТО!#REF!=ЦТО!$BK$10),"Обратить внимание","Отклонений нет")</f>
        <v>#REF!</v>
      </c>
      <c r="T70" s="14" t="e">
        <f>IF(OR(ЦТО!#REF!=ЦТО!$BK$8,ЦТО!#REF!=ЦТО!$BK$9,ЦТО!#REF!=ЦТО!$BK$10),"Обратить внимание","Отклонений нет")</f>
        <v>#REF!</v>
      </c>
      <c r="U70" s="14" t="e">
        <f>IF(OR(ЦТО!#REF!=ЦТО!$BK$8,ЦТО!#REF!=ЦТО!$BK$9,ЦТО!#REF!=ЦТО!$BK$10),"Обратить внимание","Отклонений нет")</f>
        <v>#REF!</v>
      </c>
      <c r="V70" s="47" t="e">
        <f>IF(OR(ЦТО!#REF!=ЦТО!$BK$8,ЦТО!#REF!=ЦТО!$BK$9,ЦТО!#REF!=ЦТО!$BK$10),"Обратить внимание","Отклонений нет")</f>
        <v>#REF!</v>
      </c>
      <c r="W70" s="47" t="e">
        <f>IF(OR(ЦТО!#REF!=ЦТО!$BK$8,ЦТО!#REF!=ЦТО!$BK$9,ЦТО!#REF!=ЦТО!$BK$10),"Обратить внимание","Отклонений нет")</f>
        <v>#REF!</v>
      </c>
      <c r="X70" s="47" t="e">
        <f>IF(OR(ЦТО!#REF!=ЦТО!$BK$8,ЦТО!#REF!=ЦТО!$BK$9,ЦТО!#REF!=ЦТО!$BK$10),"Обратить внимание","Отклонений нет")</f>
        <v>#REF!</v>
      </c>
    </row>
    <row r="71" spans="1:24" ht="18" customHeight="1">
      <c r="A71" s="10">
        <v>69</v>
      </c>
      <c r="B71" s="14" t="e">
        <f>IF(ЦТО!#REF!="","",ЦТО!#REF!)</f>
        <v>#REF!</v>
      </c>
      <c r="C71" s="14" t="e">
        <f>IF(ЦТО!#REF!="","",ЦТО!#REF!)</f>
        <v>#REF!</v>
      </c>
      <c r="D71" s="36" t="e">
        <f>IF(ЦТО!#REF!="","",ЦТО!#REF!)</f>
        <v>#REF!</v>
      </c>
      <c r="E7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1" s="47" t="e">
        <f>IF(OR(ЦТО!#REF!=ЦТО!$BK$8,ЦТО!#REF!=ЦТО!$BK$9,ЦТО!#REF!=ЦТО!$BK$10),"Обратить внимание","Отклонений нет")</f>
        <v>#REF!</v>
      </c>
      <c r="K71" s="14" t="e">
        <f>IF(OR(ЦТО!#REF!=ЦТО!$BK$8,ЦТО!#REF!=ЦТО!$BK$9,ЦТО!#REF!=ЦТО!$BK$10),"Обратить внимание","Отклонений нет")</f>
        <v>#REF!</v>
      </c>
      <c r="L71" s="14" t="e">
        <f>IF(OR(ЦТО!#REF!=ЦТО!$BK$8,ЦТО!#REF!=ЦТО!$BK$9,ЦТО!#REF!=ЦТО!$BK$10),"Обратить внимание","Отклонений нет")</f>
        <v>#REF!</v>
      </c>
      <c r="M71" s="14" t="e">
        <f>IF(OR(ЦТО!#REF!=ЦТО!$BK$8,ЦТО!#REF!=ЦТО!$BK$9,ЦТО!#REF!=ЦТО!$BK$10),"Обратить внимание","Отклонений нет")</f>
        <v>#REF!</v>
      </c>
      <c r="N71" s="14" t="e">
        <f>IF(OR(ЦТО!#REF!=ЦТО!$BK$8,ЦТО!#REF!=ЦТО!$BK$9,ЦТО!#REF!=ЦТО!$BK$10),"Обратить внимание","Отклонений нет")</f>
        <v>#REF!</v>
      </c>
      <c r="O71" s="14" t="e">
        <f>IF(OR(ЦТО!#REF!=ЦТО!$BK$8,ЦТО!#REF!=ЦТО!$BK$9,ЦТО!#REF!=ЦТО!$BK$10),"Обратить внимание","Отклонений нет")</f>
        <v>#REF!</v>
      </c>
      <c r="P71" s="14" t="e">
        <f>IF(OR(ЦТО!#REF!=ЦТО!$BK$8,ЦТО!#REF!=ЦТО!$BK$9,ЦТО!#REF!=ЦТО!$BK$10),"Обратить внимание","Отклонений нет")</f>
        <v>#REF!</v>
      </c>
      <c r="Q71" s="14" t="e">
        <f>IF(OR(ЦТО!#REF!=ЦТО!$BK$8,ЦТО!#REF!=ЦТО!$BK$9,ЦТО!#REF!=ЦТО!$BK$10),"Обратить внимание","Отклонений нет")</f>
        <v>#REF!</v>
      </c>
      <c r="R71" s="14" t="e">
        <f>IF(OR(ЦТО!#REF!=ЦТО!$BK$8,ЦТО!#REF!=ЦТО!$BK$9,ЦТО!#REF!=ЦТО!$BK$10),"Обратить внимание","Отклонений нет")</f>
        <v>#REF!</v>
      </c>
      <c r="S71" s="14" t="e">
        <f>IF(OR(ЦТО!#REF!=ЦТО!$BK$8,ЦТО!#REF!=ЦТО!$BK$9,ЦТО!#REF!=ЦТО!$BK$10),"Обратить внимание","Отклонений нет")</f>
        <v>#REF!</v>
      </c>
      <c r="T71" s="14" t="e">
        <f>IF(OR(ЦТО!#REF!=ЦТО!$BK$8,ЦТО!#REF!=ЦТО!$BK$9,ЦТО!#REF!=ЦТО!$BK$10),"Обратить внимание","Отклонений нет")</f>
        <v>#REF!</v>
      </c>
      <c r="U71" s="14" t="e">
        <f>IF(OR(ЦТО!#REF!=ЦТО!$BK$8,ЦТО!#REF!=ЦТО!$BK$9,ЦТО!#REF!=ЦТО!$BK$10),"Обратить внимание","Отклонений нет")</f>
        <v>#REF!</v>
      </c>
      <c r="V71" s="47" t="e">
        <f>IF(OR(ЦТО!#REF!=ЦТО!$BK$8,ЦТО!#REF!=ЦТО!$BK$9,ЦТО!#REF!=ЦТО!$BK$10),"Обратить внимание","Отклонений нет")</f>
        <v>#REF!</v>
      </c>
      <c r="W71" s="47" t="e">
        <f>IF(OR(ЦТО!#REF!=ЦТО!$BK$8,ЦТО!#REF!=ЦТО!$BK$9,ЦТО!#REF!=ЦТО!$BK$10),"Обратить внимание","Отклонений нет")</f>
        <v>#REF!</v>
      </c>
      <c r="X71" s="47" t="e">
        <f>IF(OR(ЦТО!#REF!=ЦТО!$BK$8,ЦТО!#REF!=ЦТО!$BK$9,ЦТО!#REF!=ЦТО!$BK$10),"Обратить внимание","Отклонений нет")</f>
        <v>#REF!</v>
      </c>
    </row>
    <row r="72" spans="1:24" ht="18" customHeight="1">
      <c r="A72" s="10">
        <v>70</v>
      </c>
      <c r="B72" s="14" t="e">
        <f>IF(ЦТО!#REF!="","",ЦТО!#REF!)</f>
        <v>#REF!</v>
      </c>
      <c r="C72" s="14" t="e">
        <f>IF(ЦТО!#REF!="","",ЦТО!#REF!)</f>
        <v>#REF!</v>
      </c>
      <c r="D72" s="36" t="e">
        <f>IF(ЦТО!#REF!="","",ЦТО!#REF!)</f>
        <v>#REF!</v>
      </c>
      <c r="E7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2" s="47" t="e">
        <f>IF(OR(ЦТО!#REF!=ЦТО!$BK$8,ЦТО!#REF!=ЦТО!$BK$9,ЦТО!#REF!=ЦТО!$BK$10),"Обратить внимание","Отклонений нет")</f>
        <v>#REF!</v>
      </c>
      <c r="K72" s="14" t="e">
        <f>IF(OR(ЦТО!#REF!=ЦТО!$BK$8,ЦТО!#REF!=ЦТО!$BK$9,ЦТО!#REF!=ЦТО!$BK$10),"Обратить внимание","Отклонений нет")</f>
        <v>#REF!</v>
      </c>
      <c r="L72" s="14" t="e">
        <f>IF(OR(ЦТО!#REF!=ЦТО!$BK$8,ЦТО!#REF!=ЦТО!$BK$9,ЦТО!#REF!=ЦТО!$BK$10),"Обратить внимание","Отклонений нет")</f>
        <v>#REF!</v>
      </c>
      <c r="M72" s="14" t="e">
        <f>IF(OR(ЦТО!#REF!=ЦТО!$BK$8,ЦТО!#REF!=ЦТО!$BK$9,ЦТО!#REF!=ЦТО!$BK$10),"Обратить внимание","Отклонений нет")</f>
        <v>#REF!</v>
      </c>
      <c r="N72" s="14" t="e">
        <f>IF(OR(ЦТО!#REF!=ЦТО!$BK$8,ЦТО!#REF!=ЦТО!$BK$9,ЦТО!#REF!=ЦТО!$BK$10),"Обратить внимание","Отклонений нет")</f>
        <v>#REF!</v>
      </c>
      <c r="O72" s="14" t="e">
        <f>IF(OR(ЦТО!#REF!=ЦТО!$BK$8,ЦТО!#REF!=ЦТО!$BK$9,ЦТО!#REF!=ЦТО!$BK$10),"Обратить внимание","Отклонений нет")</f>
        <v>#REF!</v>
      </c>
      <c r="P72" s="14" t="e">
        <f>IF(OR(ЦТО!#REF!=ЦТО!$BK$8,ЦТО!#REF!=ЦТО!$BK$9,ЦТО!#REF!=ЦТО!$BK$10),"Обратить внимание","Отклонений нет")</f>
        <v>#REF!</v>
      </c>
      <c r="Q72" s="14" t="e">
        <f>IF(OR(ЦТО!#REF!=ЦТО!$BK$8,ЦТО!#REF!=ЦТО!$BK$9,ЦТО!#REF!=ЦТО!$BK$10),"Обратить внимание","Отклонений нет")</f>
        <v>#REF!</v>
      </c>
      <c r="R72" s="14" t="e">
        <f>IF(OR(ЦТО!#REF!=ЦТО!$BK$8,ЦТО!#REF!=ЦТО!$BK$9,ЦТО!#REF!=ЦТО!$BK$10),"Обратить внимание","Отклонений нет")</f>
        <v>#REF!</v>
      </c>
      <c r="S72" s="14" t="e">
        <f>IF(OR(ЦТО!#REF!=ЦТО!$BK$8,ЦТО!#REF!=ЦТО!$BK$9,ЦТО!#REF!=ЦТО!$BK$10),"Обратить внимание","Отклонений нет")</f>
        <v>#REF!</v>
      </c>
      <c r="T72" s="14" t="e">
        <f>IF(OR(ЦТО!#REF!=ЦТО!$BK$8,ЦТО!#REF!=ЦТО!$BK$9,ЦТО!#REF!=ЦТО!$BK$10),"Обратить внимание","Отклонений нет")</f>
        <v>#REF!</v>
      </c>
      <c r="U72" s="14" t="e">
        <f>IF(OR(ЦТО!#REF!=ЦТО!$BK$8,ЦТО!#REF!=ЦТО!$BK$9,ЦТО!#REF!=ЦТО!$BK$10),"Обратить внимание","Отклонений нет")</f>
        <v>#REF!</v>
      </c>
      <c r="V72" s="47" t="e">
        <f>IF(OR(ЦТО!#REF!=ЦТО!$BK$8,ЦТО!#REF!=ЦТО!$BK$9,ЦТО!#REF!=ЦТО!$BK$10),"Обратить внимание","Отклонений нет")</f>
        <v>#REF!</v>
      </c>
      <c r="W72" s="47" t="e">
        <f>IF(OR(ЦТО!#REF!=ЦТО!$BK$8,ЦТО!#REF!=ЦТО!$BK$9,ЦТО!#REF!=ЦТО!$BK$10),"Обратить внимание","Отклонений нет")</f>
        <v>#REF!</v>
      </c>
      <c r="X72" s="47" t="e">
        <f>IF(OR(ЦТО!#REF!=ЦТО!$BK$8,ЦТО!#REF!=ЦТО!$BK$9,ЦТО!#REF!=ЦТО!$BK$10),"Обратить внимание","Отклонений нет")</f>
        <v>#REF!</v>
      </c>
    </row>
    <row r="73" spans="1:24" ht="18" customHeight="1">
      <c r="A73" s="10">
        <v>71</v>
      </c>
      <c r="B73" s="14" t="e">
        <f>IF(ЦТО!#REF!="","",ЦТО!#REF!)</f>
        <v>#REF!</v>
      </c>
      <c r="C73" s="14" t="e">
        <f>IF(ЦТО!#REF!="","",ЦТО!#REF!)</f>
        <v>#REF!</v>
      </c>
      <c r="D73" s="36" t="e">
        <f>IF(ЦТО!#REF!="","",ЦТО!#REF!)</f>
        <v>#REF!</v>
      </c>
      <c r="E7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3" s="47" t="e">
        <f>IF(OR(ЦТО!#REF!=ЦТО!$BK$8,ЦТО!#REF!=ЦТО!$BK$9,ЦТО!#REF!=ЦТО!$BK$10),"Обратить внимание","Отклонений нет")</f>
        <v>#REF!</v>
      </c>
      <c r="K73" s="14" t="e">
        <f>IF(OR(ЦТО!#REF!=ЦТО!$BK$8,ЦТО!#REF!=ЦТО!$BK$9,ЦТО!#REF!=ЦТО!$BK$10),"Обратить внимание","Отклонений нет")</f>
        <v>#REF!</v>
      </c>
      <c r="L73" s="14" t="e">
        <f>IF(OR(ЦТО!#REF!=ЦТО!$BK$8,ЦТО!#REF!=ЦТО!$BK$9,ЦТО!#REF!=ЦТО!$BK$10),"Обратить внимание","Отклонений нет")</f>
        <v>#REF!</v>
      </c>
      <c r="M73" s="14" t="e">
        <f>IF(OR(ЦТО!#REF!=ЦТО!$BK$8,ЦТО!#REF!=ЦТО!$BK$9,ЦТО!#REF!=ЦТО!$BK$10),"Обратить внимание","Отклонений нет")</f>
        <v>#REF!</v>
      </c>
      <c r="N73" s="14" t="e">
        <f>IF(OR(ЦТО!#REF!=ЦТО!$BK$8,ЦТО!#REF!=ЦТО!$BK$9,ЦТО!#REF!=ЦТО!$BK$10),"Обратить внимание","Отклонений нет")</f>
        <v>#REF!</v>
      </c>
      <c r="O73" s="14" t="e">
        <f>IF(OR(ЦТО!#REF!=ЦТО!$BK$8,ЦТО!#REF!=ЦТО!$BK$9,ЦТО!#REF!=ЦТО!$BK$10),"Обратить внимание","Отклонений нет")</f>
        <v>#REF!</v>
      </c>
      <c r="P73" s="14" t="e">
        <f>IF(OR(ЦТО!#REF!=ЦТО!$BK$8,ЦТО!#REF!=ЦТО!$BK$9,ЦТО!#REF!=ЦТО!$BK$10),"Обратить внимание","Отклонений нет")</f>
        <v>#REF!</v>
      </c>
      <c r="Q73" s="14" t="e">
        <f>IF(OR(ЦТО!#REF!=ЦТО!$BK$8,ЦТО!#REF!=ЦТО!$BK$9,ЦТО!#REF!=ЦТО!$BK$10),"Обратить внимание","Отклонений нет")</f>
        <v>#REF!</v>
      </c>
      <c r="R73" s="14" t="e">
        <f>IF(OR(ЦТО!#REF!=ЦТО!$BK$8,ЦТО!#REF!=ЦТО!$BK$9,ЦТО!#REF!=ЦТО!$BK$10),"Обратить внимание","Отклонений нет")</f>
        <v>#REF!</v>
      </c>
      <c r="S73" s="14" t="e">
        <f>IF(OR(ЦТО!#REF!=ЦТО!$BK$8,ЦТО!#REF!=ЦТО!$BK$9,ЦТО!#REF!=ЦТО!$BK$10),"Обратить внимание","Отклонений нет")</f>
        <v>#REF!</v>
      </c>
      <c r="T73" s="14" t="e">
        <f>IF(OR(ЦТО!#REF!=ЦТО!$BK$8,ЦТО!#REF!=ЦТО!$BK$9,ЦТО!#REF!=ЦТО!$BK$10),"Обратить внимание","Отклонений нет")</f>
        <v>#REF!</v>
      </c>
      <c r="U73" s="14" t="e">
        <f>IF(OR(ЦТО!#REF!=ЦТО!$BK$8,ЦТО!#REF!=ЦТО!$BK$9,ЦТО!#REF!=ЦТО!$BK$10),"Обратить внимание","Отклонений нет")</f>
        <v>#REF!</v>
      </c>
      <c r="V73" s="47" t="e">
        <f>IF(OR(ЦТО!#REF!=ЦТО!$BK$8,ЦТО!#REF!=ЦТО!$BK$9,ЦТО!#REF!=ЦТО!$BK$10),"Обратить внимание","Отклонений нет")</f>
        <v>#REF!</v>
      </c>
      <c r="W73" s="47" t="e">
        <f>IF(OR(ЦТО!#REF!=ЦТО!$BK$8,ЦТО!#REF!=ЦТО!$BK$9,ЦТО!#REF!=ЦТО!$BK$10),"Обратить внимание","Отклонений нет")</f>
        <v>#REF!</v>
      </c>
      <c r="X73" s="47" t="e">
        <f>IF(OR(ЦТО!#REF!=ЦТО!$BK$8,ЦТО!#REF!=ЦТО!$BK$9,ЦТО!#REF!=ЦТО!$BK$10),"Обратить внимание","Отклонений нет")</f>
        <v>#REF!</v>
      </c>
    </row>
    <row r="74" spans="1:24" ht="18" customHeight="1">
      <c r="A74" s="10">
        <v>72</v>
      </c>
      <c r="B74" s="14" t="e">
        <f>IF(ЦТО!#REF!="","",ЦТО!#REF!)</f>
        <v>#REF!</v>
      </c>
      <c r="C74" s="14" t="e">
        <f>IF(ЦТО!#REF!="","",ЦТО!#REF!)</f>
        <v>#REF!</v>
      </c>
      <c r="D74" s="36" t="e">
        <f>IF(ЦТО!#REF!="","",ЦТО!#REF!)</f>
        <v>#REF!</v>
      </c>
      <c r="E7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4" s="47" t="e">
        <f>IF(OR(ЦТО!#REF!=ЦТО!$BK$8,ЦТО!#REF!=ЦТО!$BK$9,ЦТО!#REF!=ЦТО!$BK$10),"Обратить внимание","Отклонений нет")</f>
        <v>#REF!</v>
      </c>
      <c r="K74" s="14" t="e">
        <f>IF(OR(ЦТО!#REF!=ЦТО!$BK$8,ЦТО!#REF!=ЦТО!$BK$9,ЦТО!#REF!=ЦТО!$BK$10),"Обратить внимание","Отклонений нет")</f>
        <v>#REF!</v>
      </c>
      <c r="L74" s="14" t="e">
        <f>IF(OR(ЦТО!#REF!=ЦТО!$BK$8,ЦТО!#REF!=ЦТО!$BK$9,ЦТО!#REF!=ЦТО!$BK$10),"Обратить внимание","Отклонений нет")</f>
        <v>#REF!</v>
      </c>
      <c r="M74" s="14" t="e">
        <f>IF(OR(ЦТО!#REF!=ЦТО!$BK$8,ЦТО!#REF!=ЦТО!$BK$9,ЦТО!#REF!=ЦТО!$BK$10),"Обратить внимание","Отклонений нет")</f>
        <v>#REF!</v>
      </c>
      <c r="N74" s="14" t="e">
        <f>IF(OR(ЦТО!#REF!=ЦТО!$BK$8,ЦТО!#REF!=ЦТО!$BK$9,ЦТО!#REF!=ЦТО!$BK$10),"Обратить внимание","Отклонений нет")</f>
        <v>#REF!</v>
      </c>
      <c r="O74" s="14" t="e">
        <f>IF(OR(ЦТО!#REF!=ЦТО!$BK$8,ЦТО!#REF!=ЦТО!$BK$9,ЦТО!#REF!=ЦТО!$BK$10),"Обратить внимание","Отклонений нет")</f>
        <v>#REF!</v>
      </c>
      <c r="P74" s="14" t="e">
        <f>IF(OR(ЦТО!#REF!=ЦТО!$BK$8,ЦТО!#REF!=ЦТО!$BK$9,ЦТО!#REF!=ЦТО!$BK$10),"Обратить внимание","Отклонений нет")</f>
        <v>#REF!</v>
      </c>
      <c r="Q74" s="14" t="e">
        <f>IF(OR(ЦТО!#REF!=ЦТО!$BK$8,ЦТО!#REF!=ЦТО!$BK$9,ЦТО!#REF!=ЦТО!$BK$10),"Обратить внимание","Отклонений нет")</f>
        <v>#REF!</v>
      </c>
      <c r="R74" s="14" t="e">
        <f>IF(OR(ЦТО!#REF!=ЦТО!$BK$8,ЦТО!#REF!=ЦТО!$BK$9,ЦТО!#REF!=ЦТО!$BK$10),"Обратить внимание","Отклонений нет")</f>
        <v>#REF!</v>
      </c>
      <c r="S74" s="14" t="e">
        <f>IF(OR(ЦТО!#REF!=ЦТО!$BK$8,ЦТО!#REF!=ЦТО!$BK$9,ЦТО!#REF!=ЦТО!$BK$10),"Обратить внимание","Отклонений нет")</f>
        <v>#REF!</v>
      </c>
      <c r="T74" s="14" t="e">
        <f>IF(OR(ЦТО!#REF!=ЦТО!$BK$8,ЦТО!#REF!=ЦТО!$BK$9,ЦТО!#REF!=ЦТО!$BK$10),"Обратить внимание","Отклонений нет")</f>
        <v>#REF!</v>
      </c>
      <c r="U74" s="14" t="e">
        <f>IF(OR(ЦТО!#REF!=ЦТО!$BK$8,ЦТО!#REF!=ЦТО!$BK$9,ЦТО!#REF!=ЦТО!$BK$10),"Обратить внимание","Отклонений нет")</f>
        <v>#REF!</v>
      </c>
      <c r="V74" s="47" t="e">
        <f>IF(OR(ЦТО!#REF!=ЦТО!$BK$8,ЦТО!#REF!=ЦТО!$BK$9,ЦТО!#REF!=ЦТО!$BK$10),"Обратить внимание","Отклонений нет")</f>
        <v>#REF!</v>
      </c>
      <c r="W74" s="47" t="e">
        <f>IF(OR(ЦТО!#REF!=ЦТО!$BK$8,ЦТО!#REF!=ЦТО!$BK$9,ЦТО!#REF!=ЦТО!$BK$10),"Обратить внимание","Отклонений нет")</f>
        <v>#REF!</v>
      </c>
      <c r="X74" s="47" t="e">
        <f>IF(OR(ЦТО!#REF!=ЦТО!$BK$8,ЦТО!#REF!=ЦТО!$BK$9,ЦТО!#REF!=ЦТО!$BK$10),"Обратить внимание","Отклонений нет")</f>
        <v>#REF!</v>
      </c>
    </row>
    <row r="75" spans="1:24" ht="18" customHeight="1">
      <c r="A75" s="10">
        <v>73</v>
      </c>
      <c r="B75" s="14" t="e">
        <f>IF(ЦТО!#REF!="","",ЦТО!#REF!)</f>
        <v>#REF!</v>
      </c>
      <c r="C75" s="14" t="e">
        <f>IF(ЦТО!#REF!="","",ЦТО!#REF!)</f>
        <v>#REF!</v>
      </c>
      <c r="D75" s="36" t="e">
        <f>IF(ЦТО!#REF!="","",ЦТО!#REF!)</f>
        <v>#REF!</v>
      </c>
      <c r="E7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5" s="47" t="e">
        <f>IF(OR(ЦТО!#REF!=ЦТО!$BK$8,ЦТО!#REF!=ЦТО!$BK$9,ЦТО!#REF!=ЦТО!$BK$10),"Обратить внимание","Отклонений нет")</f>
        <v>#REF!</v>
      </c>
      <c r="K75" s="14" t="e">
        <f>IF(OR(ЦТО!#REF!=ЦТО!$BK$8,ЦТО!#REF!=ЦТО!$BK$9,ЦТО!#REF!=ЦТО!$BK$10),"Обратить внимание","Отклонений нет")</f>
        <v>#REF!</v>
      </c>
      <c r="L75" s="14" t="e">
        <f>IF(OR(ЦТО!#REF!=ЦТО!$BK$8,ЦТО!#REF!=ЦТО!$BK$9,ЦТО!#REF!=ЦТО!$BK$10),"Обратить внимание","Отклонений нет")</f>
        <v>#REF!</v>
      </c>
      <c r="M75" s="14" t="e">
        <f>IF(OR(ЦТО!#REF!=ЦТО!$BK$8,ЦТО!#REF!=ЦТО!$BK$9,ЦТО!#REF!=ЦТО!$BK$10),"Обратить внимание","Отклонений нет")</f>
        <v>#REF!</v>
      </c>
      <c r="N75" s="14" t="e">
        <f>IF(OR(ЦТО!#REF!=ЦТО!$BK$8,ЦТО!#REF!=ЦТО!$BK$9,ЦТО!#REF!=ЦТО!$BK$10),"Обратить внимание","Отклонений нет")</f>
        <v>#REF!</v>
      </c>
      <c r="O75" s="14" t="e">
        <f>IF(OR(ЦТО!#REF!=ЦТО!$BK$8,ЦТО!#REF!=ЦТО!$BK$9,ЦТО!#REF!=ЦТО!$BK$10),"Обратить внимание","Отклонений нет")</f>
        <v>#REF!</v>
      </c>
      <c r="P75" s="14" t="e">
        <f>IF(OR(ЦТО!#REF!=ЦТО!$BK$8,ЦТО!#REF!=ЦТО!$BK$9,ЦТО!#REF!=ЦТО!$BK$10),"Обратить внимание","Отклонений нет")</f>
        <v>#REF!</v>
      </c>
      <c r="Q75" s="14" t="e">
        <f>IF(OR(ЦТО!#REF!=ЦТО!$BK$8,ЦТО!#REF!=ЦТО!$BK$9,ЦТО!#REF!=ЦТО!$BK$10),"Обратить внимание","Отклонений нет")</f>
        <v>#REF!</v>
      </c>
      <c r="R75" s="14" t="e">
        <f>IF(OR(ЦТО!#REF!=ЦТО!$BK$8,ЦТО!#REF!=ЦТО!$BK$9,ЦТО!#REF!=ЦТО!$BK$10),"Обратить внимание","Отклонений нет")</f>
        <v>#REF!</v>
      </c>
      <c r="S75" s="14" t="e">
        <f>IF(OR(ЦТО!#REF!=ЦТО!$BK$8,ЦТО!#REF!=ЦТО!$BK$9,ЦТО!#REF!=ЦТО!$BK$10),"Обратить внимание","Отклонений нет")</f>
        <v>#REF!</v>
      </c>
      <c r="T75" s="14" t="e">
        <f>IF(OR(ЦТО!#REF!=ЦТО!$BK$8,ЦТО!#REF!=ЦТО!$BK$9,ЦТО!#REF!=ЦТО!$BK$10),"Обратить внимание","Отклонений нет")</f>
        <v>#REF!</v>
      </c>
      <c r="U75" s="14" t="e">
        <f>IF(OR(ЦТО!#REF!=ЦТО!$BK$8,ЦТО!#REF!=ЦТО!$BK$9,ЦТО!#REF!=ЦТО!$BK$10),"Обратить внимание","Отклонений нет")</f>
        <v>#REF!</v>
      </c>
      <c r="V75" s="47" t="e">
        <f>IF(OR(ЦТО!#REF!=ЦТО!$BK$8,ЦТО!#REF!=ЦТО!$BK$9,ЦТО!#REF!=ЦТО!$BK$10),"Обратить внимание","Отклонений нет")</f>
        <v>#REF!</v>
      </c>
      <c r="W75" s="47" t="e">
        <f>IF(OR(ЦТО!#REF!=ЦТО!$BK$8,ЦТО!#REF!=ЦТО!$BK$9,ЦТО!#REF!=ЦТО!$BK$10),"Обратить внимание","Отклонений нет")</f>
        <v>#REF!</v>
      </c>
      <c r="X75" s="47" t="e">
        <f>IF(OR(ЦТО!#REF!=ЦТО!$BK$8,ЦТО!#REF!=ЦТО!$BK$9,ЦТО!#REF!=ЦТО!$BK$10),"Обратить внимание","Отклонений нет")</f>
        <v>#REF!</v>
      </c>
    </row>
    <row r="76" spans="1:24" ht="18" customHeight="1">
      <c r="A76" s="10">
        <v>74</v>
      </c>
      <c r="B76" s="14" t="e">
        <f>IF(ЦТО!#REF!="","",ЦТО!#REF!)</f>
        <v>#REF!</v>
      </c>
      <c r="C76" s="14" t="e">
        <f>IF(ЦТО!#REF!="","",ЦТО!#REF!)</f>
        <v>#REF!</v>
      </c>
      <c r="D76" s="36" t="e">
        <f>IF(ЦТО!#REF!="","",ЦТО!#REF!)</f>
        <v>#REF!</v>
      </c>
      <c r="E7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6" s="47" t="e">
        <f>IF(OR(ЦТО!#REF!=ЦТО!$BK$8,ЦТО!#REF!=ЦТО!$BK$9,ЦТО!#REF!=ЦТО!$BK$10),"Обратить внимание","Отклонений нет")</f>
        <v>#REF!</v>
      </c>
      <c r="K76" s="14" t="e">
        <f>IF(OR(ЦТО!#REF!=ЦТО!$BK$8,ЦТО!#REF!=ЦТО!$BK$9,ЦТО!#REF!=ЦТО!$BK$10),"Обратить внимание","Отклонений нет")</f>
        <v>#REF!</v>
      </c>
      <c r="L76" s="14" t="e">
        <f>IF(OR(ЦТО!#REF!=ЦТО!$BK$8,ЦТО!#REF!=ЦТО!$BK$9,ЦТО!#REF!=ЦТО!$BK$10),"Обратить внимание","Отклонений нет")</f>
        <v>#REF!</v>
      </c>
      <c r="M76" s="14" t="e">
        <f>IF(OR(ЦТО!#REF!=ЦТО!$BK$8,ЦТО!#REF!=ЦТО!$BK$9,ЦТО!#REF!=ЦТО!$BK$10),"Обратить внимание","Отклонений нет")</f>
        <v>#REF!</v>
      </c>
      <c r="N76" s="14" t="e">
        <f>IF(OR(ЦТО!#REF!=ЦТО!$BK$8,ЦТО!#REF!=ЦТО!$BK$9,ЦТО!#REF!=ЦТО!$BK$10),"Обратить внимание","Отклонений нет")</f>
        <v>#REF!</v>
      </c>
      <c r="O76" s="14" t="e">
        <f>IF(OR(ЦТО!#REF!=ЦТО!$BK$8,ЦТО!#REF!=ЦТО!$BK$9,ЦТО!#REF!=ЦТО!$BK$10),"Обратить внимание","Отклонений нет")</f>
        <v>#REF!</v>
      </c>
      <c r="P76" s="14" t="e">
        <f>IF(OR(ЦТО!#REF!=ЦТО!$BK$8,ЦТО!#REF!=ЦТО!$BK$9,ЦТО!#REF!=ЦТО!$BK$10),"Обратить внимание","Отклонений нет")</f>
        <v>#REF!</v>
      </c>
      <c r="Q76" s="14" t="e">
        <f>IF(OR(ЦТО!#REF!=ЦТО!$BK$8,ЦТО!#REF!=ЦТО!$BK$9,ЦТО!#REF!=ЦТО!$BK$10),"Обратить внимание","Отклонений нет")</f>
        <v>#REF!</v>
      </c>
      <c r="R76" s="14" t="e">
        <f>IF(OR(ЦТО!#REF!=ЦТО!$BK$8,ЦТО!#REF!=ЦТО!$BK$9,ЦТО!#REF!=ЦТО!$BK$10),"Обратить внимание","Отклонений нет")</f>
        <v>#REF!</v>
      </c>
      <c r="S76" s="14" t="e">
        <f>IF(OR(ЦТО!#REF!=ЦТО!$BK$8,ЦТО!#REF!=ЦТО!$BK$9,ЦТО!#REF!=ЦТО!$BK$10),"Обратить внимание","Отклонений нет")</f>
        <v>#REF!</v>
      </c>
      <c r="T76" s="14" t="e">
        <f>IF(OR(ЦТО!#REF!=ЦТО!$BK$8,ЦТО!#REF!=ЦТО!$BK$9,ЦТО!#REF!=ЦТО!$BK$10),"Обратить внимание","Отклонений нет")</f>
        <v>#REF!</v>
      </c>
      <c r="U76" s="14" t="e">
        <f>IF(OR(ЦТО!#REF!=ЦТО!$BK$8,ЦТО!#REF!=ЦТО!$BK$9,ЦТО!#REF!=ЦТО!$BK$10),"Обратить внимание","Отклонений нет")</f>
        <v>#REF!</v>
      </c>
      <c r="V76" s="47" t="e">
        <f>IF(OR(ЦТО!#REF!=ЦТО!$BK$8,ЦТО!#REF!=ЦТО!$BK$9,ЦТО!#REF!=ЦТО!$BK$10),"Обратить внимание","Отклонений нет")</f>
        <v>#REF!</v>
      </c>
      <c r="W76" s="47" t="e">
        <f>IF(OR(ЦТО!#REF!=ЦТО!$BK$8,ЦТО!#REF!=ЦТО!$BK$9,ЦТО!#REF!=ЦТО!$BK$10),"Обратить внимание","Отклонений нет")</f>
        <v>#REF!</v>
      </c>
      <c r="X76" s="47" t="e">
        <f>IF(OR(ЦТО!#REF!=ЦТО!$BK$8,ЦТО!#REF!=ЦТО!$BK$9,ЦТО!#REF!=ЦТО!$BK$10),"Обратить внимание","Отклонений нет")</f>
        <v>#REF!</v>
      </c>
    </row>
    <row r="77" spans="1:24" ht="18" customHeight="1">
      <c r="A77" s="10">
        <v>75</v>
      </c>
      <c r="B77" s="14" t="e">
        <f>IF(ЦТО!#REF!="","",ЦТО!#REF!)</f>
        <v>#REF!</v>
      </c>
      <c r="C77" s="14" t="e">
        <f>IF(ЦТО!#REF!="","",ЦТО!#REF!)</f>
        <v>#REF!</v>
      </c>
      <c r="D77" s="36" t="e">
        <f>IF(ЦТО!#REF!="","",ЦТО!#REF!)</f>
        <v>#REF!</v>
      </c>
      <c r="E7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7" s="47" t="e">
        <f>IF(OR(ЦТО!#REF!=ЦТО!$BK$8,ЦТО!#REF!=ЦТО!$BK$9,ЦТО!#REF!=ЦТО!$BK$10),"Обратить внимание","Отклонений нет")</f>
        <v>#REF!</v>
      </c>
      <c r="K77" s="14" t="e">
        <f>IF(OR(ЦТО!#REF!=ЦТО!$BK$8,ЦТО!#REF!=ЦТО!$BK$9,ЦТО!#REF!=ЦТО!$BK$10),"Обратить внимание","Отклонений нет")</f>
        <v>#REF!</v>
      </c>
      <c r="L77" s="14" t="e">
        <f>IF(OR(ЦТО!#REF!=ЦТО!$BK$8,ЦТО!#REF!=ЦТО!$BK$9,ЦТО!#REF!=ЦТО!$BK$10),"Обратить внимание","Отклонений нет")</f>
        <v>#REF!</v>
      </c>
      <c r="M77" s="14" t="e">
        <f>IF(OR(ЦТО!#REF!=ЦТО!$BK$8,ЦТО!#REF!=ЦТО!$BK$9,ЦТО!#REF!=ЦТО!$BK$10),"Обратить внимание","Отклонений нет")</f>
        <v>#REF!</v>
      </c>
      <c r="N77" s="14" t="e">
        <f>IF(OR(ЦТО!#REF!=ЦТО!$BK$8,ЦТО!#REF!=ЦТО!$BK$9,ЦТО!#REF!=ЦТО!$BK$10),"Обратить внимание","Отклонений нет")</f>
        <v>#REF!</v>
      </c>
      <c r="O77" s="14" t="e">
        <f>IF(OR(ЦТО!#REF!=ЦТО!$BK$8,ЦТО!#REF!=ЦТО!$BK$9,ЦТО!#REF!=ЦТО!$BK$10),"Обратить внимание","Отклонений нет")</f>
        <v>#REF!</v>
      </c>
      <c r="P77" s="14" t="e">
        <f>IF(OR(ЦТО!#REF!=ЦТО!$BK$8,ЦТО!#REF!=ЦТО!$BK$9,ЦТО!#REF!=ЦТО!$BK$10),"Обратить внимание","Отклонений нет")</f>
        <v>#REF!</v>
      </c>
      <c r="Q77" s="14" t="e">
        <f>IF(OR(ЦТО!#REF!=ЦТО!$BK$8,ЦТО!#REF!=ЦТО!$BK$9,ЦТО!#REF!=ЦТО!$BK$10),"Обратить внимание","Отклонений нет")</f>
        <v>#REF!</v>
      </c>
      <c r="R77" s="14" t="e">
        <f>IF(OR(ЦТО!#REF!=ЦТО!$BK$8,ЦТО!#REF!=ЦТО!$BK$9,ЦТО!#REF!=ЦТО!$BK$10),"Обратить внимание","Отклонений нет")</f>
        <v>#REF!</v>
      </c>
      <c r="S77" s="14" t="e">
        <f>IF(OR(ЦТО!#REF!=ЦТО!$BK$8,ЦТО!#REF!=ЦТО!$BK$9,ЦТО!#REF!=ЦТО!$BK$10),"Обратить внимание","Отклонений нет")</f>
        <v>#REF!</v>
      </c>
      <c r="T77" s="14" t="e">
        <f>IF(OR(ЦТО!#REF!=ЦТО!$BK$8,ЦТО!#REF!=ЦТО!$BK$9,ЦТО!#REF!=ЦТО!$BK$10),"Обратить внимание","Отклонений нет")</f>
        <v>#REF!</v>
      </c>
      <c r="U77" s="14" t="e">
        <f>IF(OR(ЦТО!#REF!=ЦТО!$BK$8,ЦТО!#REF!=ЦТО!$BK$9,ЦТО!#REF!=ЦТО!$BK$10),"Обратить внимание","Отклонений нет")</f>
        <v>#REF!</v>
      </c>
      <c r="V77" s="47" t="e">
        <f>IF(OR(ЦТО!#REF!=ЦТО!$BK$8,ЦТО!#REF!=ЦТО!$BK$9,ЦТО!#REF!=ЦТО!$BK$10),"Обратить внимание","Отклонений нет")</f>
        <v>#REF!</v>
      </c>
      <c r="W77" s="47" t="e">
        <f>IF(OR(ЦТО!#REF!=ЦТО!$BK$8,ЦТО!#REF!=ЦТО!$BK$9,ЦТО!#REF!=ЦТО!$BK$10),"Обратить внимание","Отклонений нет")</f>
        <v>#REF!</v>
      </c>
      <c r="X77" s="47" t="e">
        <f>IF(OR(ЦТО!#REF!=ЦТО!$BK$8,ЦТО!#REF!=ЦТО!$BK$9,ЦТО!#REF!=ЦТО!$BK$10),"Обратить внимание","Отклонений нет")</f>
        <v>#REF!</v>
      </c>
    </row>
    <row r="78" spans="1:24" ht="18" customHeight="1">
      <c r="A78" s="10">
        <v>76</v>
      </c>
      <c r="B78" s="14" t="e">
        <f>IF(ЦТО!#REF!="","",ЦТО!#REF!)</f>
        <v>#REF!</v>
      </c>
      <c r="C78" s="14" t="e">
        <f>IF(ЦТО!#REF!="","",ЦТО!#REF!)</f>
        <v>#REF!</v>
      </c>
      <c r="D78" s="36" t="e">
        <f>IF(ЦТО!#REF!="","",ЦТО!#REF!)</f>
        <v>#REF!</v>
      </c>
      <c r="E7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8" s="47" t="e">
        <f>IF(OR(ЦТО!#REF!=ЦТО!$BK$8,ЦТО!#REF!=ЦТО!$BK$9,ЦТО!#REF!=ЦТО!$BK$10),"Обратить внимание","Отклонений нет")</f>
        <v>#REF!</v>
      </c>
      <c r="K78" s="14" t="e">
        <f>IF(OR(ЦТО!#REF!=ЦТО!$BK$8,ЦТО!#REF!=ЦТО!$BK$9,ЦТО!#REF!=ЦТО!$BK$10),"Обратить внимание","Отклонений нет")</f>
        <v>#REF!</v>
      </c>
      <c r="L78" s="14" t="e">
        <f>IF(OR(ЦТО!#REF!=ЦТО!$BK$8,ЦТО!#REF!=ЦТО!$BK$9,ЦТО!#REF!=ЦТО!$BK$10),"Обратить внимание","Отклонений нет")</f>
        <v>#REF!</v>
      </c>
      <c r="M78" s="14" t="e">
        <f>IF(OR(ЦТО!#REF!=ЦТО!$BK$8,ЦТО!#REF!=ЦТО!$BK$9,ЦТО!#REF!=ЦТО!$BK$10),"Обратить внимание","Отклонений нет")</f>
        <v>#REF!</v>
      </c>
      <c r="N78" s="14" t="e">
        <f>IF(OR(ЦТО!#REF!=ЦТО!$BK$8,ЦТО!#REF!=ЦТО!$BK$9,ЦТО!#REF!=ЦТО!$BK$10),"Обратить внимание","Отклонений нет")</f>
        <v>#REF!</v>
      </c>
      <c r="O78" s="14" t="e">
        <f>IF(OR(ЦТО!#REF!=ЦТО!$BK$8,ЦТО!#REF!=ЦТО!$BK$9,ЦТО!#REF!=ЦТО!$BK$10),"Обратить внимание","Отклонений нет")</f>
        <v>#REF!</v>
      </c>
      <c r="P78" s="14" t="e">
        <f>IF(OR(ЦТО!#REF!=ЦТО!$BK$8,ЦТО!#REF!=ЦТО!$BK$9,ЦТО!#REF!=ЦТО!$BK$10),"Обратить внимание","Отклонений нет")</f>
        <v>#REF!</v>
      </c>
      <c r="Q78" s="14" t="e">
        <f>IF(OR(ЦТО!#REF!=ЦТО!$BK$8,ЦТО!#REF!=ЦТО!$BK$9,ЦТО!#REF!=ЦТО!$BK$10),"Обратить внимание","Отклонений нет")</f>
        <v>#REF!</v>
      </c>
      <c r="R78" s="14" t="e">
        <f>IF(OR(ЦТО!#REF!=ЦТО!$BK$8,ЦТО!#REF!=ЦТО!$BK$9,ЦТО!#REF!=ЦТО!$BK$10),"Обратить внимание","Отклонений нет")</f>
        <v>#REF!</v>
      </c>
      <c r="S78" s="14" t="e">
        <f>IF(OR(ЦТО!#REF!=ЦТО!$BK$8,ЦТО!#REF!=ЦТО!$BK$9,ЦТО!#REF!=ЦТО!$BK$10),"Обратить внимание","Отклонений нет")</f>
        <v>#REF!</v>
      </c>
      <c r="T78" s="14" t="e">
        <f>IF(OR(ЦТО!#REF!=ЦТО!$BK$8,ЦТО!#REF!=ЦТО!$BK$9,ЦТО!#REF!=ЦТО!$BK$10),"Обратить внимание","Отклонений нет")</f>
        <v>#REF!</v>
      </c>
      <c r="U78" s="14" t="e">
        <f>IF(OR(ЦТО!#REF!=ЦТО!$BK$8,ЦТО!#REF!=ЦТО!$BK$9,ЦТО!#REF!=ЦТО!$BK$10),"Обратить внимание","Отклонений нет")</f>
        <v>#REF!</v>
      </c>
      <c r="V78" s="47" t="e">
        <f>IF(OR(ЦТО!#REF!=ЦТО!$BK$8,ЦТО!#REF!=ЦТО!$BK$9,ЦТО!#REF!=ЦТО!$BK$10),"Обратить внимание","Отклонений нет")</f>
        <v>#REF!</v>
      </c>
      <c r="W78" s="47" t="e">
        <f>IF(OR(ЦТО!#REF!=ЦТО!$BK$8,ЦТО!#REF!=ЦТО!$BK$9,ЦТО!#REF!=ЦТО!$BK$10),"Обратить внимание","Отклонений нет")</f>
        <v>#REF!</v>
      </c>
      <c r="X78" s="47" t="e">
        <f>IF(OR(ЦТО!#REF!=ЦТО!$BK$8,ЦТО!#REF!=ЦТО!$BK$9,ЦТО!#REF!=ЦТО!$BK$10),"Обратить внимание","Отклонений нет")</f>
        <v>#REF!</v>
      </c>
    </row>
    <row r="79" spans="1:24" ht="18" customHeight="1">
      <c r="A79" s="10">
        <v>77</v>
      </c>
      <c r="B79" s="14" t="e">
        <f>IF(ЦТО!#REF!="","",ЦТО!#REF!)</f>
        <v>#REF!</v>
      </c>
      <c r="C79" s="14" t="e">
        <f>IF(ЦТО!#REF!="","",ЦТО!#REF!)</f>
        <v>#REF!</v>
      </c>
      <c r="D79" s="36" t="e">
        <f>IF(ЦТО!#REF!="","",ЦТО!#REF!)</f>
        <v>#REF!</v>
      </c>
      <c r="E7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7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7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7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7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79" s="47" t="e">
        <f>IF(OR(ЦТО!#REF!=ЦТО!$BK$8,ЦТО!#REF!=ЦТО!$BK$9,ЦТО!#REF!=ЦТО!$BK$10),"Обратить внимание","Отклонений нет")</f>
        <v>#REF!</v>
      </c>
      <c r="K79" s="14" t="e">
        <f>IF(OR(ЦТО!#REF!=ЦТО!$BK$8,ЦТО!#REF!=ЦТО!$BK$9,ЦТО!#REF!=ЦТО!$BK$10),"Обратить внимание","Отклонений нет")</f>
        <v>#REF!</v>
      </c>
      <c r="L79" s="14" t="e">
        <f>IF(OR(ЦТО!#REF!=ЦТО!$BK$8,ЦТО!#REF!=ЦТО!$BK$9,ЦТО!#REF!=ЦТО!$BK$10),"Обратить внимание","Отклонений нет")</f>
        <v>#REF!</v>
      </c>
      <c r="M79" s="14" t="e">
        <f>IF(OR(ЦТО!#REF!=ЦТО!$BK$8,ЦТО!#REF!=ЦТО!$BK$9,ЦТО!#REF!=ЦТО!$BK$10),"Обратить внимание","Отклонений нет")</f>
        <v>#REF!</v>
      </c>
      <c r="N79" s="14" t="e">
        <f>IF(OR(ЦТО!#REF!=ЦТО!$BK$8,ЦТО!#REF!=ЦТО!$BK$9,ЦТО!#REF!=ЦТО!$BK$10),"Обратить внимание","Отклонений нет")</f>
        <v>#REF!</v>
      </c>
      <c r="O79" s="14" t="e">
        <f>IF(OR(ЦТО!#REF!=ЦТО!$BK$8,ЦТО!#REF!=ЦТО!$BK$9,ЦТО!#REF!=ЦТО!$BK$10),"Обратить внимание","Отклонений нет")</f>
        <v>#REF!</v>
      </c>
      <c r="P79" s="14" t="e">
        <f>IF(OR(ЦТО!#REF!=ЦТО!$BK$8,ЦТО!#REF!=ЦТО!$BK$9,ЦТО!#REF!=ЦТО!$BK$10),"Обратить внимание","Отклонений нет")</f>
        <v>#REF!</v>
      </c>
      <c r="Q79" s="14" t="e">
        <f>IF(OR(ЦТО!#REF!=ЦТО!$BK$8,ЦТО!#REF!=ЦТО!$BK$9,ЦТО!#REF!=ЦТО!$BK$10),"Обратить внимание","Отклонений нет")</f>
        <v>#REF!</v>
      </c>
      <c r="R79" s="14" t="e">
        <f>IF(OR(ЦТО!#REF!=ЦТО!$BK$8,ЦТО!#REF!=ЦТО!$BK$9,ЦТО!#REF!=ЦТО!$BK$10),"Обратить внимание","Отклонений нет")</f>
        <v>#REF!</v>
      </c>
      <c r="S79" s="14" t="e">
        <f>IF(OR(ЦТО!#REF!=ЦТО!$BK$8,ЦТО!#REF!=ЦТО!$BK$9,ЦТО!#REF!=ЦТО!$BK$10),"Обратить внимание","Отклонений нет")</f>
        <v>#REF!</v>
      </c>
      <c r="T79" s="14" t="e">
        <f>IF(OR(ЦТО!#REF!=ЦТО!$BK$8,ЦТО!#REF!=ЦТО!$BK$9,ЦТО!#REF!=ЦТО!$BK$10),"Обратить внимание","Отклонений нет")</f>
        <v>#REF!</v>
      </c>
      <c r="U79" s="14" t="e">
        <f>IF(OR(ЦТО!#REF!=ЦТО!$BK$8,ЦТО!#REF!=ЦТО!$BK$9,ЦТО!#REF!=ЦТО!$BK$10),"Обратить внимание","Отклонений нет")</f>
        <v>#REF!</v>
      </c>
      <c r="V79" s="47" t="e">
        <f>IF(OR(ЦТО!#REF!=ЦТО!$BK$8,ЦТО!#REF!=ЦТО!$BK$9,ЦТО!#REF!=ЦТО!$BK$10),"Обратить внимание","Отклонений нет")</f>
        <v>#REF!</v>
      </c>
      <c r="W79" s="47" t="e">
        <f>IF(OR(ЦТО!#REF!=ЦТО!$BK$8,ЦТО!#REF!=ЦТО!$BK$9,ЦТО!#REF!=ЦТО!$BK$10),"Обратить внимание","Отклонений нет")</f>
        <v>#REF!</v>
      </c>
      <c r="X79" s="47" t="e">
        <f>IF(OR(ЦТО!#REF!=ЦТО!$BK$8,ЦТО!#REF!=ЦТО!$BK$9,ЦТО!#REF!=ЦТО!$BK$10),"Обратить внимание","Отклонений нет")</f>
        <v>#REF!</v>
      </c>
    </row>
    <row r="80" spans="1:24" ht="18" customHeight="1">
      <c r="A80" s="10">
        <v>78</v>
      </c>
      <c r="B80" s="14" t="e">
        <f>IF(ЦТО!#REF!="","",ЦТО!#REF!)</f>
        <v>#REF!</v>
      </c>
      <c r="C80" s="14" t="e">
        <f>IF(ЦТО!#REF!="","",ЦТО!#REF!)</f>
        <v>#REF!</v>
      </c>
      <c r="D80" s="36" t="e">
        <f>IF(ЦТО!#REF!="","",ЦТО!#REF!)</f>
        <v>#REF!</v>
      </c>
      <c r="E8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0" s="47" t="e">
        <f>IF(OR(ЦТО!#REF!=ЦТО!$BK$8,ЦТО!#REF!=ЦТО!$BK$9,ЦТО!#REF!=ЦТО!$BK$10),"Обратить внимание","Отклонений нет")</f>
        <v>#REF!</v>
      </c>
      <c r="K80" s="14" t="e">
        <f>IF(OR(ЦТО!#REF!=ЦТО!$BK$8,ЦТО!#REF!=ЦТО!$BK$9,ЦТО!#REF!=ЦТО!$BK$10),"Обратить внимание","Отклонений нет")</f>
        <v>#REF!</v>
      </c>
      <c r="L80" s="14" t="e">
        <f>IF(OR(ЦТО!#REF!=ЦТО!$BK$8,ЦТО!#REF!=ЦТО!$BK$9,ЦТО!#REF!=ЦТО!$BK$10),"Обратить внимание","Отклонений нет")</f>
        <v>#REF!</v>
      </c>
      <c r="M80" s="14" t="e">
        <f>IF(OR(ЦТО!#REF!=ЦТО!$BK$8,ЦТО!#REF!=ЦТО!$BK$9,ЦТО!#REF!=ЦТО!$BK$10),"Обратить внимание","Отклонений нет")</f>
        <v>#REF!</v>
      </c>
      <c r="N80" s="14" t="e">
        <f>IF(OR(ЦТО!#REF!=ЦТО!$BK$8,ЦТО!#REF!=ЦТО!$BK$9,ЦТО!#REF!=ЦТО!$BK$10),"Обратить внимание","Отклонений нет")</f>
        <v>#REF!</v>
      </c>
      <c r="O80" s="14" t="e">
        <f>IF(OR(ЦТО!#REF!=ЦТО!$BK$8,ЦТО!#REF!=ЦТО!$BK$9,ЦТО!#REF!=ЦТО!$BK$10),"Обратить внимание","Отклонений нет")</f>
        <v>#REF!</v>
      </c>
      <c r="P80" s="14" t="e">
        <f>IF(OR(ЦТО!#REF!=ЦТО!$BK$8,ЦТО!#REF!=ЦТО!$BK$9,ЦТО!#REF!=ЦТО!$BK$10),"Обратить внимание","Отклонений нет")</f>
        <v>#REF!</v>
      </c>
      <c r="Q80" s="14" t="e">
        <f>IF(OR(ЦТО!#REF!=ЦТО!$BK$8,ЦТО!#REF!=ЦТО!$BK$9,ЦТО!#REF!=ЦТО!$BK$10),"Обратить внимание","Отклонений нет")</f>
        <v>#REF!</v>
      </c>
      <c r="R80" s="14" t="e">
        <f>IF(OR(ЦТО!#REF!=ЦТО!$BK$8,ЦТО!#REF!=ЦТО!$BK$9,ЦТО!#REF!=ЦТО!$BK$10),"Обратить внимание","Отклонений нет")</f>
        <v>#REF!</v>
      </c>
      <c r="S80" s="14" t="e">
        <f>IF(OR(ЦТО!#REF!=ЦТО!$BK$8,ЦТО!#REF!=ЦТО!$BK$9,ЦТО!#REF!=ЦТО!$BK$10),"Обратить внимание","Отклонений нет")</f>
        <v>#REF!</v>
      </c>
      <c r="T80" s="14" t="e">
        <f>IF(OR(ЦТО!#REF!=ЦТО!$BK$8,ЦТО!#REF!=ЦТО!$BK$9,ЦТО!#REF!=ЦТО!$BK$10),"Обратить внимание","Отклонений нет")</f>
        <v>#REF!</v>
      </c>
      <c r="U80" s="14" t="e">
        <f>IF(OR(ЦТО!#REF!=ЦТО!$BK$8,ЦТО!#REF!=ЦТО!$BK$9,ЦТО!#REF!=ЦТО!$BK$10),"Обратить внимание","Отклонений нет")</f>
        <v>#REF!</v>
      </c>
      <c r="V80" s="47" t="e">
        <f>IF(OR(ЦТО!#REF!=ЦТО!$BK$8,ЦТО!#REF!=ЦТО!$BK$9,ЦТО!#REF!=ЦТО!$BK$10),"Обратить внимание","Отклонений нет")</f>
        <v>#REF!</v>
      </c>
      <c r="W80" s="47" t="e">
        <f>IF(OR(ЦТО!#REF!=ЦТО!$BK$8,ЦТО!#REF!=ЦТО!$BK$9,ЦТО!#REF!=ЦТО!$BK$10),"Обратить внимание","Отклонений нет")</f>
        <v>#REF!</v>
      </c>
      <c r="X80" s="47" t="e">
        <f>IF(OR(ЦТО!#REF!=ЦТО!$BK$8,ЦТО!#REF!=ЦТО!$BK$9,ЦТО!#REF!=ЦТО!$BK$10),"Обратить внимание","Отклонений нет")</f>
        <v>#REF!</v>
      </c>
    </row>
    <row r="81" spans="1:24" ht="18" customHeight="1">
      <c r="A81" s="10">
        <v>79</v>
      </c>
      <c r="B81" s="14" t="e">
        <f>IF(ЦТО!#REF!="","",ЦТО!#REF!)</f>
        <v>#REF!</v>
      </c>
      <c r="C81" s="14" t="e">
        <f>IF(ЦТО!#REF!="","",ЦТО!#REF!)</f>
        <v>#REF!</v>
      </c>
      <c r="D81" s="36" t="e">
        <f>IF(ЦТО!#REF!="","",ЦТО!#REF!)</f>
        <v>#REF!</v>
      </c>
      <c r="E8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1" s="47" t="e">
        <f>IF(OR(ЦТО!#REF!=ЦТО!$BK$8,ЦТО!#REF!=ЦТО!$BK$9,ЦТО!#REF!=ЦТО!$BK$10),"Обратить внимание","Отклонений нет")</f>
        <v>#REF!</v>
      </c>
      <c r="K81" s="14" t="e">
        <f>IF(OR(ЦТО!#REF!=ЦТО!$BK$8,ЦТО!#REF!=ЦТО!$BK$9,ЦТО!#REF!=ЦТО!$BK$10),"Обратить внимание","Отклонений нет")</f>
        <v>#REF!</v>
      </c>
      <c r="L81" s="14" t="e">
        <f>IF(OR(ЦТО!#REF!=ЦТО!$BK$8,ЦТО!#REF!=ЦТО!$BK$9,ЦТО!#REF!=ЦТО!$BK$10),"Обратить внимание","Отклонений нет")</f>
        <v>#REF!</v>
      </c>
      <c r="M81" s="14" t="e">
        <f>IF(OR(ЦТО!#REF!=ЦТО!$BK$8,ЦТО!#REF!=ЦТО!$BK$9,ЦТО!#REF!=ЦТО!$BK$10),"Обратить внимание","Отклонений нет")</f>
        <v>#REF!</v>
      </c>
      <c r="N81" s="14" t="e">
        <f>IF(OR(ЦТО!#REF!=ЦТО!$BK$8,ЦТО!#REF!=ЦТО!$BK$9,ЦТО!#REF!=ЦТО!$BK$10),"Обратить внимание","Отклонений нет")</f>
        <v>#REF!</v>
      </c>
      <c r="O81" s="14" t="e">
        <f>IF(OR(ЦТО!#REF!=ЦТО!$BK$8,ЦТО!#REF!=ЦТО!$BK$9,ЦТО!#REF!=ЦТО!$BK$10),"Обратить внимание","Отклонений нет")</f>
        <v>#REF!</v>
      </c>
      <c r="P81" s="14" t="e">
        <f>IF(OR(ЦТО!#REF!=ЦТО!$BK$8,ЦТО!#REF!=ЦТО!$BK$9,ЦТО!#REF!=ЦТО!$BK$10),"Обратить внимание","Отклонений нет")</f>
        <v>#REF!</v>
      </c>
      <c r="Q81" s="14" t="e">
        <f>IF(OR(ЦТО!#REF!=ЦТО!$BK$8,ЦТО!#REF!=ЦТО!$BK$9,ЦТО!#REF!=ЦТО!$BK$10),"Обратить внимание","Отклонений нет")</f>
        <v>#REF!</v>
      </c>
      <c r="R81" s="14" t="e">
        <f>IF(OR(ЦТО!#REF!=ЦТО!$BK$8,ЦТО!#REF!=ЦТО!$BK$9,ЦТО!#REF!=ЦТО!$BK$10),"Обратить внимание","Отклонений нет")</f>
        <v>#REF!</v>
      </c>
      <c r="S81" s="14" t="e">
        <f>IF(OR(ЦТО!#REF!=ЦТО!$BK$8,ЦТО!#REF!=ЦТО!$BK$9,ЦТО!#REF!=ЦТО!$BK$10),"Обратить внимание","Отклонений нет")</f>
        <v>#REF!</v>
      </c>
      <c r="T81" s="14" t="e">
        <f>IF(OR(ЦТО!#REF!=ЦТО!$BK$8,ЦТО!#REF!=ЦТО!$BK$9,ЦТО!#REF!=ЦТО!$BK$10),"Обратить внимание","Отклонений нет")</f>
        <v>#REF!</v>
      </c>
      <c r="U81" s="14" t="e">
        <f>IF(OR(ЦТО!#REF!=ЦТО!$BK$8,ЦТО!#REF!=ЦТО!$BK$9,ЦТО!#REF!=ЦТО!$BK$10),"Обратить внимание","Отклонений нет")</f>
        <v>#REF!</v>
      </c>
      <c r="V81" s="47" t="e">
        <f>IF(OR(ЦТО!#REF!=ЦТО!$BK$8,ЦТО!#REF!=ЦТО!$BK$9,ЦТО!#REF!=ЦТО!$BK$10),"Обратить внимание","Отклонений нет")</f>
        <v>#REF!</v>
      </c>
      <c r="W81" s="47" t="e">
        <f>IF(OR(ЦТО!#REF!=ЦТО!$BK$8,ЦТО!#REF!=ЦТО!$BK$9,ЦТО!#REF!=ЦТО!$BK$10),"Обратить внимание","Отклонений нет")</f>
        <v>#REF!</v>
      </c>
      <c r="X81" s="47" t="e">
        <f>IF(OR(ЦТО!#REF!=ЦТО!$BK$8,ЦТО!#REF!=ЦТО!$BK$9,ЦТО!#REF!=ЦТО!$BK$10),"Обратить внимание","Отклонений нет")</f>
        <v>#REF!</v>
      </c>
    </row>
    <row r="82" spans="1:24" ht="18" customHeight="1">
      <c r="A82" s="10">
        <v>80</v>
      </c>
      <c r="B82" s="14" t="e">
        <f>IF(ЦТО!#REF!="","",ЦТО!#REF!)</f>
        <v>#REF!</v>
      </c>
      <c r="C82" s="14" t="e">
        <f>IF(ЦТО!#REF!="","",ЦТО!#REF!)</f>
        <v>#REF!</v>
      </c>
      <c r="D82" s="36" t="e">
        <f>IF(ЦТО!#REF!="","",ЦТО!#REF!)</f>
        <v>#REF!</v>
      </c>
      <c r="E8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2" s="47" t="e">
        <f>IF(OR(ЦТО!#REF!=ЦТО!$BK$8,ЦТО!#REF!=ЦТО!$BK$9,ЦТО!#REF!=ЦТО!$BK$10),"Обратить внимание","Отклонений нет")</f>
        <v>#REF!</v>
      </c>
      <c r="K82" s="14" t="e">
        <f>IF(OR(ЦТО!#REF!=ЦТО!$BK$8,ЦТО!#REF!=ЦТО!$BK$9,ЦТО!#REF!=ЦТО!$BK$10),"Обратить внимание","Отклонений нет")</f>
        <v>#REF!</v>
      </c>
      <c r="L82" s="14" t="e">
        <f>IF(OR(ЦТО!#REF!=ЦТО!$BK$8,ЦТО!#REF!=ЦТО!$BK$9,ЦТО!#REF!=ЦТО!$BK$10),"Обратить внимание","Отклонений нет")</f>
        <v>#REF!</v>
      </c>
      <c r="M82" s="14" t="e">
        <f>IF(OR(ЦТО!#REF!=ЦТО!$BK$8,ЦТО!#REF!=ЦТО!$BK$9,ЦТО!#REF!=ЦТО!$BK$10),"Обратить внимание","Отклонений нет")</f>
        <v>#REF!</v>
      </c>
      <c r="N82" s="14" t="e">
        <f>IF(OR(ЦТО!#REF!=ЦТО!$BK$8,ЦТО!#REF!=ЦТО!$BK$9,ЦТО!#REF!=ЦТО!$BK$10),"Обратить внимание","Отклонений нет")</f>
        <v>#REF!</v>
      </c>
      <c r="O82" s="14" t="e">
        <f>IF(OR(ЦТО!#REF!=ЦТО!$BK$8,ЦТО!#REF!=ЦТО!$BK$9,ЦТО!#REF!=ЦТО!$BK$10),"Обратить внимание","Отклонений нет")</f>
        <v>#REF!</v>
      </c>
      <c r="P82" s="14" t="e">
        <f>IF(OR(ЦТО!#REF!=ЦТО!$BK$8,ЦТО!#REF!=ЦТО!$BK$9,ЦТО!#REF!=ЦТО!$BK$10),"Обратить внимание","Отклонений нет")</f>
        <v>#REF!</v>
      </c>
      <c r="Q82" s="14" t="e">
        <f>IF(OR(ЦТО!#REF!=ЦТО!$BK$8,ЦТО!#REF!=ЦТО!$BK$9,ЦТО!#REF!=ЦТО!$BK$10),"Обратить внимание","Отклонений нет")</f>
        <v>#REF!</v>
      </c>
      <c r="R82" s="14" t="e">
        <f>IF(OR(ЦТО!#REF!=ЦТО!$BK$8,ЦТО!#REF!=ЦТО!$BK$9,ЦТО!#REF!=ЦТО!$BK$10),"Обратить внимание","Отклонений нет")</f>
        <v>#REF!</v>
      </c>
      <c r="S82" s="14" t="e">
        <f>IF(OR(ЦТО!#REF!=ЦТО!$BK$8,ЦТО!#REF!=ЦТО!$BK$9,ЦТО!#REF!=ЦТО!$BK$10),"Обратить внимание","Отклонений нет")</f>
        <v>#REF!</v>
      </c>
      <c r="T82" s="14" t="e">
        <f>IF(OR(ЦТО!#REF!=ЦТО!$BK$8,ЦТО!#REF!=ЦТО!$BK$9,ЦТО!#REF!=ЦТО!$BK$10),"Обратить внимание","Отклонений нет")</f>
        <v>#REF!</v>
      </c>
      <c r="U82" s="14" t="e">
        <f>IF(OR(ЦТО!#REF!=ЦТО!$BK$8,ЦТО!#REF!=ЦТО!$BK$9,ЦТО!#REF!=ЦТО!$BK$10),"Обратить внимание","Отклонений нет")</f>
        <v>#REF!</v>
      </c>
      <c r="V82" s="47" t="e">
        <f>IF(OR(ЦТО!#REF!=ЦТО!$BK$8,ЦТО!#REF!=ЦТО!$BK$9,ЦТО!#REF!=ЦТО!$BK$10),"Обратить внимание","Отклонений нет")</f>
        <v>#REF!</v>
      </c>
      <c r="W82" s="47" t="e">
        <f>IF(OR(ЦТО!#REF!=ЦТО!$BK$8,ЦТО!#REF!=ЦТО!$BK$9,ЦТО!#REF!=ЦТО!$BK$10),"Обратить внимание","Отклонений нет")</f>
        <v>#REF!</v>
      </c>
      <c r="X82" s="47" t="e">
        <f>IF(OR(ЦТО!#REF!=ЦТО!$BK$8,ЦТО!#REF!=ЦТО!$BK$9,ЦТО!#REF!=ЦТО!$BK$10),"Обратить внимание","Отклонений нет")</f>
        <v>#REF!</v>
      </c>
    </row>
    <row r="83" spans="1:24" ht="18" customHeight="1">
      <c r="A83" s="10">
        <v>81</v>
      </c>
      <c r="B83" s="14" t="e">
        <f>IF(ЦТО!#REF!="","",ЦТО!#REF!)</f>
        <v>#REF!</v>
      </c>
      <c r="C83" s="14" t="e">
        <f>IF(ЦТО!#REF!="","",ЦТО!#REF!)</f>
        <v>#REF!</v>
      </c>
      <c r="D83" s="36" t="e">
        <f>IF(ЦТО!#REF!="","",ЦТО!#REF!)</f>
        <v>#REF!</v>
      </c>
      <c r="E8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3" s="47" t="e">
        <f>IF(OR(ЦТО!#REF!=ЦТО!$BK$8,ЦТО!#REF!=ЦТО!$BK$9,ЦТО!#REF!=ЦТО!$BK$10),"Обратить внимание","Отклонений нет")</f>
        <v>#REF!</v>
      </c>
      <c r="K83" s="14" t="e">
        <f>IF(OR(ЦТО!#REF!=ЦТО!$BK$8,ЦТО!#REF!=ЦТО!$BK$9,ЦТО!#REF!=ЦТО!$BK$10),"Обратить внимание","Отклонений нет")</f>
        <v>#REF!</v>
      </c>
      <c r="L83" s="14" t="e">
        <f>IF(OR(ЦТО!#REF!=ЦТО!$BK$8,ЦТО!#REF!=ЦТО!$BK$9,ЦТО!#REF!=ЦТО!$BK$10),"Обратить внимание","Отклонений нет")</f>
        <v>#REF!</v>
      </c>
      <c r="M83" s="14" t="e">
        <f>IF(OR(ЦТО!#REF!=ЦТО!$BK$8,ЦТО!#REF!=ЦТО!$BK$9,ЦТО!#REF!=ЦТО!$BK$10),"Обратить внимание","Отклонений нет")</f>
        <v>#REF!</v>
      </c>
      <c r="N83" s="14" t="e">
        <f>IF(OR(ЦТО!#REF!=ЦТО!$BK$8,ЦТО!#REF!=ЦТО!$BK$9,ЦТО!#REF!=ЦТО!$BK$10),"Обратить внимание","Отклонений нет")</f>
        <v>#REF!</v>
      </c>
      <c r="O83" s="14" t="e">
        <f>IF(OR(ЦТО!#REF!=ЦТО!$BK$8,ЦТО!#REF!=ЦТО!$BK$9,ЦТО!#REF!=ЦТО!$BK$10),"Обратить внимание","Отклонений нет")</f>
        <v>#REF!</v>
      </c>
      <c r="P83" s="14" t="e">
        <f>IF(OR(ЦТО!#REF!=ЦТО!$BK$8,ЦТО!#REF!=ЦТО!$BK$9,ЦТО!#REF!=ЦТО!$BK$10),"Обратить внимание","Отклонений нет")</f>
        <v>#REF!</v>
      </c>
      <c r="Q83" s="14" t="e">
        <f>IF(OR(ЦТО!#REF!=ЦТО!$BK$8,ЦТО!#REF!=ЦТО!$BK$9,ЦТО!#REF!=ЦТО!$BK$10),"Обратить внимание","Отклонений нет")</f>
        <v>#REF!</v>
      </c>
      <c r="R83" s="14" t="e">
        <f>IF(OR(ЦТО!#REF!=ЦТО!$BK$8,ЦТО!#REF!=ЦТО!$BK$9,ЦТО!#REF!=ЦТО!$BK$10),"Обратить внимание","Отклонений нет")</f>
        <v>#REF!</v>
      </c>
      <c r="S83" s="14" t="e">
        <f>IF(OR(ЦТО!#REF!=ЦТО!$BK$8,ЦТО!#REF!=ЦТО!$BK$9,ЦТО!#REF!=ЦТО!$BK$10),"Обратить внимание","Отклонений нет")</f>
        <v>#REF!</v>
      </c>
      <c r="T83" s="14" t="e">
        <f>IF(OR(ЦТО!#REF!=ЦТО!$BK$8,ЦТО!#REF!=ЦТО!$BK$9,ЦТО!#REF!=ЦТО!$BK$10),"Обратить внимание","Отклонений нет")</f>
        <v>#REF!</v>
      </c>
      <c r="U83" s="14" t="e">
        <f>IF(OR(ЦТО!#REF!=ЦТО!$BK$8,ЦТО!#REF!=ЦТО!$BK$9,ЦТО!#REF!=ЦТО!$BK$10),"Обратить внимание","Отклонений нет")</f>
        <v>#REF!</v>
      </c>
      <c r="V83" s="47" t="e">
        <f>IF(OR(ЦТО!#REF!=ЦТО!$BK$8,ЦТО!#REF!=ЦТО!$BK$9,ЦТО!#REF!=ЦТО!$BK$10),"Обратить внимание","Отклонений нет")</f>
        <v>#REF!</v>
      </c>
      <c r="W83" s="47" t="e">
        <f>IF(OR(ЦТО!#REF!=ЦТО!$BK$8,ЦТО!#REF!=ЦТО!$BK$9,ЦТО!#REF!=ЦТО!$BK$10),"Обратить внимание","Отклонений нет")</f>
        <v>#REF!</v>
      </c>
      <c r="X83" s="47" t="e">
        <f>IF(OR(ЦТО!#REF!=ЦТО!$BK$8,ЦТО!#REF!=ЦТО!$BK$9,ЦТО!#REF!=ЦТО!$BK$10),"Обратить внимание","Отклонений нет")</f>
        <v>#REF!</v>
      </c>
    </row>
    <row r="84" spans="1:24" ht="18" customHeight="1">
      <c r="A84" s="10">
        <v>82</v>
      </c>
      <c r="B84" s="14" t="e">
        <f>IF(ЦТО!#REF!="","",ЦТО!#REF!)</f>
        <v>#REF!</v>
      </c>
      <c r="C84" s="14" t="e">
        <f>IF(ЦТО!#REF!="","",ЦТО!#REF!)</f>
        <v>#REF!</v>
      </c>
      <c r="D84" s="36" t="e">
        <f>IF(ЦТО!#REF!="","",ЦТО!#REF!)</f>
        <v>#REF!</v>
      </c>
      <c r="E8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4" s="47" t="e">
        <f>IF(OR(ЦТО!#REF!=ЦТО!$BK$8,ЦТО!#REF!=ЦТО!$BK$9,ЦТО!#REF!=ЦТО!$BK$10),"Обратить внимание","Отклонений нет")</f>
        <v>#REF!</v>
      </c>
      <c r="K84" s="14" t="e">
        <f>IF(OR(ЦТО!#REF!=ЦТО!$BK$8,ЦТО!#REF!=ЦТО!$BK$9,ЦТО!#REF!=ЦТО!$BK$10),"Обратить внимание","Отклонений нет")</f>
        <v>#REF!</v>
      </c>
      <c r="L84" s="14" t="e">
        <f>IF(OR(ЦТО!#REF!=ЦТО!$BK$8,ЦТО!#REF!=ЦТО!$BK$9,ЦТО!#REF!=ЦТО!$BK$10),"Обратить внимание","Отклонений нет")</f>
        <v>#REF!</v>
      </c>
      <c r="M84" s="14" t="e">
        <f>IF(OR(ЦТО!#REF!=ЦТО!$BK$8,ЦТО!#REF!=ЦТО!$BK$9,ЦТО!#REF!=ЦТО!$BK$10),"Обратить внимание","Отклонений нет")</f>
        <v>#REF!</v>
      </c>
      <c r="N84" s="14" t="e">
        <f>IF(OR(ЦТО!#REF!=ЦТО!$BK$8,ЦТО!#REF!=ЦТО!$BK$9,ЦТО!#REF!=ЦТО!$BK$10),"Обратить внимание","Отклонений нет")</f>
        <v>#REF!</v>
      </c>
      <c r="O84" s="14" t="e">
        <f>IF(OR(ЦТО!#REF!=ЦТО!$BK$8,ЦТО!#REF!=ЦТО!$BK$9,ЦТО!#REF!=ЦТО!$BK$10),"Обратить внимание","Отклонений нет")</f>
        <v>#REF!</v>
      </c>
      <c r="P84" s="14" t="e">
        <f>IF(OR(ЦТО!#REF!=ЦТО!$BK$8,ЦТО!#REF!=ЦТО!$BK$9,ЦТО!#REF!=ЦТО!$BK$10),"Обратить внимание","Отклонений нет")</f>
        <v>#REF!</v>
      </c>
      <c r="Q84" s="14" t="e">
        <f>IF(OR(ЦТО!#REF!=ЦТО!$BK$8,ЦТО!#REF!=ЦТО!$BK$9,ЦТО!#REF!=ЦТО!$BK$10),"Обратить внимание","Отклонений нет")</f>
        <v>#REF!</v>
      </c>
      <c r="R84" s="14" t="e">
        <f>IF(OR(ЦТО!#REF!=ЦТО!$BK$8,ЦТО!#REF!=ЦТО!$BK$9,ЦТО!#REF!=ЦТО!$BK$10),"Обратить внимание","Отклонений нет")</f>
        <v>#REF!</v>
      </c>
      <c r="S84" s="14" t="e">
        <f>IF(OR(ЦТО!#REF!=ЦТО!$BK$8,ЦТО!#REF!=ЦТО!$BK$9,ЦТО!#REF!=ЦТО!$BK$10),"Обратить внимание","Отклонений нет")</f>
        <v>#REF!</v>
      </c>
      <c r="T84" s="14" t="e">
        <f>IF(OR(ЦТО!#REF!=ЦТО!$BK$8,ЦТО!#REF!=ЦТО!$BK$9,ЦТО!#REF!=ЦТО!$BK$10),"Обратить внимание","Отклонений нет")</f>
        <v>#REF!</v>
      </c>
      <c r="U84" s="14" t="e">
        <f>IF(OR(ЦТО!#REF!=ЦТО!$BK$8,ЦТО!#REF!=ЦТО!$BK$9,ЦТО!#REF!=ЦТО!$BK$10),"Обратить внимание","Отклонений нет")</f>
        <v>#REF!</v>
      </c>
      <c r="V84" s="47" t="e">
        <f>IF(OR(ЦТО!#REF!=ЦТО!$BK$8,ЦТО!#REF!=ЦТО!$BK$9,ЦТО!#REF!=ЦТО!$BK$10),"Обратить внимание","Отклонений нет")</f>
        <v>#REF!</v>
      </c>
      <c r="W84" s="47" t="e">
        <f>IF(OR(ЦТО!#REF!=ЦТО!$BK$8,ЦТО!#REF!=ЦТО!$BK$9,ЦТО!#REF!=ЦТО!$BK$10),"Обратить внимание","Отклонений нет")</f>
        <v>#REF!</v>
      </c>
      <c r="X84" s="47" t="e">
        <f>IF(OR(ЦТО!#REF!=ЦТО!$BK$8,ЦТО!#REF!=ЦТО!$BK$9,ЦТО!#REF!=ЦТО!$BK$10),"Обратить внимание","Отклонений нет")</f>
        <v>#REF!</v>
      </c>
    </row>
    <row r="85" spans="1:24" ht="18" customHeight="1">
      <c r="A85" s="10">
        <v>83</v>
      </c>
      <c r="B85" s="14" t="e">
        <f>IF(ЦТО!#REF!="","",ЦТО!#REF!)</f>
        <v>#REF!</v>
      </c>
      <c r="C85" s="14" t="e">
        <f>IF(ЦТО!#REF!="","",ЦТО!#REF!)</f>
        <v>#REF!</v>
      </c>
      <c r="D85" s="36" t="e">
        <f>IF(ЦТО!#REF!="","",ЦТО!#REF!)</f>
        <v>#REF!</v>
      </c>
      <c r="E8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5" s="47" t="e">
        <f>IF(OR(ЦТО!#REF!=ЦТО!$BK$8,ЦТО!#REF!=ЦТО!$BK$9,ЦТО!#REF!=ЦТО!$BK$10),"Обратить внимание","Отклонений нет")</f>
        <v>#REF!</v>
      </c>
      <c r="K85" s="14" t="e">
        <f>IF(OR(ЦТО!#REF!=ЦТО!$BK$8,ЦТО!#REF!=ЦТО!$BK$9,ЦТО!#REF!=ЦТО!$BK$10),"Обратить внимание","Отклонений нет")</f>
        <v>#REF!</v>
      </c>
      <c r="L85" s="14" t="e">
        <f>IF(OR(ЦТО!#REF!=ЦТО!$BK$8,ЦТО!#REF!=ЦТО!$BK$9,ЦТО!#REF!=ЦТО!$BK$10),"Обратить внимание","Отклонений нет")</f>
        <v>#REF!</v>
      </c>
      <c r="M85" s="14" t="e">
        <f>IF(OR(ЦТО!#REF!=ЦТО!$BK$8,ЦТО!#REF!=ЦТО!$BK$9,ЦТО!#REF!=ЦТО!$BK$10),"Обратить внимание","Отклонений нет")</f>
        <v>#REF!</v>
      </c>
      <c r="N85" s="14" t="e">
        <f>IF(OR(ЦТО!#REF!=ЦТО!$BK$8,ЦТО!#REF!=ЦТО!$BK$9,ЦТО!#REF!=ЦТО!$BK$10),"Обратить внимание","Отклонений нет")</f>
        <v>#REF!</v>
      </c>
      <c r="O85" s="14" t="e">
        <f>IF(OR(ЦТО!#REF!=ЦТО!$BK$8,ЦТО!#REF!=ЦТО!$BK$9,ЦТО!#REF!=ЦТО!$BK$10),"Обратить внимание","Отклонений нет")</f>
        <v>#REF!</v>
      </c>
      <c r="P85" s="14" t="e">
        <f>IF(OR(ЦТО!#REF!=ЦТО!$BK$8,ЦТО!#REF!=ЦТО!$BK$9,ЦТО!#REF!=ЦТО!$BK$10),"Обратить внимание","Отклонений нет")</f>
        <v>#REF!</v>
      </c>
      <c r="Q85" s="14" t="e">
        <f>IF(OR(ЦТО!#REF!=ЦТО!$BK$8,ЦТО!#REF!=ЦТО!$BK$9,ЦТО!#REF!=ЦТО!$BK$10),"Обратить внимание","Отклонений нет")</f>
        <v>#REF!</v>
      </c>
      <c r="R85" s="14" t="e">
        <f>IF(OR(ЦТО!#REF!=ЦТО!$BK$8,ЦТО!#REF!=ЦТО!$BK$9,ЦТО!#REF!=ЦТО!$BK$10),"Обратить внимание","Отклонений нет")</f>
        <v>#REF!</v>
      </c>
      <c r="S85" s="14" t="e">
        <f>IF(OR(ЦТО!#REF!=ЦТО!$BK$8,ЦТО!#REF!=ЦТО!$BK$9,ЦТО!#REF!=ЦТО!$BK$10),"Обратить внимание","Отклонений нет")</f>
        <v>#REF!</v>
      </c>
      <c r="T85" s="14" t="e">
        <f>IF(OR(ЦТО!#REF!=ЦТО!$BK$8,ЦТО!#REF!=ЦТО!$BK$9,ЦТО!#REF!=ЦТО!$BK$10),"Обратить внимание","Отклонений нет")</f>
        <v>#REF!</v>
      </c>
      <c r="U85" s="14" t="e">
        <f>IF(OR(ЦТО!#REF!=ЦТО!$BK$8,ЦТО!#REF!=ЦТО!$BK$9,ЦТО!#REF!=ЦТО!$BK$10),"Обратить внимание","Отклонений нет")</f>
        <v>#REF!</v>
      </c>
      <c r="V85" s="47" t="e">
        <f>IF(OR(ЦТО!#REF!=ЦТО!$BK$8,ЦТО!#REF!=ЦТО!$BK$9,ЦТО!#REF!=ЦТО!$BK$10),"Обратить внимание","Отклонений нет")</f>
        <v>#REF!</v>
      </c>
      <c r="W85" s="47" t="e">
        <f>IF(OR(ЦТО!#REF!=ЦТО!$BK$8,ЦТО!#REF!=ЦТО!$BK$9,ЦТО!#REF!=ЦТО!$BK$10),"Обратить внимание","Отклонений нет")</f>
        <v>#REF!</v>
      </c>
      <c r="X85" s="47" t="e">
        <f>IF(OR(ЦТО!#REF!=ЦТО!$BK$8,ЦТО!#REF!=ЦТО!$BK$9,ЦТО!#REF!=ЦТО!$BK$10),"Обратить внимание","Отклонений нет")</f>
        <v>#REF!</v>
      </c>
    </row>
    <row r="86" spans="1:24" ht="18" customHeight="1">
      <c r="A86" s="10">
        <v>84</v>
      </c>
      <c r="B86" s="14" t="e">
        <f>IF(ЦТО!#REF!="","",ЦТО!#REF!)</f>
        <v>#REF!</v>
      </c>
      <c r="C86" s="14" t="e">
        <f>IF(ЦТО!#REF!="","",ЦТО!#REF!)</f>
        <v>#REF!</v>
      </c>
      <c r="D86" s="36" t="e">
        <f>IF(ЦТО!#REF!="","",ЦТО!#REF!)</f>
        <v>#REF!</v>
      </c>
      <c r="E8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6" s="47" t="e">
        <f>IF(OR(ЦТО!#REF!=ЦТО!$BK$8,ЦТО!#REF!=ЦТО!$BK$9,ЦТО!#REF!=ЦТО!$BK$10),"Обратить внимание","Отклонений нет")</f>
        <v>#REF!</v>
      </c>
      <c r="K86" s="14" t="e">
        <f>IF(OR(ЦТО!#REF!=ЦТО!$BK$8,ЦТО!#REF!=ЦТО!$BK$9,ЦТО!#REF!=ЦТО!$BK$10),"Обратить внимание","Отклонений нет")</f>
        <v>#REF!</v>
      </c>
      <c r="L86" s="14" t="e">
        <f>IF(OR(ЦТО!#REF!=ЦТО!$BK$8,ЦТО!#REF!=ЦТО!$BK$9,ЦТО!#REF!=ЦТО!$BK$10),"Обратить внимание","Отклонений нет")</f>
        <v>#REF!</v>
      </c>
      <c r="M86" s="14" t="e">
        <f>IF(OR(ЦТО!#REF!=ЦТО!$BK$8,ЦТО!#REF!=ЦТО!$BK$9,ЦТО!#REF!=ЦТО!$BK$10),"Обратить внимание","Отклонений нет")</f>
        <v>#REF!</v>
      </c>
      <c r="N86" s="14" t="e">
        <f>IF(OR(ЦТО!#REF!=ЦТО!$BK$8,ЦТО!#REF!=ЦТО!$BK$9,ЦТО!#REF!=ЦТО!$BK$10),"Обратить внимание","Отклонений нет")</f>
        <v>#REF!</v>
      </c>
      <c r="O86" s="14" t="e">
        <f>IF(OR(ЦТО!#REF!=ЦТО!$BK$8,ЦТО!#REF!=ЦТО!$BK$9,ЦТО!#REF!=ЦТО!$BK$10),"Обратить внимание","Отклонений нет")</f>
        <v>#REF!</v>
      </c>
      <c r="P86" s="14" t="e">
        <f>IF(OR(ЦТО!#REF!=ЦТО!$BK$8,ЦТО!#REF!=ЦТО!$BK$9,ЦТО!#REF!=ЦТО!$BK$10),"Обратить внимание","Отклонений нет")</f>
        <v>#REF!</v>
      </c>
      <c r="Q86" s="14" t="e">
        <f>IF(OR(ЦТО!#REF!=ЦТО!$BK$8,ЦТО!#REF!=ЦТО!$BK$9,ЦТО!#REF!=ЦТО!$BK$10),"Обратить внимание","Отклонений нет")</f>
        <v>#REF!</v>
      </c>
      <c r="R86" s="14" t="e">
        <f>IF(OR(ЦТО!#REF!=ЦТО!$BK$8,ЦТО!#REF!=ЦТО!$BK$9,ЦТО!#REF!=ЦТО!$BK$10),"Обратить внимание","Отклонений нет")</f>
        <v>#REF!</v>
      </c>
      <c r="S86" s="14" t="e">
        <f>IF(OR(ЦТО!#REF!=ЦТО!$BK$8,ЦТО!#REF!=ЦТО!$BK$9,ЦТО!#REF!=ЦТО!$BK$10),"Обратить внимание","Отклонений нет")</f>
        <v>#REF!</v>
      </c>
      <c r="T86" s="14" t="e">
        <f>IF(OR(ЦТО!#REF!=ЦТО!$BK$8,ЦТО!#REF!=ЦТО!$BK$9,ЦТО!#REF!=ЦТО!$BK$10),"Обратить внимание","Отклонений нет")</f>
        <v>#REF!</v>
      </c>
      <c r="U86" s="14" t="e">
        <f>IF(OR(ЦТО!#REF!=ЦТО!$BK$8,ЦТО!#REF!=ЦТО!$BK$9,ЦТО!#REF!=ЦТО!$BK$10),"Обратить внимание","Отклонений нет")</f>
        <v>#REF!</v>
      </c>
      <c r="V86" s="47" t="e">
        <f>IF(OR(ЦТО!#REF!=ЦТО!$BK$8,ЦТО!#REF!=ЦТО!$BK$9,ЦТО!#REF!=ЦТО!$BK$10),"Обратить внимание","Отклонений нет")</f>
        <v>#REF!</v>
      </c>
      <c r="W86" s="47" t="e">
        <f>IF(OR(ЦТО!#REF!=ЦТО!$BK$8,ЦТО!#REF!=ЦТО!$BK$9,ЦТО!#REF!=ЦТО!$BK$10),"Обратить внимание","Отклонений нет")</f>
        <v>#REF!</v>
      </c>
      <c r="X86" s="47" t="e">
        <f>IF(OR(ЦТО!#REF!=ЦТО!$BK$8,ЦТО!#REF!=ЦТО!$BK$9,ЦТО!#REF!=ЦТО!$BK$10),"Обратить внимание","Отклонений нет")</f>
        <v>#REF!</v>
      </c>
    </row>
    <row r="87" spans="1:24" ht="18" customHeight="1">
      <c r="A87" s="10">
        <v>85</v>
      </c>
      <c r="B87" s="14" t="e">
        <f>IF(ЦТО!#REF!="","",ЦТО!#REF!)</f>
        <v>#REF!</v>
      </c>
      <c r="C87" s="14" t="e">
        <f>IF(ЦТО!#REF!="","",ЦТО!#REF!)</f>
        <v>#REF!</v>
      </c>
      <c r="D87" s="36" t="e">
        <f>IF(ЦТО!#REF!="","",ЦТО!#REF!)</f>
        <v>#REF!</v>
      </c>
      <c r="E8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7" s="47" t="e">
        <f>IF(OR(ЦТО!#REF!=ЦТО!$BK$8,ЦТО!#REF!=ЦТО!$BK$9,ЦТО!#REF!=ЦТО!$BK$10),"Обратить внимание","Отклонений нет")</f>
        <v>#REF!</v>
      </c>
      <c r="K87" s="14" t="e">
        <f>IF(OR(ЦТО!#REF!=ЦТО!$BK$8,ЦТО!#REF!=ЦТО!$BK$9,ЦТО!#REF!=ЦТО!$BK$10),"Обратить внимание","Отклонений нет")</f>
        <v>#REF!</v>
      </c>
      <c r="L87" s="14" t="e">
        <f>IF(OR(ЦТО!#REF!=ЦТО!$BK$8,ЦТО!#REF!=ЦТО!$BK$9,ЦТО!#REF!=ЦТО!$BK$10),"Обратить внимание","Отклонений нет")</f>
        <v>#REF!</v>
      </c>
      <c r="M87" s="14" t="e">
        <f>IF(OR(ЦТО!#REF!=ЦТО!$BK$8,ЦТО!#REF!=ЦТО!$BK$9,ЦТО!#REF!=ЦТО!$BK$10),"Обратить внимание","Отклонений нет")</f>
        <v>#REF!</v>
      </c>
      <c r="N87" s="14" t="e">
        <f>IF(OR(ЦТО!#REF!=ЦТО!$BK$8,ЦТО!#REF!=ЦТО!$BK$9,ЦТО!#REF!=ЦТО!$BK$10),"Обратить внимание","Отклонений нет")</f>
        <v>#REF!</v>
      </c>
      <c r="O87" s="14" t="e">
        <f>IF(OR(ЦТО!#REF!=ЦТО!$BK$8,ЦТО!#REF!=ЦТО!$BK$9,ЦТО!#REF!=ЦТО!$BK$10),"Обратить внимание","Отклонений нет")</f>
        <v>#REF!</v>
      </c>
      <c r="P87" s="14" t="e">
        <f>IF(OR(ЦТО!#REF!=ЦТО!$BK$8,ЦТО!#REF!=ЦТО!$BK$9,ЦТО!#REF!=ЦТО!$BK$10),"Обратить внимание","Отклонений нет")</f>
        <v>#REF!</v>
      </c>
      <c r="Q87" s="14" t="e">
        <f>IF(OR(ЦТО!#REF!=ЦТО!$BK$8,ЦТО!#REF!=ЦТО!$BK$9,ЦТО!#REF!=ЦТО!$BK$10),"Обратить внимание","Отклонений нет")</f>
        <v>#REF!</v>
      </c>
      <c r="R87" s="14" t="e">
        <f>IF(OR(ЦТО!#REF!=ЦТО!$BK$8,ЦТО!#REF!=ЦТО!$BK$9,ЦТО!#REF!=ЦТО!$BK$10),"Обратить внимание","Отклонений нет")</f>
        <v>#REF!</v>
      </c>
      <c r="S87" s="14" t="e">
        <f>IF(OR(ЦТО!#REF!=ЦТО!$BK$8,ЦТО!#REF!=ЦТО!$BK$9,ЦТО!#REF!=ЦТО!$BK$10),"Обратить внимание","Отклонений нет")</f>
        <v>#REF!</v>
      </c>
      <c r="T87" s="14" t="e">
        <f>IF(OR(ЦТО!#REF!=ЦТО!$BK$8,ЦТО!#REF!=ЦТО!$BK$9,ЦТО!#REF!=ЦТО!$BK$10),"Обратить внимание","Отклонений нет")</f>
        <v>#REF!</v>
      </c>
      <c r="U87" s="14" t="e">
        <f>IF(OR(ЦТО!#REF!=ЦТО!$BK$8,ЦТО!#REF!=ЦТО!$BK$9,ЦТО!#REF!=ЦТО!$BK$10),"Обратить внимание","Отклонений нет")</f>
        <v>#REF!</v>
      </c>
      <c r="V87" s="47" t="e">
        <f>IF(OR(ЦТО!#REF!=ЦТО!$BK$8,ЦТО!#REF!=ЦТО!$BK$9,ЦТО!#REF!=ЦТО!$BK$10),"Обратить внимание","Отклонений нет")</f>
        <v>#REF!</v>
      </c>
      <c r="W87" s="47" t="e">
        <f>IF(OR(ЦТО!#REF!=ЦТО!$BK$8,ЦТО!#REF!=ЦТО!$BK$9,ЦТО!#REF!=ЦТО!$BK$10),"Обратить внимание","Отклонений нет")</f>
        <v>#REF!</v>
      </c>
      <c r="X87" s="47" t="e">
        <f>IF(OR(ЦТО!#REF!=ЦТО!$BK$8,ЦТО!#REF!=ЦТО!$BK$9,ЦТО!#REF!=ЦТО!$BK$10),"Обратить внимание","Отклонений нет")</f>
        <v>#REF!</v>
      </c>
    </row>
    <row r="88" spans="1:24" ht="18" customHeight="1">
      <c r="A88" s="10">
        <v>86</v>
      </c>
      <c r="B88" s="14" t="e">
        <f>IF(ЦТО!#REF!="","",ЦТО!#REF!)</f>
        <v>#REF!</v>
      </c>
      <c r="C88" s="14" t="e">
        <f>IF(ЦТО!#REF!="","",ЦТО!#REF!)</f>
        <v>#REF!</v>
      </c>
      <c r="D88" s="36" t="e">
        <f>IF(ЦТО!#REF!="","",ЦТО!#REF!)</f>
        <v>#REF!</v>
      </c>
      <c r="E8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8" s="47" t="e">
        <f>IF(OR(ЦТО!#REF!=ЦТО!$BK$8,ЦТО!#REF!=ЦТО!$BK$9,ЦТО!#REF!=ЦТО!$BK$10),"Обратить внимание","Отклонений нет")</f>
        <v>#REF!</v>
      </c>
      <c r="K88" s="14" t="e">
        <f>IF(OR(ЦТО!#REF!=ЦТО!$BK$8,ЦТО!#REF!=ЦТО!$BK$9,ЦТО!#REF!=ЦТО!$BK$10),"Обратить внимание","Отклонений нет")</f>
        <v>#REF!</v>
      </c>
      <c r="L88" s="14" t="e">
        <f>IF(OR(ЦТО!#REF!=ЦТО!$BK$8,ЦТО!#REF!=ЦТО!$BK$9,ЦТО!#REF!=ЦТО!$BK$10),"Обратить внимание","Отклонений нет")</f>
        <v>#REF!</v>
      </c>
      <c r="M88" s="14" t="e">
        <f>IF(OR(ЦТО!#REF!=ЦТО!$BK$8,ЦТО!#REF!=ЦТО!$BK$9,ЦТО!#REF!=ЦТО!$BK$10),"Обратить внимание","Отклонений нет")</f>
        <v>#REF!</v>
      </c>
      <c r="N88" s="14" t="e">
        <f>IF(OR(ЦТО!#REF!=ЦТО!$BK$8,ЦТО!#REF!=ЦТО!$BK$9,ЦТО!#REF!=ЦТО!$BK$10),"Обратить внимание","Отклонений нет")</f>
        <v>#REF!</v>
      </c>
      <c r="O88" s="14" t="e">
        <f>IF(OR(ЦТО!#REF!=ЦТО!$BK$8,ЦТО!#REF!=ЦТО!$BK$9,ЦТО!#REF!=ЦТО!$BK$10),"Обратить внимание","Отклонений нет")</f>
        <v>#REF!</v>
      </c>
      <c r="P88" s="14" t="e">
        <f>IF(OR(ЦТО!#REF!=ЦТО!$BK$8,ЦТО!#REF!=ЦТО!$BK$9,ЦТО!#REF!=ЦТО!$BK$10),"Обратить внимание","Отклонений нет")</f>
        <v>#REF!</v>
      </c>
      <c r="Q88" s="14" t="e">
        <f>IF(OR(ЦТО!#REF!=ЦТО!$BK$8,ЦТО!#REF!=ЦТО!$BK$9,ЦТО!#REF!=ЦТО!$BK$10),"Обратить внимание","Отклонений нет")</f>
        <v>#REF!</v>
      </c>
      <c r="R88" s="14" t="e">
        <f>IF(OR(ЦТО!#REF!=ЦТО!$BK$8,ЦТО!#REF!=ЦТО!$BK$9,ЦТО!#REF!=ЦТО!$BK$10),"Обратить внимание","Отклонений нет")</f>
        <v>#REF!</v>
      </c>
      <c r="S88" s="14" t="e">
        <f>IF(OR(ЦТО!#REF!=ЦТО!$BK$8,ЦТО!#REF!=ЦТО!$BK$9,ЦТО!#REF!=ЦТО!$BK$10),"Обратить внимание","Отклонений нет")</f>
        <v>#REF!</v>
      </c>
      <c r="T88" s="14" t="e">
        <f>IF(OR(ЦТО!#REF!=ЦТО!$BK$8,ЦТО!#REF!=ЦТО!$BK$9,ЦТО!#REF!=ЦТО!$BK$10),"Обратить внимание","Отклонений нет")</f>
        <v>#REF!</v>
      </c>
      <c r="U88" s="14" t="e">
        <f>IF(OR(ЦТО!#REF!=ЦТО!$BK$8,ЦТО!#REF!=ЦТО!$BK$9,ЦТО!#REF!=ЦТО!$BK$10),"Обратить внимание","Отклонений нет")</f>
        <v>#REF!</v>
      </c>
      <c r="V88" s="47" t="e">
        <f>IF(OR(ЦТО!#REF!=ЦТО!$BK$8,ЦТО!#REF!=ЦТО!$BK$9,ЦТО!#REF!=ЦТО!$BK$10),"Обратить внимание","Отклонений нет")</f>
        <v>#REF!</v>
      </c>
      <c r="W88" s="47" t="e">
        <f>IF(OR(ЦТО!#REF!=ЦТО!$BK$8,ЦТО!#REF!=ЦТО!$BK$9,ЦТО!#REF!=ЦТО!$BK$10),"Обратить внимание","Отклонений нет")</f>
        <v>#REF!</v>
      </c>
      <c r="X88" s="47" t="e">
        <f>IF(OR(ЦТО!#REF!=ЦТО!$BK$8,ЦТО!#REF!=ЦТО!$BK$9,ЦТО!#REF!=ЦТО!$BK$10),"Обратить внимание","Отклонений нет")</f>
        <v>#REF!</v>
      </c>
    </row>
    <row r="89" spans="1:24" ht="18" customHeight="1">
      <c r="A89" s="10">
        <v>87</v>
      </c>
      <c r="B89" s="14" t="e">
        <f>IF(ЦТО!#REF!="","",ЦТО!#REF!)</f>
        <v>#REF!</v>
      </c>
      <c r="C89" s="14" t="e">
        <f>IF(ЦТО!#REF!="","",ЦТО!#REF!)</f>
        <v>#REF!</v>
      </c>
      <c r="D89" s="36" t="e">
        <f>IF(ЦТО!#REF!="","",ЦТО!#REF!)</f>
        <v>#REF!</v>
      </c>
      <c r="E8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8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8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8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8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89" s="47" t="e">
        <f>IF(OR(ЦТО!#REF!=ЦТО!$BK$8,ЦТО!#REF!=ЦТО!$BK$9,ЦТО!#REF!=ЦТО!$BK$10),"Обратить внимание","Отклонений нет")</f>
        <v>#REF!</v>
      </c>
      <c r="K89" s="14" t="e">
        <f>IF(OR(ЦТО!#REF!=ЦТО!$BK$8,ЦТО!#REF!=ЦТО!$BK$9,ЦТО!#REF!=ЦТО!$BK$10),"Обратить внимание","Отклонений нет")</f>
        <v>#REF!</v>
      </c>
      <c r="L89" s="14" t="e">
        <f>IF(OR(ЦТО!#REF!=ЦТО!$BK$8,ЦТО!#REF!=ЦТО!$BK$9,ЦТО!#REF!=ЦТО!$BK$10),"Обратить внимание","Отклонений нет")</f>
        <v>#REF!</v>
      </c>
      <c r="M89" s="14" t="e">
        <f>IF(OR(ЦТО!#REF!=ЦТО!$BK$8,ЦТО!#REF!=ЦТО!$BK$9,ЦТО!#REF!=ЦТО!$BK$10),"Обратить внимание","Отклонений нет")</f>
        <v>#REF!</v>
      </c>
      <c r="N89" s="14" t="e">
        <f>IF(OR(ЦТО!#REF!=ЦТО!$BK$8,ЦТО!#REF!=ЦТО!$BK$9,ЦТО!#REF!=ЦТО!$BK$10),"Обратить внимание","Отклонений нет")</f>
        <v>#REF!</v>
      </c>
      <c r="O89" s="14" t="e">
        <f>IF(OR(ЦТО!#REF!=ЦТО!$BK$8,ЦТО!#REF!=ЦТО!$BK$9,ЦТО!#REF!=ЦТО!$BK$10),"Обратить внимание","Отклонений нет")</f>
        <v>#REF!</v>
      </c>
      <c r="P89" s="14" t="e">
        <f>IF(OR(ЦТО!#REF!=ЦТО!$BK$8,ЦТО!#REF!=ЦТО!$BK$9,ЦТО!#REF!=ЦТО!$BK$10),"Обратить внимание","Отклонений нет")</f>
        <v>#REF!</v>
      </c>
      <c r="Q89" s="14" t="e">
        <f>IF(OR(ЦТО!#REF!=ЦТО!$BK$8,ЦТО!#REF!=ЦТО!$BK$9,ЦТО!#REF!=ЦТО!$BK$10),"Обратить внимание","Отклонений нет")</f>
        <v>#REF!</v>
      </c>
      <c r="R89" s="14" t="e">
        <f>IF(OR(ЦТО!#REF!=ЦТО!$BK$8,ЦТО!#REF!=ЦТО!$BK$9,ЦТО!#REF!=ЦТО!$BK$10),"Обратить внимание","Отклонений нет")</f>
        <v>#REF!</v>
      </c>
      <c r="S89" s="14" t="e">
        <f>IF(OR(ЦТО!#REF!=ЦТО!$BK$8,ЦТО!#REF!=ЦТО!$BK$9,ЦТО!#REF!=ЦТО!$BK$10),"Обратить внимание","Отклонений нет")</f>
        <v>#REF!</v>
      </c>
      <c r="T89" s="14" t="e">
        <f>IF(OR(ЦТО!#REF!=ЦТО!$BK$8,ЦТО!#REF!=ЦТО!$BK$9,ЦТО!#REF!=ЦТО!$BK$10),"Обратить внимание","Отклонений нет")</f>
        <v>#REF!</v>
      </c>
      <c r="U89" s="14" t="e">
        <f>IF(OR(ЦТО!#REF!=ЦТО!$BK$8,ЦТО!#REF!=ЦТО!$BK$9,ЦТО!#REF!=ЦТО!$BK$10),"Обратить внимание","Отклонений нет")</f>
        <v>#REF!</v>
      </c>
      <c r="V89" s="47" t="e">
        <f>IF(OR(ЦТО!#REF!=ЦТО!$BK$8,ЦТО!#REF!=ЦТО!$BK$9,ЦТО!#REF!=ЦТО!$BK$10),"Обратить внимание","Отклонений нет")</f>
        <v>#REF!</v>
      </c>
      <c r="W89" s="47" t="e">
        <f>IF(OR(ЦТО!#REF!=ЦТО!$BK$8,ЦТО!#REF!=ЦТО!$BK$9,ЦТО!#REF!=ЦТО!$BK$10),"Обратить внимание","Отклонений нет")</f>
        <v>#REF!</v>
      </c>
      <c r="X89" s="47" t="e">
        <f>IF(OR(ЦТО!#REF!=ЦТО!$BK$8,ЦТО!#REF!=ЦТО!$BK$9,ЦТО!#REF!=ЦТО!$BK$10),"Обратить внимание","Отклонений нет")</f>
        <v>#REF!</v>
      </c>
    </row>
    <row r="90" spans="1:24" ht="18" customHeight="1">
      <c r="A90" s="10">
        <v>88</v>
      </c>
      <c r="B90" s="14" t="e">
        <f>IF(ЦТО!#REF!="","",ЦТО!#REF!)</f>
        <v>#REF!</v>
      </c>
      <c r="C90" s="14" t="e">
        <f>IF(ЦТО!#REF!="","",ЦТО!#REF!)</f>
        <v>#REF!</v>
      </c>
      <c r="D90" s="36" t="e">
        <f>IF(ЦТО!#REF!="","",ЦТО!#REF!)</f>
        <v>#REF!</v>
      </c>
      <c r="E9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0" s="47" t="e">
        <f>IF(OR(ЦТО!#REF!=ЦТО!$BK$8,ЦТО!#REF!=ЦТО!$BK$9,ЦТО!#REF!=ЦТО!$BK$10),"Обратить внимание","Отклонений нет")</f>
        <v>#REF!</v>
      </c>
      <c r="K90" s="14" t="e">
        <f>IF(OR(ЦТО!#REF!=ЦТО!$BK$8,ЦТО!#REF!=ЦТО!$BK$9,ЦТО!#REF!=ЦТО!$BK$10),"Обратить внимание","Отклонений нет")</f>
        <v>#REF!</v>
      </c>
      <c r="L90" s="14" t="e">
        <f>IF(OR(ЦТО!#REF!=ЦТО!$BK$8,ЦТО!#REF!=ЦТО!$BK$9,ЦТО!#REF!=ЦТО!$BK$10),"Обратить внимание","Отклонений нет")</f>
        <v>#REF!</v>
      </c>
      <c r="M90" s="14" t="e">
        <f>IF(OR(ЦТО!#REF!=ЦТО!$BK$8,ЦТО!#REF!=ЦТО!$BK$9,ЦТО!#REF!=ЦТО!$BK$10),"Обратить внимание","Отклонений нет")</f>
        <v>#REF!</v>
      </c>
      <c r="N90" s="14" t="e">
        <f>IF(OR(ЦТО!#REF!=ЦТО!$BK$8,ЦТО!#REF!=ЦТО!$BK$9,ЦТО!#REF!=ЦТО!$BK$10),"Обратить внимание","Отклонений нет")</f>
        <v>#REF!</v>
      </c>
      <c r="O90" s="14" t="e">
        <f>IF(OR(ЦТО!#REF!=ЦТО!$BK$8,ЦТО!#REF!=ЦТО!$BK$9,ЦТО!#REF!=ЦТО!$BK$10),"Обратить внимание","Отклонений нет")</f>
        <v>#REF!</v>
      </c>
      <c r="P90" s="14" t="e">
        <f>IF(OR(ЦТО!#REF!=ЦТО!$BK$8,ЦТО!#REF!=ЦТО!$BK$9,ЦТО!#REF!=ЦТО!$BK$10),"Обратить внимание","Отклонений нет")</f>
        <v>#REF!</v>
      </c>
      <c r="Q90" s="14" t="e">
        <f>IF(OR(ЦТО!#REF!=ЦТО!$BK$8,ЦТО!#REF!=ЦТО!$BK$9,ЦТО!#REF!=ЦТО!$BK$10),"Обратить внимание","Отклонений нет")</f>
        <v>#REF!</v>
      </c>
      <c r="R90" s="14" t="e">
        <f>IF(OR(ЦТО!#REF!=ЦТО!$BK$8,ЦТО!#REF!=ЦТО!$BK$9,ЦТО!#REF!=ЦТО!$BK$10),"Обратить внимание","Отклонений нет")</f>
        <v>#REF!</v>
      </c>
      <c r="S90" s="14" t="e">
        <f>IF(OR(ЦТО!#REF!=ЦТО!$BK$8,ЦТО!#REF!=ЦТО!$BK$9,ЦТО!#REF!=ЦТО!$BK$10),"Обратить внимание","Отклонений нет")</f>
        <v>#REF!</v>
      </c>
      <c r="T90" s="14" t="e">
        <f>IF(OR(ЦТО!#REF!=ЦТО!$BK$8,ЦТО!#REF!=ЦТО!$BK$9,ЦТО!#REF!=ЦТО!$BK$10),"Обратить внимание","Отклонений нет")</f>
        <v>#REF!</v>
      </c>
      <c r="U90" s="14" t="e">
        <f>IF(OR(ЦТО!#REF!=ЦТО!$BK$8,ЦТО!#REF!=ЦТО!$BK$9,ЦТО!#REF!=ЦТО!$BK$10),"Обратить внимание","Отклонений нет")</f>
        <v>#REF!</v>
      </c>
      <c r="V90" s="47" t="e">
        <f>IF(OR(ЦТО!#REF!=ЦТО!$BK$8,ЦТО!#REF!=ЦТО!$BK$9,ЦТО!#REF!=ЦТО!$BK$10),"Обратить внимание","Отклонений нет")</f>
        <v>#REF!</v>
      </c>
      <c r="W90" s="47" t="e">
        <f>IF(OR(ЦТО!#REF!=ЦТО!$BK$8,ЦТО!#REF!=ЦТО!$BK$9,ЦТО!#REF!=ЦТО!$BK$10),"Обратить внимание","Отклонений нет")</f>
        <v>#REF!</v>
      </c>
      <c r="X90" s="47" t="e">
        <f>IF(OR(ЦТО!#REF!=ЦТО!$BK$8,ЦТО!#REF!=ЦТО!$BK$9,ЦТО!#REF!=ЦТО!$BK$10),"Обратить внимание","Отклонений нет")</f>
        <v>#REF!</v>
      </c>
    </row>
    <row r="91" spans="1:24" ht="18" customHeight="1">
      <c r="A91" s="10">
        <v>89</v>
      </c>
      <c r="B91" s="14" t="e">
        <f>IF(ЦТО!#REF!="","",ЦТО!#REF!)</f>
        <v>#REF!</v>
      </c>
      <c r="C91" s="14" t="e">
        <f>IF(ЦТО!#REF!="","",ЦТО!#REF!)</f>
        <v>#REF!</v>
      </c>
      <c r="D91" s="36" t="e">
        <f>IF(ЦТО!#REF!="","",ЦТО!#REF!)</f>
        <v>#REF!</v>
      </c>
      <c r="E9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1" s="47" t="e">
        <f>IF(OR(ЦТО!#REF!=ЦТО!$BK$8,ЦТО!#REF!=ЦТО!$BK$9,ЦТО!#REF!=ЦТО!$BK$10),"Обратить внимание","Отклонений нет")</f>
        <v>#REF!</v>
      </c>
      <c r="K91" s="14" t="e">
        <f>IF(OR(ЦТО!#REF!=ЦТО!$BK$8,ЦТО!#REF!=ЦТО!$BK$9,ЦТО!#REF!=ЦТО!$BK$10),"Обратить внимание","Отклонений нет")</f>
        <v>#REF!</v>
      </c>
      <c r="L91" s="14" t="e">
        <f>IF(OR(ЦТО!#REF!=ЦТО!$BK$8,ЦТО!#REF!=ЦТО!$BK$9,ЦТО!#REF!=ЦТО!$BK$10),"Обратить внимание","Отклонений нет")</f>
        <v>#REF!</v>
      </c>
      <c r="M91" s="14" t="e">
        <f>IF(OR(ЦТО!#REF!=ЦТО!$BK$8,ЦТО!#REF!=ЦТО!$BK$9,ЦТО!#REF!=ЦТО!$BK$10),"Обратить внимание","Отклонений нет")</f>
        <v>#REF!</v>
      </c>
      <c r="N91" s="14" t="e">
        <f>IF(OR(ЦТО!#REF!=ЦТО!$BK$8,ЦТО!#REF!=ЦТО!$BK$9,ЦТО!#REF!=ЦТО!$BK$10),"Обратить внимание","Отклонений нет")</f>
        <v>#REF!</v>
      </c>
      <c r="O91" s="14" t="e">
        <f>IF(OR(ЦТО!#REF!=ЦТО!$BK$8,ЦТО!#REF!=ЦТО!$BK$9,ЦТО!#REF!=ЦТО!$BK$10),"Обратить внимание","Отклонений нет")</f>
        <v>#REF!</v>
      </c>
      <c r="P91" s="14" t="e">
        <f>IF(OR(ЦТО!#REF!=ЦТО!$BK$8,ЦТО!#REF!=ЦТО!$BK$9,ЦТО!#REF!=ЦТО!$BK$10),"Обратить внимание","Отклонений нет")</f>
        <v>#REF!</v>
      </c>
      <c r="Q91" s="14" t="e">
        <f>IF(OR(ЦТО!#REF!=ЦТО!$BK$8,ЦТО!#REF!=ЦТО!$BK$9,ЦТО!#REF!=ЦТО!$BK$10),"Обратить внимание","Отклонений нет")</f>
        <v>#REF!</v>
      </c>
      <c r="R91" s="14" t="e">
        <f>IF(OR(ЦТО!#REF!=ЦТО!$BK$8,ЦТО!#REF!=ЦТО!$BK$9,ЦТО!#REF!=ЦТО!$BK$10),"Обратить внимание","Отклонений нет")</f>
        <v>#REF!</v>
      </c>
      <c r="S91" s="14" t="e">
        <f>IF(OR(ЦТО!#REF!=ЦТО!$BK$8,ЦТО!#REF!=ЦТО!$BK$9,ЦТО!#REF!=ЦТО!$BK$10),"Обратить внимание","Отклонений нет")</f>
        <v>#REF!</v>
      </c>
      <c r="T91" s="14" t="e">
        <f>IF(OR(ЦТО!#REF!=ЦТО!$BK$8,ЦТО!#REF!=ЦТО!$BK$9,ЦТО!#REF!=ЦТО!$BK$10),"Обратить внимание","Отклонений нет")</f>
        <v>#REF!</v>
      </c>
      <c r="U91" s="14" t="e">
        <f>IF(OR(ЦТО!#REF!=ЦТО!$BK$8,ЦТО!#REF!=ЦТО!$BK$9,ЦТО!#REF!=ЦТО!$BK$10),"Обратить внимание","Отклонений нет")</f>
        <v>#REF!</v>
      </c>
      <c r="V91" s="47" t="e">
        <f>IF(OR(ЦТО!#REF!=ЦТО!$BK$8,ЦТО!#REF!=ЦТО!$BK$9,ЦТО!#REF!=ЦТО!$BK$10),"Обратить внимание","Отклонений нет")</f>
        <v>#REF!</v>
      </c>
      <c r="W91" s="47" t="e">
        <f>IF(OR(ЦТО!#REF!=ЦТО!$BK$8,ЦТО!#REF!=ЦТО!$BK$9,ЦТО!#REF!=ЦТО!$BK$10),"Обратить внимание","Отклонений нет")</f>
        <v>#REF!</v>
      </c>
      <c r="X91" s="47" t="e">
        <f>IF(OR(ЦТО!#REF!=ЦТО!$BK$8,ЦТО!#REF!=ЦТО!$BK$9,ЦТО!#REF!=ЦТО!$BK$10),"Обратить внимание","Отклонений нет")</f>
        <v>#REF!</v>
      </c>
    </row>
    <row r="92" spans="1:24" ht="18" customHeight="1">
      <c r="A92" s="10">
        <v>90</v>
      </c>
      <c r="B92" s="14" t="e">
        <f>IF(ЦТО!#REF!="","",ЦТО!#REF!)</f>
        <v>#REF!</v>
      </c>
      <c r="C92" s="14" t="e">
        <f>IF(ЦТО!#REF!="","",ЦТО!#REF!)</f>
        <v>#REF!</v>
      </c>
      <c r="D92" s="36" t="e">
        <f>IF(ЦТО!#REF!="","",ЦТО!#REF!)</f>
        <v>#REF!</v>
      </c>
      <c r="E9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2" s="47" t="e">
        <f>IF(OR(ЦТО!#REF!=ЦТО!$BK$8,ЦТО!#REF!=ЦТО!$BK$9,ЦТО!#REF!=ЦТО!$BK$10),"Обратить внимание","Отклонений нет")</f>
        <v>#REF!</v>
      </c>
      <c r="K92" s="14" t="e">
        <f>IF(OR(ЦТО!#REF!=ЦТО!$BK$8,ЦТО!#REF!=ЦТО!$BK$9,ЦТО!#REF!=ЦТО!$BK$10),"Обратить внимание","Отклонений нет")</f>
        <v>#REF!</v>
      </c>
      <c r="L92" s="14" t="e">
        <f>IF(OR(ЦТО!#REF!=ЦТО!$BK$8,ЦТО!#REF!=ЦТО!$BK$9,ЦТО!#REF!=ЦТО!$BK$10),"Обратить внимание","Отклонений нет")</f>
        <v>#REF!</v>
      </c>
      <c r="M92" s="14" t="e">
        <f>IF(OR(ЦТО!#REF!=ЦТО!$BK$8,ЦТО!#REF!=ЦТО!$BK$9,ЦТО!#REF!=ЦТО!$BK$10),"Обратить внимание","Отклонений нет")</f>
        <v>#REF!</v>
      </c>
      <c r="N92" s="14" t="e">
        <f>IF(OR(ЦТО!#REF!=ЦТО!$BK$8,ЦТО!#REF!=ЦТО!$BK$9,ЦТО!#REF!=ЦТО!$BK$10),"Обратить внимание","Отклонений нет")</f>
        <v>#REF!</v>
      </c>
      <c r="O92" s="14" t="e">
        <f>IF(OR(ЦТО!#REF!=ЦТО!$BK$8,ЦТО!#REF!=ЦТО!$BK$9,ЦТО!#REF!=ЦТО!$BK$10),"Обратить внимание","Отклонений нет")</f>
        <v>#REF!</v>
      </c>
      <c r="P92" s="14" t="e">
        <f>IF(OR(ЦТО!#REF!=ЦТО!$BK$8,ЦТО!#REF!=ЦТО!$BK$9,ЦТО!#REF!=ЦТО!$BK$10),"Обратить внимание","Отклонений нет")</f>
        <v>#REF!</v>
      </c>
      <c r="Q92" s="14" t="e">
        <f>IF(OR(ЦТО!#REF!=ЦТО!$BK$8,ЦТО!#REF!=ЦТО!$BK$9,ЦТО!#REF!=ЦТО!$BK$10),"Обратить внимание","Отклонений нет")</f>
        <v>#REF!</v>
      </c>
      <c r="R92" s="14" t="e">
        <f>IF(OR(ЦТО!#REF!=ЦТО!$BK$8,ЦТО!#REF!=ЦТО!$BK$9,ЦТО!#REF!=ЦТО!$BK$10),"Обратить внимание","Отклонений нет")</f>
        <v>#REF!</v>
      </c>
      <c r="S92" s="14" t="e">
        <f>IF(OR(ЦТО!#REF!=ЦТО!$BK$8,ЦТО!#REF!=ЦТО!$BK$9,ЦТО!#REF!=ЦТО!$BK$10),"Обратить внимание","Отклонений нет")</f>
        <v>#REF!</v>
      </c>
      <c r="T92" s="14" t="e">
        <f>IF(OR(ЦТО!#REF!=ЦТО!$BK$8,ЦТО!#REF!=ЦТО!$BK$9,ЦТО!#REF!=ЦТО!$BK$10),"Обратить внимание","Отклонений нет")</f>
        <v>#REF!</v>
      </c>
      <c r="U92" s="14" t="e">
        <f>IF(OR(ЦТО!#REF!=ЦТО!$BK$8,ЦТО!#REF!=ЦТО!$BK$9,ЦТО!#REF!=ЦТО!$BK$10),"Обратить внимание","Отклонений нет")</f>
        <v>#REF!</v>
      </c>
      <c r="V92" s="47" t="e">
        <f>IF(OR(ЦТО!#REF!=ЦТО!$BK$8,ЦТО!#REF!=ЦТО!$BK$9,ЦТО!#REF!=ЦТО!$BK$10),"Обратить внимание","Отклонений нет")</f>
        <v>#REF!</v>
      </c>
      <c r="W92" s="47" t="e">
        <f>IF(OR(ЦТО!#REF!=ЦТО!$BK$8,ЦТО!#REF!=ЦТО!$BK$9,ЦТО!#REF!=ЦТО!$BK$10),"Обратить внимание","Отклонений нет")</f>
        <v>#REF!</v>
      </c>
      <c r="X92" s="47" t="e">
        <f>IF(OR(ЦТО!#REF!=ЦТО!$BK$8,ЦТО!#REF!=ЦТО!$BK$9,ЦТО!#REF!=ЦТО!$BK$10),"Обратить внимание","Отклонений нет")</f>
        <v>#REF!</v>
      </c>
    </row>
    <row r="93" spans="1:24" ht="18" customHeight="1">
      <c r="A93" s="10">
        <v>91</v>
      </c>
      <c r="B93" s="14" t="e">
        <f>IF(ЦТО!#REF!="","",ЦТО!#REF!)</f>
        <v>#REF!</v>
      </c>
      <c r="C93" s="14" t="e">
        <f>IF(ЦТО!#REF!="","",ЦТО!#REF!)</f>
        <v>#REF!</v>
      </c>
      <c r="D93" s="36" t="e">
        <f>IF(ЦТО!#REF!="","",ЦТО!#REF!)</f>
        <v>#REF!</v>
      </c>
      <c r="E9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3" s="47" t="e">
        <f>IF(OR(ЦТО!#REF!=ЦТО!$BK$8,ЦТО!#REF!=ЦТО!$BK$9,ЦТО!#REF!=ЦТО!$BK$10),"Обратить внимание","Отклонений нет")</f>
        <v>#REF!</v>
      </c>
      <c r="K93" s="14" t="e">
        <f>IF(OR(ЦТО!#REF!=ЦТО!$BK$8,ЦТО!#REF!=ЦТО!$BK$9,ЦТО!#REF!=ЦТО!$BK$10),"Обратить внимание","Отклонений нет")</f>
        <v>#REF!</v>
      </c>
      <c r="L93" s="14" t="e">
        <f>IF(OR(ЦТО!#REF!=ЦТО!$BK$8,ЦТО!#REF!=ЦТО!$BK$9,ЦТО!#REF!=ЦТО!$BK$10),"Обратить внимание","Отклонений нет")</f>
        <v>#REF!</v>
      </c>
      <c r="M93" s="14" t="e">
        <f>IF(OR(ЦТО!#REF!=ЦТО!$BK$8,ЦТО!#REF!=ЦТО!$BK$9,ЦТО!#REF!=ЦТО!$BK$10),"Обратить внимание","Отклонений нет")</f>
        <v>#REF!</v>
      </c>
      <c r="N93" s="14" t="e">
        <f>IF(OR(ЦТО!#REF!=ЦТО!$BK$8,ЦТО!#REF!=ЦТО!$BK$9,ЦТО!#REF!=ЦТО!$BK$10),"Обратить внимание","Отклонений нет")</f>
        <v>#REF!</v>
      </c>
      <c r="O93" s="14" t="e">
        <f>IF(OR(ЦТО!#REF!=ЦТО!$BK$8,ЦТО!#REF!=ЦТО!$BK$9,ЦТО!#REF!=ЦТО!$BK$10),"Обратить внимание","Отклонений нет")</f>
        <v>#REF!</v>
      </c>
      <c r="P93" s="14" t="e">
        <f>IF(OR(ЦТО!#REF!=ЦТО!$BK$8,ЦТО!#REF!=ЦТО!$BK$9,ЦТО!#REF!=ЦТО!$BK$10),"Обратить внимание","Отклонений нет")</f>
        <v>#REF!</v>
      </c>
      <c r="Q93" s="14" t="e">
        <f>IF(OR(ЦТО!#REF!=ЦТО!$BK$8,ЦТО!#REF!=ЦТО!$BK$9,ЦТО!#REF!=ЦТО!$BK$10),"Обратить внимание","Отклонений нет")</f>
        <v>#REF!</v>
      </c>
      <c r="R93" s="14" t="e">
        <f>IF(OR(ЦТО!#REF!=ЦТО!$BK$8,ЦТО!#REF!=ЦТО!$BK$9,ЦТО!#REF!=ЦТО!$BK$10),"Обратить внимание","Отклонений нет")</f>
        <v>#REF!</v>
      </c>
      <c r="S93" s="14" t="e">
        <f>IF(OR(ЦТО!#REF!=ЦТО!$BK$8,ЦТО!#REF!=ЦТО!$BK$9,ЦТО!#REF!=ЦТО!$BK$10),"Обратить внимание","Отклонений нет")</f>
        <v>#REF!</v>
      </c>
      <c r="T93" s="14" t="e">
        <f>IF(OR(ЦТО!#REF!=ЦТО!$BK$8,ЦТО!#REF!=ЦТО!$BK$9,ЦТО!#REF!=ЦТО!$BK$10),"Обратить внимание","Отклонений нет")</f>
        <v>#REF!</v>
      </c>
      <c r="U93" s="14" t="e">
        <f>IF(OR(ЦТО!#REF!=ЦТО!$BK$8,ЦТО!#REF!=ЦТО!$BK$9,ЦТО!#REF!=ЦТО!$BK$10),"Обратить внимание","Отклонений нет")</f>
        <v>#REF!</v>
      </c>
      <c r="V93" s="47" t="e">
        <f>IF(OR(ЦТО!#REF!=ЦТО!$BK$8,ЦТО!#REF!=ЦТО!$BK$9,ЦТО!#REF!=ЦТО!$BK$10),"Обратить внимание","Отклонений нет")</f>
        <v>#REF!</v>
      </c>
      <c r="W93" s="47" t="e">
        <f>IF(OR(ЦТО!#REF!=ЦТО!$BK$8,ЦТО!#REF!=ЦТО!$BK$9,ЦТО!#REF!=ЦТО!$BK$10),"Обратить внимание","Отклонений нет")</f>
        <v>#REF!</v>
      </c>
      <c r="X93" s="47" t="e">
        <f>IF(OR(ЦТО!#REF!=ЦТО!$BK$8,ЦТО!#REF!=ЦТО!$BK$9,ЦТО!#REF!=ЦТО!$BK$10),"Обратить внимание","Отклонений нет")</f>
        <v>#REF!</v>
      </c>
    </row>
    <row r="94" spans="1:24" ht="18" customHeight="1">
      <c r="A94" s="10">
        <v>92</v>
      </c>
      <c r="B94" s="14" t="e">
        <f>IF(ЦТО!#REF!="","",ЦТО!#REF!)</f>
        <v>#REF!</v>
      </c>
      <c r="C94" s="14" t="e">
        <f>IF(ЦТО!#REF!="","",ЦТО!#REF!)</f>
        <v>#REF!</v>
      </c>
      <c r="D94" s="36" t="e">
        <f>IF(ЦТО!#REF!="","",ЦТО!#REF!)</f>
        <v>#REF!</v>
      </c>
      <c r="E9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4" s="47" t="e">
        <f>IF(OR(ЦТО!#REF!=ЦТО!$BK$8,ЦТО!#REF!=ЦТО!$BK$9,ЦТО!#REF!=ЦТО!$BK$10),"Обратить внимание","Отклонений нет")</f>
        <v>#REF!</v>
      </c>
      <c r="K94" s="14" t="e">
        <f>IF(OR(ЦТО!#REF!=ЦТО!$BK$8,ЦТО!#REF!=ЦТО!$BK$9,ЦТО!#REF!=ЦТО!$BK$10),"Обратить внимание","Отклонений нет")</f>
        <v>#REF!</v>
      </c>
      <c r="L94" s="14" t="e">
        <f>IF(OR(ЦТО!#REF!=ЦТО!$BK$8,ЦТО!#REF!=ЦТО!$BK$9,ЦТО!#REF!=ЦТО!$BK$10),"Обратить внимание","Отклонений нет")</f>
        <v>#REF!</v>
      </c>
      <c r="M94" s="14" t="e">
        <f>IF(OR(ЦТО!#REF!=ЦТО!$BK$8,ЦТО!#REF!=ЦТО!$BK$9,ЦТО!#REF!=ЦТО!$BK$10),"Обратить внимание","Отклонений нет")</f>
        <v>#REF!</v>
      </c>
      <c r="N94" s="14" t="e">
        <f>IF(OR(ЦТО!#REF!=ЦТО!$BK$8,ЦТО!#REF!=ЦТО!$BK$9,ЦТО!#REF!=ЦТО!$BK$10),"Обратить внимание","Отклонений нет")</f>
        <v>#REF!</v>
      </c>
      <c r="O94" s="14" t="e">
        <f>IF(OR(ЦТО!#REF!=ЦТО!$BK$8,ЦТО!#REF!=ЦТО!$BK$9,ЦТО!#REF!=ЦТО!$BK$10),"Обратить внимание","Отклонений нет")</f>
        <v>#REF!</v>
      </c>
      <c r="P94" s="14" t="e">
        <f>IF(OR(ЦТО!#REF!=ЦТО!$BK$8,ЦТО!#REF!=ЦТО!$BK$9,ЦТО!#REF!=ЦТО!$BK$10),"Обратить внимание","Отклонений нет")</f>
        <v>#REF!</v>
      </c>
      <c r="Q94" s="14" t="e">
        <f>IF(OR(ЦТО!#REF!=ЦТО!$BK$8,ЦТО!#REF!=ЦТО!$BK$9,ЦТО!#REF!=ЦТО!$BK$10),"Обратить внимание","Отклонений нет")</f>
        <v>#REF!</v>
      </c>
      <c r="R94" s="14" t="e">
        <f>IF(OR(ЦТО!#REF!=ЦТО!$BK$8,ЦТО!#REF!=ЦТО!$BK$9,ЦТО!#REF!=ЦТО!$BK$10),"Обратить внимание","Отклонений нет")</f>
        <v>#REF!</v>
      </c>
      <c r="S94" s="14" t="e">
        <f>IF(OR(ЦТО!#REF!=ЦТО!$BK$8,ЦТО!#REF!=ЦТО!$BK$9,ЦТО!#REF!=ЦТО!$BK$10),"Обратить внимание","Отклонений нет")</f>
        <v>#REF!</v>
      </c>
      <c r="T94" s="14" t="e">
        <f>IF(OR(ЦТО!#REF!=ЦТО!$BK$8,ЦТО!#REF!=ЦТО!$BK$9,ЦТО!#REF!=ЦТО!$BK$10),"Обратить внимание","Отклонений нет")</f>
        <v>#REF!</v>
      </c>
      <c r="U94" s="14" t="e">
        <f>IF(OR(ЦТО!#REF!=ЦТО!$BK$8,ЦТО!#REF!=ЦТО!$BK$9,ЦТО!#REF!=ЦТО!$BK$10),"Обратить внимание","Отклонений нет")</f>
        <v>#REF!</v>
      </c>
      <c r="V94" s="47" t="e">
        <f>IF(OR(ЦТО!#REF!=ЦТО!$BK$8,ЦТО!#REF!=ЦТО!$BK$9,ЦТО!#REF!=ЦТО!$BK$10),"Обратить внимание","Отклонений нет")</f>
        <v>#REF!</v>
      </c>
      <c r="W94" s="47" t="e">
        <f>IF(OR(ЦТО!#REF!=ЦТО!$BK$8,ЦТО!#REF!=ЦТО!$BK$9,ЦТО!#REF!=ЦТО!$BK$10),"Обратить внимание","Отклонений нет")</f>
        <v>#REF!</v>
      </c>
      <c r="X94" s="47" t="e">
        <f>IF(OR(ЦТО!#REF!=ЦТО!$BK$8,ЦТО!#REF!=ЦТО!$BK$9,ЦТО!#REF!=ЦТО!$BK$10),"Обратить внимание","Отклонений нет")</f>
        <v>#REF!</v>
      </c>
    </row>
    <row r="95" spans="1:24" ht="18" customHeight="1">
      <c r="A95" s="10">
        <v>93</v>
      </c>
      <c r="B95" s="14" t="e">
        <f>IF(ЦТО!#REF!="","",ЦТО!#REF!)</f>
        <v>#REF!</v>
      </c>
      <c r="C95" s="14" t="e">
        <f>IF(ЦТО!#REF!="","",ЦТО!#REF!)</f>
        <v>#REF!</v>
      </c>
      <c r="D95" s="36" t="e">
        <f>IF(ЦТО!#REF!="","",ЦТО!#REF!)</f>
        <v>#REF!</v>
      </c>
      <c r="E9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5" s="47" t="e">
        <f>IF(OR(ЦТО!#REF!=ЦТО!$BK$8,ЦТО!#REF!=ЦТО!$BK$9,ЦТО!#REF!=ЦТО!$BK$10),"Обратить внимание","Отклонений нет")</f>
        <v>#REF!</v>
      </c>
      <c r="K95" s="14" t="e">
        <f>IF(OR(ЦТО!#REF!=ЦТО!$BK$8,ЦТО!#REF!=ЦТО!$BK$9,ЦТО!#REF!=ЦТО!$BK$10),"Обратить внимание","Отклонений нет")</f>
        <v>#REF!</v>
      </c>
      <c r="L95" s="14" t="e">
        <f>IF(OR(ЦТО!#REF!=ЦТО!$BK$8,ЦТО!#REF!=ЦТО!$BK$9,ЦТО!#REF!=ЦТО!$BK$10),"Обратить внимание","Отклонений нет")</f>
        <v>#REF!</v>
      </c>
      <c r="M95" s="14" t="e">
        <f>IF(OR(ЦТО!#REF!=ЦТО!$BK$8,ЦТО!#REF!=ЦТО!$BK$9,ЦТО!#REF!=ЦТО!$BK$10),"Обратить внимание","Отклонений нет")</f>
        <v>#REF!</v>
      </c>
      <c r="N95" s="14" t="e">
        <f>IF(OR(ЦТО!#REF!=ЦТО!$BK$8,ЦТО!#REF!=ЦТО!$BK$9,ЦТО!#REF!=ЦТО!$BK$10),"Обратить внимание","Отклонений нет")</f>
        <v>#REF!</v>
      </c>
      <c r="O95" s="14" t="e">
        <f>IF(OR(ЦТО!#REF!=ЦТО!$BK$8,ЦТО!#REF!=ЦТО!$BK$9,ЦТО!#REF!=ЦТО!$BK$10),"Обратить внимание","Отклонений нет")</f>
        <v>#REF!</v>
      </c>
      <c r="P95" s="14" t="e">
        <f>IF(OR(ЦТО!#REF!=ЦТО!$BK$8,ЦТО!#REF!=ЦТО!$BK$9,ЦТО!#REF!=ЦТО!$BK$10),"Обратить внимание","Отклонений нет")</f>
        <v>#REF!</v>
      </c>
      <c r="Q95" s="14" t="e">
        <f>IF(OR(ЦТО!#REF!=ЦТО!$BK$8,ЦТО!#REF!=ЦТО!$BK$9,ЦТО!#REF!=ЦТО!$BK$10),"Обратить внимание","Отклонений нет")</f>
        <v>#REF!</v>
      </c>
      <c r="R95" s="14" t="e">
        <f>IF(OR(ЦТО!#REF!=ЦТО!$BK$8,ЦТО!#REF!=ЦТО!$BK$9,ЦТО!#REF!=ЦТО!$BK$10),"Обратить внимание","Отклонений нет")</f>
        <v>#REF!</v>
      </c>
      <c r="S95" s="14" t="e">
        <f>IF(OR(ЦТО!#REF!=ЦТО!$BK$8,ЦТО!#REF!=ЦТО!$BK$9,ЦТО!#REF!=ЦТО!$BK$10),"Обратить внимание","Отклонений нет")</f>
        <v>#REF!</v>
      </c>
      <c r="T95" s="14" t="e">
        <f>IF(OR(ЦТО!#REF!=ЦТО!$BK$8,ЦТО!#REF!=ЦТО!$BK$9,ЦТО!#REF!=ЦТО!$BK$10),"Обратить внимание","Отклонений нет")</f>
        <v>#REF!</v>
      </c>
      <c r="U95" s="14" t="e">
        <f>IF(OR(ЦТО!#REF!=ЦТО!$BK$8,ЦТО!#REF!=ЦТО!$BK$9,ЦТО!#REF!=ЦТО!$BK$10),"Обратить внимание","Отклонений нет")</f>
        <v>#REF!</v>
      </c>
      <c r="V95" s="47" t="e">
        <f>IF(OR(ЦТО!#REF!=ЦТО!$BK$8,ЦТО!#REF!=ЦТО!$BK$9,ЦТО!#REF!=ЦТО!$BK$10),"Обратить внимание","Отклонений нет")</f>
        <v>#REF!</v>
      </c>
      <c r="W95" s="47" t="e">
        <f>IF(OR(ЦТО!#REF!=ЦТО!$BK$8,ЦТО!#REF!=ЦТО!$BK$9,ЦТО!#REF!=ЦТО!$BK$10),"Обратить внимание","Отклонений нет")</f>
        <v>#REF!</v>
      </c>
      <c r="X95" s="47" t="e">
        <f>IF(OR(ЦТО!#REF!=ЦТО!$BK$8,ЦТО!#REF!=ЦТО!$BK$9,ЦТО!#REF!=ЦТО!$BK$10),"Обратить внимание","Отклонений нет")</f>
        <v>#REF!</v>
      </c>
    </row>
    <row r="96" spans="1:24" ht="18" customHeight="1">
      <c r="A96" s="10">
        <v>94</v>
      </c>
      <c r="B96" s="14" t="e">
        <f>IF(ЦТО!#REF!="","",ЦТО!#REF!)</f>
        <v>#REF!</v>
      </c>
      <c r="C96" s="14" t="e">
        <f>IF(ЦТО!#REF!="","",ЦТО!#REF!)</f>
        <v>#REF!</v>
      </c>
      <c r="D96" s="36" t="e">
        <f>IF(ЦТО!#REF!="","",ЦТО!#REF!)</f>
        <v>#REF!</v>
      </c>
      <c r="E9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6" s="47" t="e">
        <f>IF(OR(ЦТО!#REF!=ЦТО!$BK$8,ЦТО!#REF!=ЦТО!$BK$9,ЦТО!#REF!=ЦТО!$BK$10),"Обратить внимание","Отклонений нет")</f>
        <v>#REF!</v>
      </c>
      <c r="K96" s="14" t="e">
        <f>IF(OR(ЦТО!#REF!=ЦТО!$BK$8,ЦТО!#REF!=ЦТО!$BK$9,ЦТО!#REF!=ЦТО!$BK$10),"Обратить внимание","Отклонений нет")</f>
        <v>#REF!</v>
      </c>
      <c r="L96" s="14" t="e">
        <f>IF(OR(ЦТО!#REF!=ЦТО!$BK$8,ЦТО!#REF!=ЦТО!$BK$9,ЦТО!#REF!=ЦТО!$BK$10),"Обратить внимание","Отклонений нет")</f>
        <v>#REF!</v>
      </c>
      <c r="M96" s="14" t="e">
        <f>IF(OR(ЦТО!#REF!=ЦТО!$BK$8,ЦТО!#REF!=ЦТО!$BK$9,ЦТО!#REF!=ЦТО!$BK$10),"Обратить внимание","Отклонений нет")</f>
        <v>#REF!</v>
      </c>
      <c r="N96" s="14" t="e">
        <f>IF(OR(ЦТО!#REF!=ЦТО!$BK$8,ЦТО!#REF!=ЦТО!$BK$9,ЦТО!#REF!=ЦТО!$BK$10),"Обратить внимание","Отклонений нет")</f>
        <v>#REF!</v>
      </c>
      <c r="O96" s="14" t="e">
        <f>IF(OR(ЦТО!#REF!=ЦТО!$BK$8,ЦТО!#REF!=ЦТО!$BK$9,ЦТО!#REF!=ЦТО!$BK$10),"Обратить внимание","Отклонений нет")</f>
        <v>#REF!</v>
      </c>
      <c r="P96" s="14" t="e">
        <f>IF(OR(ЦТО!#REF!=ЦТО!$BK$8,ЦТО!#REF!=ЦТО!$BK$9,ЦТО!#REF!=ЦТО!$BK$10),"Обратить внимание","Отклонений нет")</f>
        <v>#REF!</v>
      </c>
      <c r="Q96" s="14" t="e">
        <f>IF(OR(ЦТО!#REF!=ЦТО!$BK$8,ЦТО!#REF!=ЦТО!$BK$9,ЦТО!#REF!=ЦТО!$BK$10),"Обратить внимание","Отклонений нет")</f>
        <v>#REF!</v>
      </c>
      <c r="R96" s="14" t="e">
        <f>IF(OR(ЦТО!#REF!=ЦТО!$BK$8,ЦТО!#REF!=ЦТО!$BK$9,ЦТО!#REF!=ЦТО!$BK$10),"Обратить внимание","Отклонений нет")</f>
        <v>#REF!</v>
      </c>
      <c r="S96" s="14" t="e">
        <f>IF(OR(ЦТО!#REF!=ЦТО!$BK$8,ЦТО!#REF!=ЦТО!$BK$9,ЦТО!#REF!=ЦТО!$BK$10),"Обратить внимание","Отклонений нет")</f>
        <v>#REF!</v>
      </c>
      <c r="T96" s="14" t="e">
        <f>IF(OR(ЦТО!#REF!=ЦТО!$BK$8,ЦТО!#REF!=ЦТО!$BK$9,ЦТО!#REF!=ЦТО!$BK$10),"Обратить внимание","Отклонений нет")</f>
        <v>#REF!</v>
      </c>
      <c r="U96" s="14" t="e">
        <f>IF(OR(ЦТО!#REF!=ЦТО!$BK$8,ЦТО!#REF!=ЦТО!$BK$9,ЦТО!#REF!=ЦТО!$BK$10),"Обратить внимание","Отклонений нет")</f>
        <v>#REF!</v>
      </c>
      <c r="V96" s="47" t="e">
        <f>IF(OR(ЦТО!#REF!=ЦТО!$BK$8,ЦТО!#REF!=ЦТО!$BK$9,ЦТО!#REF!=ЦТО!$BK$10),"Обратить внимание","Отклонений нет")</f>
        <v>#REF!</v>
      </c>
      <c r="W96" s="47" t="e">
        <f>IF(OR(ЦТО!#REF!=ЦТО!$BK$8,ЦТО!#REF!=ЦТО!$BK$9,ЦТО!#REF!=ЦТО!$BK$10),"Обратить внимание","Отклонений нет")</f>
        <v>#REF!</v>
      </c>
      <c r="X96" s="47" t="e">
        <f>IF(OR(ЦТО!#REF!=ЦТО!$BK$8,ЦТО!#REF!=ЦТО!$BK$9,ЦТО!#REF!=ЦТО!$BK$10),"Обратить внимание","Отклонений нет")</f>
        <v>#REF!</v>
      </c>
    </row>
    <row r="97" spans="1:24" ht="18" customHeight="1">
      <c r="A97" s="10">
        <v>95</v>
      </c>
      <c r="B97" s="14" t="e">
        <f>IF(ЦТО!#REF!="","",ЦТО!#REF!)</f>
        <v>#REF!</v>
      </c>
      <c r="C97" s="14" t="e">
        <f>IF(ЦТО!#REF!="","",ЦТО!#REF!)</f>
        <v>#REF!</v>
      </c>
      <c r="D97" s="36" t="e">
        <f>IF(ЦТО!#REF!="","",ЦТО!#REF!)</f>
        <v>#REF!</v>
      </c>
      <c r="E9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7" s="47" t="e">
        <f>IF(OR(ЦТО!#REF!=ЦТО!$BK$8,ЦТО!#REF!=ЦТО!$BK$9,ЦТО!#REF!=ЦТО!$BK$10),"Обратить внимание","Отклонений нет")</f>
        <v>#REF!</v>
      </c>
      <c r="K97" s="14" t="e">
        <f>IF(OR(ЦТО!#REF!=ЦТО!$BK$8,ЦТО!#REF!=ЦТО!$BK$9,ЦТО!#REF!=ЦТО!$BK$10),"Обратить внимание","Отклонений нет")</f>
        <v>#REF!</v>
      </c>
      <c r="L97" s="14" t="e">
        <f>IF(OR(ЦТО!#REF!=ЦТО!$BK$8,ЦТО!#REF!=ЦТО!$BK$9,ЦТО!#REF!=ЦТО!$BK$10),"Обратить внимание","Отклонений нет")</f>
        <v>#REF!</v>
      </c>
      <c r="M97" s="14" t="e">
        <f>IF(OR(ЦТО!#REF!=ЦТО!$BK$8,ЦТО!#REF!=ЦТО!$BK$9,ЦТО!#REF!=ЦТО!$BK$10),"Обратить внимание","Отклонений нет")</f>
        <v>#REF!</v>
      </c>
      <c r="N97" s="14" t="e">
        <f>IF(OR(ЦТО!#REF!=ЦТО!$BK$8,ЦТО!#REF!=ЦТО!$BK$9,ЦТО!#REF!=ЦТО!$BK$10),"Обратить внимание","Отклонений нет")</f>
        <v>#REF!</v>
      </c>
      <c r="O97" s="14" t="e">
        <f>IF(OR(ЦТО!#REF!=ЦТО!$BK$8,ЦТО!#REF!=ЦТО!$BK$9,ЦТО!#REF!=ЦТО!$BK$10),"Обратить внимание","Отклонений нет")</f>
        <v>#REF!</v>
      </c>
      <c r="P97" s="14" t="e">
        <f>IF(OR(ЦТО!#REF!=ЦТО!$BK$8,ЦТО!#REF!=ЦТО!$BK$9,ЦТО!#REF!=ЦТО!$BK$10),"Обратить внимание","Отклонений нет")</f>
        <v>#REF!</v>
      </c>
      <c r="Q97" s="14" t="e">
        <f>IF(OR(ЦТО!#REF!=ЦТО!$BK$8,ЦТО!#REF!=ЦТО!$BK$9,ЦТО!#REF!=ЦТО!$BK$10),"Обратить внимание","Отклонений нет")</f>
        <v>#REF!</v>
      </c>
      <c r="R97" s="14" t="e">
        <f>IF(OR(ЦТО!#REF!=ЦТО!$BK$8,ЦТО!#REF!=ЦТО!$BK$9,ЦТО!#REF!=ЦТО!$BK$10),"Обратить внимание","Отклонений нет")</f>
        <v>#REF!</v>
      </c>
      <c r="S97" s="14" t="e">
        <f>IF(OR(ЦТО!#REF!=ЦТО!$BK$8,ЦТО!#REF!=ЦТО!$BK$9,ЦТО!#REF!=ЦТО!$BK$10),"Обратить внимание","Отклонений нет")</f>
        <v>#REF!</v>
      </c>
      <c r="T97" s="14" t="e">
        <f>IF(OR(ЦТО!#REF!=ЦТО!$BK$8,ЦТО!#REF!=ЦТО!$BK$9,ЦТО!#REF!=ЦТО!$BK$10),"Обратить внимание","Отклонений нет")</f>
        <v>#REF!</v>
      </c>
      <c r="U97" s="14" t="e">
        <f>IF(OR(ЦТО!#REF!=ЦТО!$BK$8,ЦТО!#REF!=ЦТО!$BK$9,ЦТО!#REF!=ЦТО!$BK$10),"Обратить внимание","Отклонений нет")</f>
        <v>#REF!</v>
      </c>
      <c r="V97" s="47" t="e">
        <f>IF(OR(ЦТО!#REF!=ЦТО!$BK$8,ЦТО!#REF!=ЦТО!$BK$9,ЦТО!#REF!=ЦТО!$BK$10),"Обратить внимание","Отклонений нет")</f>
        <v>#REF!</v>
      </c>
      <c r="W97" s="47" t="e">
        <f>IF(OR(ЦТО!#REF!=ЦТО!$BK$8,ЦТО!#REF!=ЦТО!$BK$9,ЦТО!#REF!=ЦТО!$BK$10),"Обратить внимание","Отклонений нет")</f>
        <v>#REF!</v>
      </c>
      <c r="X97" s="47" t="e">
        <f>IF(OR(ЦТО!#REF!=ЦТО!$BK$8,ЦТО!#REF!=ЦТО!$BK$9,ЦТО!#REF!=ЦТО!$BK$10),"Обратить внимание","Отклонений нет")</f>
        <v>#REF!</v>
      </c>
    </row>
    <row r="98" spans="1:24" ht="18" customHeight="1">
      <c r="A98" s="10">
        <v>96</v>
      </c>
      <c r="B98" s="14" t="e">
        <f>IF(ЦТО!#REF!="","",ЦТО!#REF!)</f>
        <v>#REF!</v>
      </c>
      <c r="C98" s="14" t="e">
        <f>IF(ЦТО!#REF!="","",ЦТО!#REF!)</f>
        <v>#REF!</v>
      </c>
      <c r="D98" s="36" t="e">
        <f>IF(ЦТО!#REF!="","",ЦТО!#REF!)</f>
        <v>#REF!</v>
      </c>
      <c r="E9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8" s="47" t="e">
        <f>IF(OR(ЦТО!#REF!=ЦТО!$BK$8,ЦТО!#REF!=ЦТО!$BK$9,ЦТО!#REF!=ЦТО!$BK$10),"Обратить внимание","Отклонений нет")</f>
        <v>#REF!</v>
      </c>
      <c r="K98" s="14" t="e">
        <f>IF(OR(ЦТО!#REF!=ЦТО!$BK$8,ЦТО!#REF!=ЦТО!$BK$9,ЦТО!#REF!=ЦТО!$BK$10),"Обратить внимание","Отклонений нет")</f>
        <v>#REF!</v>
      </c>
      <c r="L98" s="14" t="e">
        <f>IF(OR(ЦТО!#REF!=ЦТО!$BK$8,ЦТО!#REF!=ЦТО!$BK$9,ЦТО!#REF!=ЦТО!$BK$10),"Обратить внимание","Отклонений нет")</f>
        <v>#REF!</v>
      </c>
      <c r="M98" s="14" t="e">
        <f>IF(OR(ЦТО!#REF!=ЦТО!$BK$8,ЦТО!#REF!=ЦТО!$BK$9,ЦТО!#REF!=ЦТО!$BK$10),"Обратить внимание","Отклонений нет")</f>
        <v>#REF!</v>
      </c>
      <c r="N98" s="14" t="e">
        <f>IF(OR(ЦТО!#REF!=ЦТО!$BK$8,ЦТО!#REF!=ЦТО!$BK$9,ЦТО!#REF!=ЦТО!$BK$10),"Обратить внимание","Отклонений нет")</f>
        <v>#REF!</v>
      </c>
      <c r="O98" s="14" t="e">
        <f>IF(OR(ЦТО!#REF!=ЦТО!$BK$8,ЦТО!#REF!=ЦТО!$BK$9,ЦТО!#REF!=ЦТО!$BK$10),"Обратить внимание","Отклонений нет")</f>
        <v>#REF!</v>
      </c>
      <c r="P98" s="14" t="e">
        <f>IF(OR(ЦТО!#REF!=ЦТО!$BK$8,ЦТО!#REF!=ЦТО!$BK$9,ЦТО!#REF!=ЦТО!$BK$10),"Обратить внимание","Отклонений нет")</f>
        <v>#REF!</v>
      </c>
      <c r="Q98" s="14" t="e">
        <f>IF(OR(ЦТО!#REF!=ЦТО!$BK$8,ЦТО!#REF!=ЦТО!$BK$9,ЦТО!#REF!=ЦТО!$BK$10),"Обратить внимание","Отклонений нет")</f>
        <v>#REF!</v>
      </c>
      <c r="R98" s="14" t="e">
        <f>IF(OR(ЦТО!#REF!=ЦТО!$BK$8,ЦТО!#REF!=ЦТО!$BK$9,ЦТО!#REF!=ЦТО!$BK$10),"Обратить внимание","Отклонений нет")</f>
        <v>#REF!</v>
      </c>
      <c r="S98" s="14" t="e">
        <f>IF(OR(ЦТО!#REF!=ЦТО!$BK$8,ЦТО!#REF!=ЦТО!$BK$9,ЦТО!#REF!=ЦТО!$BK$10),"Обратить внимание","Отклонений нет")</f>
        <v>#REF!</v>
      </c>
      <c r="T98" s="14" t="e">
        <f>IF(OR(ЦТО!#REF!=ЦТО!$BK$8,ЦТО!#REF!=ЦТО!$BK$9,ЦТО!#REF!=ЦТО!$BK$10),"Обратить внимание","Отклонений нет")</f>
        <v>#REF!</v>
      </c>
      <c r="U98" s="14" t="e">
        <f>IF(OR(ЦТО!#REF!=ЦТО!$BK$8,ЦТО!#REF!=ЦТО!$BK$9,ЦТО!#REF!=ЦТО!$BK$10),"Обратить внимание","Отклонений нет")</f>
        <v>#REF!</v>
      </c>
      <c r="V98" s="47" t="e">
        <f>IF(OR(ЦТО!#REF!=ЦТО!$BK$8,ЦТО!#REF!=ЦТО!$BK$9,ЦТО!#REF!=ЦТО!$BK$10),"Обратить внимание","Отклонений нет")</f>
        <v>#REF!</v>
      </c>
      <c r="W98" s="47" t="e">
        <f>IF(OR(ЦТО!#REF!=ЦТО!$BK$8,ЦТО!#REF!=ЦТО!$BK$9,ЦТО!#REF!=ЦТО!$BK$10),"Обратить внимание","Отклонений нет")</f>
        <v>#REF!</v>
      </c>
      <c r="X98" s="47" t="e">
        <f>IF(OR(ЦТО!#REF!=ЦТО!$BK$8,ЦТО!#REF!=ЦТО!$BK$9,ЦТО!#REF!=ЦТО!$BK$10),"Обратить внимание","Отклонений нет")</f>
        <v>#REF!</v>
      </c>
    </row>
    <row r="99" spans="1:24" ht="18" customHeight="1">
      <c r="A99" s="10">
        <v>97</v>
      </c>
      <c r="B99" s="14" t="e">
        <f>IF(ЦТО!#REF!="","",ЦТО!#REF!)</f>
        <v>#REF!</v>
      </c>
      <c r="C99" s="14" t="e">
        <f>IF(ЦТО!#REF!="","",ЦТО!#REF!)</f>
        <v>#REF!</v>
      </c>
      <c r="D99" s="36" t="e">
        <f>IF(ЦТО!#REF!="","",ЦТО!#REF!)</f>
        <v>#REF!</v>
      </c>
      <c r="E9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9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9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9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9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99" s="47" t="e">
        <f>IF(OR(ЦТО!#REF!=ЦТО!$BK$8,ЦТО!#REF!=ЦТО!$BK$9,ЦТО!#REF!=ЦТО!$BK$10),"Обратить внимание","Отклонений нет")</f>
        <v>#REF!</v>
      </c>
      <c r="K99" s="14" t="e">
        <f>IF(OR(ЦТО!#REF!=ЦТО!$BK$8,ЦТО!#REF!=ЦТО!$BK$9,ЦТО!#REF!=ЦТО!$BK$10),"Обратить внимание","Отклонений нет")</f>
        <v>#REF!</v>
      </c>
      <c r="L99" s="14" t="e">
        <f>IF(OR(ЦТО!#REF!=ЦТО!$BK$8,ЦТО!#REF!=ЦТО!$BK$9,ЦТО!#REF!=ЦТО!$BK$10),"Обратить внимание","Отклонений нет")</f>
        <v>#REF!</v>
      </c>
      <c r="M99" s="14" t="e">
        <f>IF(OR(ЦТО!#REF!=ЦТО!$BK$8,ЦТО!#REF!=ЦТО!$BK$9,ЦТО!#REF!=ЦТО!$BK$10),"Обратить внимание","Отклонений нет")</f>
        <v>#REF!</v>
      </c>
      <c r="N99" s="14" t="e">
        <f>IF(OR(ЦТО!#REF!=ЦТО!$BK$8,ЦТО!#REF!=ЦТО!$BK$9,ЦТО!#REF!=ЦТО!$BK$10),"Обратить внимание","Отклонений нет")</f>
        <v>#REF!</v>
      </c>
      <c r="O99" s="14" t="e">
        <f>IF(OR(ЦТО!#REF!=ЦТО!$BK$8,ЦТО!#REF!=ЦТО!$BK$9,ЦТО!#REF!=ЦТО!$BK$10),"Обратить внимание","Отклонений нет")</f>
        <v>#REF!</v>
      </c>
      <c r="P99" s="14" t="e">
        <f>IF(OR(ЦТО!#REF!=ЦТО!$BK$8,ЦТО!#REF!=ЦТО!$BK$9,ЦТО!#REF!=ЦТО!$BK$10),"Обратить внимание","Отклонений нет")</f>
        <v>#REF!</v>
      </c>
      <c r="Q99" s="14" t="e">
        <f>IF(OR(ЦТО!#REF!=ЦТО!$BK$8,ЦТО!#REF!=ЦТО!$BK$9,ЦТО!#REF!=ЦТО!$BK$10),"Обратить внимание","Отклонений нет")</f>
        <v>#REF!</v>
      </c>
      <c r="R99" s="14" t="e">
        <f>IF(OR(ЦТО!#REF!=ЦТО!$BK$8,ЦТО!#REF!=ЦТО!$BK$9,ЦТО!#REF!=ЦТО!$BK$10),"Обратить внимание","Отклонений нет")</f>
        <v>#REF!</v>
      </c>
      <c r="S99" s="14" t="e">
        <f>IF(OR(ЦТО!#REF!=ЦТО!$BK$8,ЦТО!#REF!=ЦТО!$BK$9,ЦТО!#REF!=ЦТО!$BK$10),"Обратить внимание","Отклонений нет")</f>
        <v>#REF!</v>
      </c>
      <c r="T99" s="14" t="e">
        <f>IF(OR(ЦТО!#REF!=ЦТО!$BK$8,ЦТО!#REF!=ЦТО!$BK$9,ЦТО!#REF!=ЦТО!$BK$10),"Обратить внимание","Отклонений нет")</f>
        <v>#REF!</v>
      </c>
      <c r="U99" s="14" t="e">
        <f>IF(OR(ЦТО!#REF!=ЦТО!$BK$8,ЦТО!#REF!=ЦТО!$BK$9,ЦТО!#REF!=ЦТО!$BK$10),"Обратить внимание","Отклонений нет")</f>
        <v>#REF!</v>
      </c>
      <c r="V99" s="47" t="e">
        <f>IF(OR(ЦТО!#REF!=ЦТО!$BK$8,ЦТО!#REF!=ЦТО!$BK$9,ЦТО!#REF!=ЦТО!$BK$10),"Обратить внимание","Отклонений нет")</f>
        <v>#REF!</v>
      </c>
      <c r="W99" s="47" t="e">
        <f>IF(OR(ЦТО!#REF!=ЦТО!$BK$8,ЦТО!#REF!=ЦТО!$BK$9,ЦТО!#REF!=ЦТО!$BK$10),"Обратить внимание","Отклонений нет")</f>
        <v>#REF!</v>
      </c>
      <c r="X99" s="47" t="e">
        <f>IF(OR(ЦТО!#REF!=ЦТО!$BK$8,ЦТО!#REF!=ЦТО!$BK$9,ЦТО!#REF!=ЦТО!$BK$10),"Обратить внимание","Отклонений нет")</f>
        <v>#REF!</v>
      </c>
    </row>
    <row r="100" spans="1:24" ht="18" customHeight="1">
      <c r="A100" s="10">
        <v>98</v>
      </c>
      <c r="B100" s="14" t="e">
        <f>IF(ЦТО!#REF!="","",ЦТО!#REF!)</f>
        <v>#REF!</v>
      </c>
      <c r="C100" s="14" t="e">
        <f>IF(ЦТО!#REF!="","",ЦТО!#REF!)</f>
        <v>#REF!</v>
      </c>
      <c r="D100" s="36" t="e">
        <f>IF(ЦТО!#REF!="","",ЦТО!#REF!)</f>
        <v>#REF!</v>
      </c>
      <c r="E10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0" s="47" t="e">
        <f>IF(OR(ЦТО!#REF!=ЦТО!$BK$8,ЦТО!#REF!=ЦТО!$BK$9,ЦТО!#REF!=ЦТО!$BK$10),"Обратить внимание","Отклонений нет")</f>
        <v>#REF!</v>
      </c>
      <c r="K100" s="14" t="e">
        <f>IF(OR(ЦТО!#REF!=ЦТО!$BK$8,ЦТО!#REF!=ЦТО!$BK$9,ЦТО!#REF!=ЦТО!$BK$10),"Обратить внимание","Отклонений нет")</f>
        <v>#REF!</v>
      </c>
      <c r="L100" s="14" t="e">
        <f>IF(OR(ЦТО!#REF!=ЦТО!$BK$8,ЦТО!#REF!=ЦТО!$BK$9,ЦТО!#REF!=ЦТО!$BK$10),"Обратить внимание","Отклонений нет")</f>
        <v>#REF!</v>
      </c>
      <c r="M100" s="14" t="e">
        <f>IF(OR(ЦТО!#REF!=ЦТО!$BK$8,ЦТО!#REF!=ЦТО!$BK$9,ЦТО!#REF!=ЦТО!$BK$10),"Обратить внимание","Отклонений нет")</f>
        <v>#REF!</v>
      </c>
      <c r="N100" s="14" t="e">
        <f>IF(OR(ЦТО!#REF!=ЦТО!$BK$8,ЦТО!#REF!=ЦТО!$BK$9,ЦТО!#REF!=ЦТО!$BK$10),"Обратить внимание","Отклонений нет")</f>
        <v>#REF!</v>
      </c>
      <c r="O100" s="14" t="e">
        <f>IF(OR(ЦТО!#REF!=ЦТО!$BK$8,ЦТО!#REF!=ЦТО!$BK$9,ЦТО!#REF!=ЦТО!$BK$10),"Обратить внимание","Отклонений нет")</f>
        <v>#REF!</v>
      </c>
      <c r="P100" s="14" t="e">
        <f>IF(OR(ЦТО!#REF!=ЦТО!$BK$8,ЦТО!#REF!=ЦТО!$BK$9,ЦТО!#REF!=ЦТО!$BK$10),"Обратить внимание","Отклонений нет")</f>
        <v>#REF!</v>
      </c>
      <c r="Q100" s="14" t="e">
        <f>IF(OR(ЦТО!#REF!=ЦТО!$BK$8,ЦТО!#REF!=ЦТО!$BK$9,ЦТО!#REF!=ЦТО!$BK$10),"Обратить внимание","Отклонений нет")</f>
        <v>#REF!</v>
      </c>
      <c r="R100" s="14" t="e">
        <f>IF(OR(ЦТО!#REF!=ЦТО!$BK$8,ЦТО!#REF!=ЦТО!$BK$9,ЦТО!#REF!=ЦТО!$BK$10),"Обратить внимание","Отклонений нет")</f>
        <v>#REF!</v>
      </c>
      <c r="S100" s="14" t="e">
        <f>IF(OR(ЦТО!#REF!=ЦТО!$BK$8,ЦТО!#REF!=ЦТО!$BK$9,ЦТО!#REF!=ЦТО!$BK$10),"Обратить внимание","Отклонений нет")</f>
        <v>#REF!</v>
      </c>
      <c r="T100" s="14" t="e">
        <f>IF(OR(ЦТО!#REF!=ЦТО!$BK$8,ЦТО!#REF!=ЦТО!$BK$9,ЦТО!#REF!=ЦТО!$BK$10),"Обратить внимание","Отклонений нет")</f>
        <v>#REF!</v>
      </c>
      <c r="U100" s="14" t="e">
        <f>IF(OR(ЦТО!#REF!=ЦТО!$BK$8,ЦТО!#REF!=ЦТО!$BK$9,ЦТО!#REF!=ЦТО!$BK$10),"Обратить внимание","Отклонений нет")</f>
        <v>#REF!</v>
      </c>
      <c r="V100" s="47" t="e">
        <f>IF(OR(ЦТО!#REF!=ЦТО!$BK$8,ЦТО!#REF!=ЦТО!$BK$9,ЦТО!#REF!=ЦТО!$BK$10),"Обратить внимание","Отклонений нет")</f>
        <v>#REF!</v>
      </c>
      <c r="W100" s="47" t="e">
        <f>IF(OR(ЦТО!#REF!=ЦТО!$BK$8,ЦТО!#REF!=ЦТО!$BK$9,ЦТО!#REF!=ЦТО!$BK$10),"Обратить внимание","Отклонений нет")</f>
        <v>#REF!</v>
      </c>
      <c r="X100" s="47" t="e">
        <f>IF(OR(ЦТО!#REF!=ЦТО!$BK$8,ЦТО!#REF!=ЦТО!$BK$9,ЦТО!#REF!=ЦТО!$BK$10),"Обратить внимание","Отклонений нет")</f>
        <v>#REF!</v>
      </c>
    </row>
    <row r="101" spans="1:24" ht="18" customHeight="1">
      <c r="A101" s="10">
        <v>99</v>
      </c>
      <c r="B101" s="14" t="e">
        <f>IF(ЦТО!#REF!="","",ЦТО!#REF!)</f>
        <v>#REF!</v>
      </c>
      <c r="C101" s="14" t="e">
        <f>IF(ЦТО!#REF!="","",ЦТО!#REF!)</f>
        <v>#REF!</v>
      </c>
      <c r="D101" s="36" t="e">
        <f>IF(ЦТО!#REF!="","",ЦТО!#REF!)</f>
        <v>#REF!</v>
      </c>
      <c r="E10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1" s="47" t="e">
        <f>IF(OR(ЦТО!#REF!=ЦТО!$BK$8,ЦТО!#REF!=ЦТО!$BK$9,ЦТО!#REF!=ЦТО!$BK$10),"Обратить внимание","Отклонений нет")</f>
        <v>#REF!</v>
      </c>
      <c r="K101" s="14" t="e">
        <f>IF(OR(ЦТО!#REF!=ЦТО!$BK$8,ЦТО!#REF!=ЦТО!$BK$9,ЦТО!#REF!=ЦТО!$BK$10),"Обратить внимание","Отклонений нет")</f>
        <v>#REF!</v>
      </c>
      <c r="L101" s="14" t="e">
        <f>IF(OR(ЦТО!#REF!=ЦТО!$BK$8,ЦТО!#REF!=ЦТО!$BK$9,ЦТО!#REF!=ЦТО!$BK$10),"Обратить внимание","Отклонений нет")</f>
        <v>#REF!</v>
      </c>
      <c r="M101" s="14" t="e">
        <f>IF(OR(ЦТО!#REF!=ЦТО!$BK$8,ЦТО!#REF!=ЦТО!$BK$9,ЦТО!#REF!=ЦТО!$BK$10),"Обратить внимание","Отклонений нет")</f>
        <v>#REF!</v>
      </c>
      <c r="N101" s="14" t="e">
        <f>IF(OR(ЦТО!#REF!=ЦТО!$BK$8,ЦТО!#REF!=ЦТО!$BK$9,ЦТО!#REF!=ЦТО!$BK$10),"Обратить внимание","Отклонений нет")</f>
        <v>#REF!</v>
      </c>
      <c r="O101" s="14" t="e">
        <f>IF(OR(ЦТО!#REF!=ЦТО!$BK$8,ЦТО!#REF!=ЦТО!$BK$9,ЦТО!#REF!=ЦТО!$BK$10),"Обратить внимание","Отклонений нет")</f>
        <v>#REF!</v>
      </c>
      <c r="P101" s="14" t="e">
        <f>IF(OR(ЦТО!#REF!=ЦТО!$BK$8,ЦТО!#REF!=ЦТО!$BK$9,ЦТО!#REF!=ЦТО!$BK$10),"Обратить внимание","Отклонений нет")</f>
        <v>#REF!</v>
      </c>
      <c r="Q101" s="14" t="e">
        <f>IF(OR(ЦТО!#REF!=ЦТО!$BK$8,ЦТО!#REF!=ЦТО!$BK$9,ЦТО!#REF!=ЦТО!$BK$10),"Обратить внимание","Отклонений нет")</f>
        <v>#REF!</v>
      </c>
      <c r="R101" s="14" t="e">
        <f>IF(OR(ЦТО!#REF!=ЦТО!$BK$8,ЦТО!#REF!=ЦТО!$BK$9,ЦТО!#REF!=ЦТО!$BK$10),"Обратить внимание","Отклонений нет")</f>
        <v>#REF!</v>
      </c>
      <c r="S101" s="14" t="e">
        <f>IF(OR(ЦТО!#REF!=ЦТО!$BK$8,ЦТО!#REF!=ЦТО!$BK$9,ЦТО!#REF!=ЦТО!$BK$10),"Обратить внимание","Отклонений нет")</f>
        <v>#REF!</v>
      </c>
      <c r="T101" s="14" t="e">
        <f>IF(OR(ЦТО!#REF!=ЦТО!$BK$8,ЦТО!#REF!=ЦТО!$BK$9,ЦТО!#REF!=ЦТО!$BK$10),"Обратить внимание","Отклонений нет")</f>
        <v>#REF!</v>
      </c>
      <c r="U101" s="14" t="e">
        <f>IF(OR(ЦТО!#REF!=ЦТО!$BK$8,ЦТО!#REF!=ЦТО!$BK$9,ЦТО!#REF!=ЦТО!$BK$10),"Обратить внимание","Отклонений нет")</f>
        <v>#REF!</v>
      </c>
      <c r="V101" s="47" t="e">
        <f>IF(OR(ЦТО!#REF!=ЦТО!$BK$8,ЦТО!#REF!=ЦТО!$BK$9,ЦТО!#REF!=ЦТО!$BK$10),"Обратить внимание","Отклонений нет")</f>
        <v>#REF!</v>
      </c>
      <c r="W101" s="47" t="e">
        <f>IF(OR(ЦТО!#REF!=ЦТО!$BK$8,ЦТО!#REF!=ЦТО!$BK$9,ЦТО!#REF!=ЦТО!$BK$10),"Обратить внимание","Отклонений нет")</f>
        <v>#REF!</v>
      </c>
      <c r="X101" s="47" t="e">
        <f>IF(OR(ЦТО!#REF!=ЦТО!$BK$8,ЦТО!#REF!=ЦТО!$BK$9,ЦТО!#REF!=ЦТО!$BK$10),"Обратить внимание","Отклонений нет")</f>
        <v>#REF!</v>
      </c>
    </row>
    <row r="102" spans="1:24" ht="18" customHeight="1">
      <c r="A102" s="10">
        <v>100</v>
      </c>
      <c r="B102" s="14" t="e">
        <f>IF(ЦТО!#REF!="","",ЦТО!#REF!)</f>
        <v>#REF!</v>
      </c>
      <c r="C102" s="14" t="e">
        <f>IF(ЦТО!#REF!="","",ЦТО!#REF!)</f>
        <v>#REF!</v>
      </c>
      <c r="D102" s="36" t="e">
        <f>IF(ЦТО!#REF!="","",ЦТО!#REF!)</f>
        <v>#REF!</v>
      </c>
      <c r="E10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2" s="47" t="e">
        <f>IF(OR(ЦТО!#REF!=ЦТО!$BK$8,ЦТО!#REF!=ЦТО!$BK$9,ЦТО!#REF!=ЦТО!$BK$10),"Обратить внимание","Отклонений нет")</f>
        <v>#REF!</v>
      </c>
      <c r="K102" s="14" t="e">
        <f>IF(OR(ЦТО!#REF!=ЦТО!$BK$8,ЦТО!#REF!=ЦТО!$BK$9,ЦТО!#REF!=ЦТО!$BK$10),"Обратить внимание","Отклонений нет")</f>
        <v>#REF!</v>
      </c>
      <c r="L102" s="14" t="e">
        <f>IF(OR(ЦТО!#REF!=ЦТО!$BK$8,ЦТО!#REF!=ЦТО!$BK$9,ЦТО!#REF!=ЦТО!$BK$10),"Обратить внимание","Отклонений нет")</f>
        <v>#REF!</v>
      </c>
      <c r="M102" s="14" t="e">
        <f>IF(OR(ЦТО!#REF!=ЦТО!$BK$8,ЦТО!#REF!=ЦТО!$BK$9,ЦТО!#REF!=ЦТО!$BK$10),"Обратить внимание","Отклонений нет")</f>
        <v>#REF!</v>
      </c>
      <c r="N102" s="14" t="e">
        <f>IF(OR(ЦТО!#REF!=ЦТО!$BK$8,ЦТО!#REF!=ЦТО!$BK$9,ЦТО!#REF!=ЦТО!$BK$10),"Обратить внимание","Отклонений нет")</f>
        <v>#REF!</v>
      </c>
      <c r="O102" s="14" t="e">
        <f>IF(OR(ЦТО!#REF!=ЦТО!$BK$8,ЦТО!#REF!=ЦТО!$BK$9,ЦТО!#REF!=ЦТО!$BK$10),"Обратить внимание","Отклонений нет")</f>
        <v>#REF!</v>
      </c>
      <c r="P102" s="14" t="e">
        <f>IF(OR(ЦТО!#REF!=ЦТО!$BK$8,ЦТО!#REF!=ЦТО!$BK$9,ЦТО!#REF!=ЦТО!$BK$10),"Обратить внимание","Отклонений нет")</f>
        <v>#REF!</v>
      </c>
      <c r="Q102" s="14" t="e">
        <f>IF(OR(ЦТО!#REF!=ЦТО!$BK$8,ЦТО!#REF!=ЦТО!$BK$9,ЦТО!#REF!=ЦТО!$BK$10),"Обратить внимание","Отклонений нет")</f>
        <v>#REF!</v>
      </c>
      <c r="R102" s="14" t="e">
        <f>IF(OR(ЦТО!#REF!=ЦТО!$BK$8,ЦТО!#REF!=ЦТО!$BK$9,ЦТО!#REF!=ЦТО!$BK$10),"Обратить внимание","Отклонений нет")</f>
        <v>#REF!</v>
      </c>
      <c r="S102" s="14" t="e">
        <f>IF(OR(ЦТО!#REF!=ЦТО!$BK$8,ЦТО!#REF!=ЦТО!$BK$9,ЦТО!#REF!=ЦТО!$BK$10),"Обратить внимание","Отклонений нет")</f>
        <v>#REF!</v>
      </c>
      <c r="T102" s="14" t="e">
        <f>IF(OR(ЦТО!#REF!=ЦТО!$BK$8,ЦТО!#REF!=ЦТО!$BK$9,ЦТО!#REF!=ЦТО!$BK$10),"Обратить внимание","Отклонений нет")</f>
        <v>#REF!</v>
      </c>
      <c r="U102" s="14" t="e">
        <f>IF(OR(ЦТО!#REF!=ЦТО!$BK$8,ЦТО!#REF!=ЦТО!$BK$9,ЦТО!#REF!=ЦТО!$BK$10),"Обратить внимание","Отклонений нет")</f>
        <v>#REF!</v>
      </c>
      <c r="V102" s="47" t="e">
        <f>IF(OR(ЦТО!#REF!=ЦТО!$BK$8,ЦТО!#REF!=ЦТО!$BK$9,ЦТО!#REF!=ЦТО!$BK$10),"Обратить внимание","Отклонений нет")</f>
        <v>#REF!</v>
      </c>
      <c r="W102" s="47" t="e">
        <f>IF(OR(ЦТО!#REF!=ЦТО!$BK$8,ЦТО!#REF!=ЦТО!$BK$9,ЦТО!#REF!=ЦТО!$BK$10),"Обратить внимание","Отклонений нет")</f>
        <v>#REF!</v>
      </c>
      <c r="X102" s="47" t="e">
        <f>IF(OR(ЦТО!#REF!=ЦТО!$BK$8,ЦТО!#REF!=ЦТО!$BK$9,ЦТО!#REF!=ЦТО!$BK$10),"Обратить внимание","Отклонений нет")</f>
        <v>#REF!</v>
      </c>
    </row>
    <row r="103" spans="1:24" ht="18" customHeight="1">
      <c r="A103" s="10">
        <v>101</v>
      </c>
      <c r="B103" s="14" t="e">
        <f>IF(ЦТО!#REF!="","",ЦТО!#REF!)</f>
        <v>#REF!</v>
      </c>
      <c r="C103" s="14" t="e">
        <f>IF(ЦТО!#REF!="","",ЦТО!#REF!)</f>
        <v>#REF!</v>
      </c>
      <c r="D103" s="36" t="e">
        <f>IF(ЦТО!#REF!="","",ЦТО!#REF!)</f>
        <v>#REF!</v>
      </c>
      <c r="E10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3" s="47" t="e">
        <f>IF(OR(ЦТО!#REF!=ЦТО!$BK$8,ЦТО!#REF!=ЦТО!$BK$9,ЦТО!#REF!=ЦТО!$BK$10),"Обратить внимание","Отклонений нет")</f>
        <v>#REF!</v>
      </c>
      <c r="K103" s="14" t="e">
        <f>IF(OR(ЦТО!#REF!=ЦТО!$BK$8,ЦТО!#REF!=ЦТО!$BK$9,ЦТО!#REF!=ЦТО!$BK$10),"Обратить внимание","Отклонений нет")</f>
        <v>#REF!</v>
      </c>
      <c r="L103" s="14" t="e">
        <f>IF(OR(ЦТО!#REF!=ЦТО!$BK$8,ЦТО!#REF!=ЦТО!$BK$9,ЦТО!#REF!=ЦТО!$BK$10),"Обратить внимание","Отклонений нет")</f>
        <v>#REF!</v>
      </c>
      <c r="M103" s="14" t="e">
        <f>IF(OR(ЦТО!#REF!=ЦТО!$BK$8,ЦТО!#REF!=ЦТО!$BK$9,ЦТО!#REF!=ЦТО!$BK$10),"Обратить внимание","Отклонений нет")</f>
        <v>#REF!</v>
      </c>
      <c r="N103" s="14" t="e">
        <f>IF(OR(ЦТО!#REF!=ЦТО!$BK$8,ЦТО!#REF!=ЦТО!$BK$9,ЦТО!#REF!=ЦТО!$BK$10),"Обратить внимание","Отклонений нет")</f>
        <v>#REF!</v>
      </c>
      <c r="O103" s="14" t="e">
        <f>IF(OR(ЦТО!#REF!=ЦТО!$BK$8,ЦТО!#REF!=ЦТО!$BK$9,ЦТО!#REF!=ЦТО!$BK$10),"Обратить внимание","Отклонений нет")</f>
        <v>#REF!</v>
      </c>
      <c r="P103" s="14" t="e">
        <f>IF(OR(ЦТО!#REF!=ЦТО!$BK$8,ЦТО!#REF!=ЦТО!$BK$9,ЦТО!#REF!=ЦТО!$BK$10),"Обратить внимание","Отклонений нет")</f>
        <v>#REF!</v>
      </c>
      <c r="Q103" s="14" t="e">
        <f>IF(OR(ЦТО!#REF!=ЦТО!$BK$8,ЦТО!#REF!=ЦТО!$BK$9,ЦТО!#REF!=ЦТО!$BK$10),"Обратить внимание","Отклонений нет")</f>
        <v>#REF!</v>
      </c>
      <c r="R103" s="14" t="e">
        <f>IF(OR(ЦТО!#REF!=ЦТО!$BK$8,ЦТО!#REF!=ЦТО!$BK$9,ЦТО!#REF!=ЦТО!$BK$10),"Обратить внимание","Отклонений нет")</f>
        <v>#REF!</v>
      </c>
      <c r="S103" s="14" t="e">
        <f>IF(OR(ЦТО!#REF!=ЦТО!$BK$8,ЦТО!#REF!=ЦТО!$BK$9,ЦТО!#REF!=ЦТО!$BK$10),"Обратить внимание","Отклонений нет")</f>
        <v>#REF!</v>
      </c>
      <c r="T103" s="14" t="e">
        <f>IF(OR(ЦТО!#REF!=ЦТО!$BK$8,ЦТО!#REF!=ЦТО!$BK$9,ЦТО!#REF!=ЦТО!$BK$10),"Обратить внимание","Отклонений нет")</f>
        <v>#REF!</v>
      </c>
      <c r="U103" s="14" t="e">
        <f>IF(OR(ЦТО!#REF!=ЦТО!$BK$8,ЦТО!#REF!=ЦТО!$BK$9,ЦТО!#REF!=ЦТО!$BK$10),"Обратить внимание","Отклонений нет")</f>
        <v>#REF!</v>
      </c>
      <c r="V103" s="47" t="e">
        <f>IF(OR(ЦТО!#REF!=ЦТО!$BK$8,ЦТО!#REF!=ЦТО!$BK$9,ЦТО!#REF!=ЦТО!$BK$10),"Обратить внимание","Отклонений нет")</f>
        <v>#REF!</v>
      </c>
      <c r="W103" s="47" t="e">
        <f>IF(OR(ЦТО!#REF!=ЦТО!$BK$8,ЦТО!#REF!=ЦТО!$BK$9,ЦТО!#REF!=ЦТО!$BK$10),"Обратить внимание","Отклонений нет")</f>
        <v>#REF!</v>
      </c>
      <c r="X103" s="47" t="e">
        <f>IF(OR(ЦТО!#REF!=ЦТО!$BK$8,ЦТО!#REF!=ЦТО!$BK$9,ЦТО!#REF!=ЦТО!$BK$10),"Обратить внимание","Отклонений нет")</f>
        <v>#REF!</v>
      </c>
    </row>
    <row r="104" spans="1:24" ht="18" customHeight="1">
      <c r="A104" s="10">
        <v>102</v>
      </c>
      <c r="B104" s="14" t="e">
        <f>IF(ЦТО!#REF!="","",ЦТО!#REF!)</f>
        <v>#REF!</v>
      </c>
      <c r="C104" s="14" t="e">
        <f>IF(ЦТО!#REF!="","",ЦТО!#REF!)</f>
        <v>#REF!</v>
      </c>
      <c r="D104" s="36" t="e">
        <f>IF(ЦТО!#REF!="","",ЦТО!#REF!)</f>
        <v>#REF!</v>
      </c>
      <c r="E10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4" s="47" t="e">
        <f>IF(OR(ЦТО!#REF!=ЦТО!$BK$8,ЦТО!#REF!=ЦТО!$BK$9,ЦТО!#REF!=ЦТО!$BK$10),"Обратить внимание","Отклонений нет")</f>
        <v>#REF!</v>
      </c>
      <c r="K104" s="14" t="e">
        <f>IF(OR(ЦТО!#REF!=ЦТО!$BK$8,ЦТО!#REF!=ЦТО!$BK$9,ЦТО!#REF!=ЦТО!$BK$10),"Обратить внимание","Отклонений нет")</f>
        <v>#REF!</v>
      </c>
      <c r="L104" s="14" t="e">
        <f>IF(OR(ЦТО!#REF!=ЦТО!$BK$8,ЦТО!#REF!=ЦТО!$BK$9,ЦТО!#REF!=ЦТО!$BK$10),"Обратить внимание","Отклонений нет")</f>
        <v>#REF!</v>
      </c>
      <c r="M104" s="14" t="e">
        <f>IF(OR(ЦТО!#REF!=ЦТО!$BK$8,ЦТО!#REF!=ЦТО!$BK$9,ЦТО!#REF!=ЦТО!$BK$10),"Обратить внимание","Отклонений нет")</f>
        <v>#REF!</v>
      </c>
      <c r="N104" s="14" t="e">
        <f>IF(OR(ЦТО!#REF!=ЦТО!$BK$8,ЦТО!#REF!=ЦТО!$BK$9,ЦТО!#REF!=ЦТО!$BK$10),"Обратить внимание","Отклонений нет")</f>
        <v>#REF!</v>
      </c>
      <c r="O104" s="14" t="e">
        <f>IF(OR(ЦТО!#REF!=ЦТО!$BK$8,ЦТО!#REF!=ЦТО!$BK$9,ЦТО!#REF!=ЦТО!$BK$10),"Обратить внимание","Отклонений нет")</f>
        <v>#REF!</v>
      </c>
      <c r="P104" s="14" t="e">
        <f>IF(OR(ЦТО!#REF!=ЦТО!$BK$8,ЦТО!#REF!=ЦТО!$BK$9,ЦТО!#REF!=ЦТО!$BK$10),"Обратить внимание","Отклонений нет")</f>
        <v>#REF!</v>
      </c>
      <c r="Q104" s="14" t="e">
        <f>IF(OR(ЦТО!#REF!=ЦТО!$BK$8,ЦТО!#REF!=ЦТО!$BK$9,ЦТО!#REF!=ЦТО!$BK$10),"Обратить внимание","Отклонений нет")</f>
        <v>#REF!</v>
      </c>
      <c r="R104" s="14" t="e">
        <f>IF(OR(ЦТО!#REF!=ЦТО!$BK$8,ЦТО!#REF!=ЦТО!$BK$9,ЦТО!#REF!=ЦТО!$BK$10),"Обратить внимание","Отклонений нет")</f>
        <v>#REF!</v>
      </c>
      <c r="S104" s="14" t="e">
        <f>IF(OR(ЦТО!#REF!=ЦТО!$BK$8,ЦТО!#REF!=ЦТО!$BK$9,ЦТО!#REF!=ЦТО!$BK$10),"Обратить внимание","Отклонений нет")</f>
        <v>#REF!</v>
      </c>
      <c r="T104" s="14" t="e">
        <f>IF(OR(ЦТО!#REF!=ЦТО!$BK$8,ЦТО!#REF!=ЦТО!$BK$9,ЦТО!#REF!=ЦТО!$BK$10),"Обратить внимание","Отклонений нет")</f>
        <v>#REF!</v>
      </c>
      <c r="U104" s="14" t="e">
        <f>IF(OR(ЦТО!#REF!=ЦТО!$BK$8,ЦТО!#REF!=ЦТО!$BK$9,ЦТО!#REF!=ЦТО!$BK$10),"Обратить внимание","Отклонений нет")</f>
        <v>#REF!</v>
      </c>
      <c r="V104" s="47" t="e">
        <f>IF(OR(ЦТО!#REF!=ЦТО!$BK$8,ЦТО!#REF!=ЦТО!$BK$9,ЦТО!#REF!=ЦТО!$BK$10),"Обратить внимание","Отклонений нет")</f>
        <v>#REF!</v>
      </c>
      <c r="W104" s="47" t="e">
        <f>IF(OR(ЦТО!#REF!=ЦТО!$BK$8,ЦТО!#REF!=ЦТО!$BK$9,ЦТО!#REF!=ЦТО!$BK$10),"Обратить внимание","Отклонений нет")</f>
        <v>#REF!</v>
      </c>
      <c r="X104" s="47" t="e">
        <f>IF(OR(ЦТО!#REF!=ЦТО!$BK$8,ЦТО!#REF!=ЦТО!$BK$9,ЦТО!#REF!=ЦТО!$BK$10),"Обратить внимание","Отклонений нет")</f>
        <v>#REF!</v>
      </c>
    </row>
    <row r="105" spans="1:24" ht="18" customHeight="1">
      <c r="A105" s="10">
        <v>103</v>
      </c>
      <c r="B105" s="14" t="e">
        <f>IF(ЦТО!#REF!="","",ЦТО!#REF!)</f>
        <v>#REF!</v>
      </c>
      <c r="C105" s="14" t="e">
        <f>IF(ЦТО!#REF!="","",ЦТО!#REF!)</f>
        <v>#REF!</v>
      </c>
      <c r="D105" s="36" t="e">
        <f>IF(ЦТО!#REF!="","",ЦТО!#REF!)</f>
        <v>#REF!</v>
      </c>
      <c r="E10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5" s="47" t="e">
        <f>IF(OR(ЦТО!#REF!=ЦТО!$BK$8,ЦТО!#REF!=ЦТО!$BK$9,ЦТО!#REF!=ЦТО!$BK$10),"Обратить внимание","Отклонений нет")</f>
        <v>#REF!</v>
      </c>
      <c r="K105" s="14" t="e">
        <f>IF(OR(ЦТО!#REF!=ЦТО!$BK$8,ЦТО!#REF!=ЦТО!$BK$9,ЦТО!#REF!=ЦТО!$BK$10),"Обратить внимание","Отклонений нет")</f>
        <v>#REF!</v>
      </c>
      <c r="L105" s="14" t="e">
        <f>IF(OR(ЦТО!#REF!=ЦТО!$BK$8,ЦТО!#REF!=ЦТО!$BK$9,ЦТО!#REF!=ЦТО!$BK$10),"Обратить внимание","Отклонений нет")</f>
        <v>#REF!</v>
      </c>
      <c r="M105" s="14" t="e">
        <f>IF(OR(ЦТО!#REF!=ЦТО!$BK$8,ЦТО!#REF!=ЦТО!$BK$9,ЦТО!#REF!=ЦТО!$BK$10),"Обратить внимание","Отклонений нет")</f>
        <v>#REF!</v>
      </c>
      <c r="N105" s="14" t="e">
        <f>IF(OR(ЦТО!#REF!=ЦТО!$BK$8,ЦТО!#REF!=ЦТО!$BK$9,ЦТО!#REF!=ЦТО!$BK$10),"Обратить внимание","Отклонений нет")</f>
        <v>#REF!</v>
      </c>
      <c r="O105" s="14" t="e">
        <f>IF(OR(ЦТО!#REF!=ЦТО!$BK$8,ЦТО!#REF!=ЦТО!$BK$9,ЦТО!#REF!=ЦТО!$BK$10),"Обратить внимание","Отклонений нет")</f>
        <v>#REF!</v>
      </c>
      <c r="P105" s="14" t="e">
        <f>IF(OR(ЦТО!#REF!=ЦТО!$BK$8,ЦТО!#REF!=ЦТО!$BK$9,ЦТО!#REF!=ЦТО!$BK$10),"Обратить внимание","Отклонений нет")</f>
        <v>#REF!</v>
      </c>
      <c r="Q105" s="14" t="e">
        <f>IF(OR(ЦТО!#REF!=ЦТО!$BK$8,ЦТО!#REF!=ЦТО!$BK$9,ЦТО!#REF!=ЦТО!$BK$10),"Обратить внимание","Отклонений нет")</f>
        <v>#REF!</v>
      </c>
      <c r="R105" s="14" t="e">
        <f>IF(OR(ЦТО!#REF!=ЦТО!$BK$8,ЦТО!#REF!=ЦТО!$BK$9,ЦТО!#REF!=ЦТО!$BK$10),"Обратить внимание","Отклонений нет")</f>
        <v>#REF!</v>
      </c>
      <c r="S105" s="14" t="e">
        <f>IF(OR(ЦТО!#REF!=ЦТО!$BK$8,ЦТО!#REF!=ЦТО!$BK$9,ЦТО!#REF!=ЦТО!$BK$10),"Обратить внимание","Отклонений нет")</f>
        <v>#REF!</v>
      </c>
      <c r="T105" s="14" t="e">
        <f>IF(OR(ЦТО!#REF!=ЦТО!$BK$8,ЦТО!#REF!=ЦТО!$BK$9,ЦТО!#REF!=ЦТО!$BK$10),"Обратить внимание","Отклонений нет")</f>
        <v>#REF!</v>
      </c>
      <c r="U105" s="14" t="e">
        <f>IF(OR(ЦТО!#REF!=ЦТО!$BK$8,ЦТО!#REF!=ЦТО!$BK$9,ЦТО!#REF!=ЦТО!$BK$10),"Обратить внимание","Отклонений нет")</f>
        <v>#REF!</v>
      </c>
      <c r="V105" s="47" t="e">
        <f>IF(OR(ЦТО!#REF!=ЦТО!$BK$8,ЦТО!#REF!=ЦТО!$BK$9,ЦТО!#REF!=ЦТО!$BK$10),"Обратить внимание","Отклонений нет")</f>
        <v>#REF!</v>
      </c>
      <c r="W105" s="47" t="e">
        <f>IF(OR(ЦТО!#REF!=ЦТО!$BK$8,ЦТО!#REF!=ЦТО!$BK$9,ЦТО!#REF!=ЦТО!$BK$10),"Обратить внимание","Отклонений нет")</f>
        <v>#REF!</v>
      </c>
      <c r="X105" s="47" t="e">
        <f>IF(OR(ЦТО!#REF!=ЦТО!$BK$8,ЦТО!#REF!=ЦТО!$BK$9,ЦТО!#REF!=ЦТО!$BK$10),"Обратить внимание","Отклонений нет")</f>
        <v>#REF!</v>
      </c>
    </row>
    <row r="106" spans="1:24" ht="18" customHeight="1">
      <c r="A106" s="10">
        <v>104</v>
      </c>
      <c r="B106" s="14" t="e">
        <f>IF(ЦТО!#REF!="","",ЦТО!#REF!)</f>
        <v>#REF!</v>
      </c>
      <c r="C106" s="14" t="e">
        <f>IF(ЦТО!#REF!="","",ЦТО!#REF!)</f>
        <v>#REF!</v>
      </c>
      <c r="D106" s="36" t="e">
        <f>IF(ЦТО!#REF!="","",ЦТО!#REF!)</f>
        <v>#REF!</v>
      </c>
      <c r="E10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6" s="47" t="e">
        <f>IF(OR(ЦТО!#REF!=ЦТО!$BK$8,ЦТО!#REF!=ЦТО!$BK$9,ЦТО!#REF!=ЦТО!$BK$10),"Обратить внимание","Отклонений нет")</f>
        <v>#REF!</v>
      </c>
      <c r="K106" s="14" t="e">
        <f>IF(OR(ЦТО!#REF!=ЦТО!$BK$8,ЦТО!#REF!=ЦТО!$BK$9,ЦТО!#REF!=ЦТО!$BK$10),"Обратить внимание","Отклонений нет")</f>
        <v>#REF!</v>
      </c>
      <c r="L106" s="14" t="e">
        <f>IF(OR(ЦТО!#REF!=ЦТО!$BK$8,ЦТО!#REF!=ЦТО!$BK$9,ЦТО!#REF!=ЦТО!$BK$10),"Обратить внимание","Отклонений нет")</f>
        <v>#REF!</v>
      </c>
      <c r="M106" s="14" t="e">
        <f>IF(OR(ЦТО!#REF!=ЦТО!$BK$8,ЦТО!#REF!=ЦТО!$BK$9,ЦТО!#REF!=ЦТО!$BK$10),"Обратить внимание","Отклонений нет")</f>
        <v>#REF!</v>
      </c>
      <c r="N106" s="14" t="e">
        <f>IF(OR(ЦТО!#REF!=ЦТО!$BK$8,ЦТО!#REF!=ЦТО!$BK$9,ЦТО!#REF!=ЦТО!$BK$10),"Обратить внимание","Отклонений нет")</f>
        <v>#REF!</v>
      </c>
      <c r="O106" s="14" t="e">
        <f>IF(OR(ЦТО!#REF!=ЦТО!$BK$8,ЦТО!#REF!=ЦТО!$BK$9,ЦТО!#REF!=ЦТО!$BK$10),"Обратить внимание","Отклонений нет")</f>
        <v>#REF!</v>
      </c>
      <c r="P106" s="14" t="e">
        <f>IF(OR(ЦТО!#REF!=ЦТО!$BK$8,ЦТО!#REF!=ЦТО!$BK$9,ЦТО!#REF!=ЦТО!$BK$10),"Обратить внимание","Отклонений нет")</f>
        <v>#REF!</v>
      </c>
      <c r="Q106" s="14" t="e">
        <f>IF(OR(ЦТО!#REF!=ЦТО!$BK$8,ЦТО!#REF!=ЦТО!$BK$9,ЦТО!#REF!=ЦТО!$BK$10),"Обратить внимание","Отклонений нет")</f>
        <v>#REF!</v>
      </c>
      <c r="R106" s="14" t="e">
        <f>IF(OR(ЦТО!#REF!=ЦТО!$BK$8,ЦТО!#REF!=ЦТО!$BK$9,ЦТО!#REF!=ЦТО!$BK$10),"Обратить внимание","Отклонений нет")</f>
        <v>#REF!</v>
      </c>
      <c r="S106" s="14" t="e">
        <f>IF(OR(ЦТО!#REF!=ЦТО!$BK$8,ЦТО!#REF!=ЦТО!$BK$9,ЦТО!#REF!=ЦТО!$BK$10),"Обратить внимание","Отклонений нет")</f>
        <v>#REF!</v>
      </c>
      <c r="T106" s="14" t="e">
        <f>IF(OR(ЦТО!#REF!=ЦТО!$BK$8,ЦТО!#REF!=ЦТО!$BK$9,ЦТО!#REF!=ЦТО!$BK$10),"Обратить внимание","Отклонений нет")</f>
        <v>#REF!</v>
      </c>
      <c r="U106" s="14" t="e">
        <f>IF(OR(ЦТО!#REF!=ЦТО!$BK$8,ЦТО!#REF!=ЦТО!$BK$9,ЦТО!#REF!=ЦТО!$BK$10),"Обратить внимание","Отклонений нет")</f>
        <v>#REF!</v>
      </c>
      <c r="V106" s="47" t="e">
        <f>IF(OR(ЦТО!#REF!=ЦТО!$BK$8,ЦТО!#REF!=ЦТО!$BK$9,ЦТО!#REF!=ЦТО!$BK$10),"Обратить внимание","Отклонений нет")</f>
        <v>#REF!</v>
      </c>
      <c r="W106" s="47" t="e">
        <f>IF(OR(ЦТО!#REF!=ЦТО!$BK$8,ЦТО!#REF!=ЦТО!$BK$9,ЦТО!#REF!=ЦТО!$BK$10),"Обратить внимание","Отклонений нет")</f>
        <v>#REF!</v>
      </c>
      <c r="X106" s="47" t="e">
        <f>IF(OR(ЦТО!#REF!=ЦТО!$BK$8,ЦТО!#REF!=ЦТО!$BK$9,ЦТО!#REF!=ЦТО!$BK$10),"Обратить внимание","Отклонений нет")</f>
        <v>#REF!</v>
      </c>
    </row>
    <row r="107" spans="1:24" ht="18" customHeight="1">
      <c r="A107" s="10">
        <v>105</v>
      </c>
      <c r="B107" s="14" t="e">
        <f>IF(ЦТО!#REF!="","",ЦТО!#REF!)</f>
        <v>#REF!</v>
      </c>
      <c r="C107" s="14" t="e">
        <f>IF(ЦТО!#REF!="","",ЦТО!#REF!)</f>
        <v>#REF!</v>
      </c>
      <c r="D107" s="36" t="e">
        <f>IF(ЦТО!#REF!="","",ЦТО!#REF!)</f>
        <v>#REF!</v>
      </c>
      <c r="E10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7" s="47" t="e">
        <f>IF(OR(ЦТО!#REF!=ЦТО!$BK$8,ЦТО!#REF!=ЦТО!$BK$9,ЦТО!#REF!=ЦТО!$BK$10),"Обратить внимание","Отклонений нет")</f>
        <v>#REF!</v>
      </c>
      <c r="K107" s="14" t="e">
        <f>IF(OR(ЦТО!#REF!=ЦТО!$BK$8,ЦТО!#REF!=ЦТО!$BK$9,ЦТО!#REF!=ЦТО!$BK$10),"Обратить внимание","Отклонений нет")</f>
        <v>#REF!</v>
      </c>
      <c r="L107" s="14" t="e">
        <f>IF(OR(ЦТО!#REF!=ЦТО!$BK$8,ЦТО!#REF!=ЦТО!$BK$9,ЦТО!#REF!=ЦТО!$BK$10),"Обратить внимание","Отклонений нет")</f>
        <v>#REF!</v>
      </c>
      <c r="M107" s="14" t="e">
        <f>IF(OR(ЦТО!#REF!=ЦТО!$BK$8,ЦТО!#REF!=ЦТО!$BK$9,ЦТО!#REF!=ЦТО!$BK$10),"Обратить внимание","Отклонений нет")</f>
        <v>#REF!</v>
      </c>
      <c r="N107" s="14" t="e">
        <f>IF(OR(ЦТО!#REF!=ЦТО!$BK$8,ЦТО!#REF!=ЦТО!$BK$9,ЦТО!#REF!=ЦТО!$BK$10),"Обратить внимание","Отклонений нет")</f>
        <v>#REF!</v>
      </c>
      <c r="O107" s="14" t="e">
        <f>IF(OR(ЦТО!#REF!=ЦТО!$BK$8,ЦТО!#REF!=ЦТО!$BK$9,ЦТО!#REF!=ЦТО!$BK$10),"Обратить внимание","Отклонений нет")</f>
        <v>#REF!</v>
      </c>
      <c r="P107" s="14" t="e">
        <f>IF(OR(ЦТО!#REF!=ЦТО!$BK$8,ЦТО!#REF!=ЦТО!$BK$9,ЦТО!#REF!=ЦТО!$BK$10),"Обратить внимание","Отклонений нет")</f>
        <v>#REF!</v>
      </c>
      <c r="Q107" s="14" t="e">
        <f>IF(OR(ЦТО!#REF!=ЦТО!$BK$8,ЦТО!#REF!=ЦТО!$BK$9,ЦТО!#REF!=ЦТО!$BK$10),"Обратить внимание","Отклонений нет")</f>
        <v>#REF!</v>
      </c>
      <c r="R107" s="14" t="e">
        <f>IF(OR(ЦТО!#REF!=ЦТО!$BK$8,ЦТО!#REF!=ЦТО!$BK$9,ЦТО!#REF!=ЦТО!$BK$10),"Обратить внимание","Отклонений нет")</f>
        <v>#REF!</v>
      </c>
      <c r="S107" s="14" t="e">
        <f>IF(OR(ЦТО!#REF!=ЦТО!$BK$8,ЦТО!#REF!=ЦТО!$BK$9,ЦТО!#REF!=ЦТО!$BK$10),"Обратить внимание","Отклонений нет")</f>
        <v>#REF!</v>
      </c>
      <c r="T107" s="14" t="e">
        <f>IF(OR(ЦТО!#REF!=ЦТО!$BK$8,ЦТО!#REF!=ЦТО!$BK$9,ЦТО!#REF!=ЦТО!$BK$10),"Обратить внимание","Отклонений нет")</f>
        <v>#REF!</v>
      </c>
      <c r="U107" s="14" t="e">
        <f>IF(OR(ЦТО!#REF!=ЦТО!$BK$8,ЦТО!#REF!=ЦТО!$BK$9,ЦТО!#REF!=ЦТО!$BK$10),"Обратить внимание","Отклонений нет")</f>
        <v>#REF!</v>
      </c>
      <c r="V107" s="47" t="e">
        <f>IF(OR(ЦТО!#REF!=ЦТО!$BK$8,ЦТО!#REF!=ЦТО!$BK$9,ЦТО!#REF!=ЦТО!$BK$10),"Обратить внимание","Отклонений нет")</f>
        <v>#REF!</v>
      </c>
      <c r="W107" s="47" t="e">
        <f>IF(OR(ЦТО!#REF!=ЦТО!$BK$8,ЦТО!#REF!=ЦТО!$BK$9,ЦТО!#REF!=ЦТО!$BK$10),"Обратить внимание","Отклонений нет")</f>
        <v>#REF!</v>
      </c>
      <c r="X107" s="47" t="e">
        <f>IF(OR(ЦТО!#REF!=ЦТО!$BK$8,ЦТО!#REF!=ЦТО!$BK$9,ЦТО!#REF!=ЦТО!$BK$10),"Обратить внимание","Отклонений нет")</f>
        <v>#REF!</v>
      </c>
    </row>
    <row r="108" spans="1:24" ht="18" customHeight="1">
      <c r="A108" s="10">
        <v>106</v>
      </c>
      <c r="B108" s="14" t="e">
        <f>IF(ЦТО!#REF!="","",ЦТО!#REF!)</f>
        <v>#REF!</v>
      </c>
      <c r="C108" s="14" t="e">
        <f>IF(ЦТО!#REF!="","",ЦТО!#REF!)</f>
        <v>#REF!</v>
      </c>
      <c r="D108" s="36" t="e">
        <f>IF(ЦТО!#REF!="","",ЦТО!#REF!)</f>
        <v>#REF!</v>
      </c>
      <c r="E10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8" s="47" t="e">
        <f>IF(OR(ЦТО!#REF!=ЦТО!$BK$8,ЦТО!#REF!=ЦТО!$BK$9,ЦТО!#REF!=ЦТО!$BK$10),"Обратить внимание","Отклонений нет")</f>
        <v>#REF!</v>
      </c>
      <c r="K108" s="14" t="e">
        <f>IF(OR(ЦТО!#REF!=ЦТО!$BK$8,ЦТО!#REF!=ЦТО!$BK$9,ЦТО!#REF!=ЦТО!$BK$10),"Обратить внимание","Отклонений нет")</f>
        <v>#REF!</v>
      </c>
      <c r="L108" s="14" t="e">
        <f>IF(OR(ЦТО!#REF!=ЦТО!$BK$8,ЦТО!#REF!=ЦТО!$BK$9,ЦТО!#REF!=ЦТО!$BK$10),"Обратить внимание","Отклонений нет")</f>
        <v>#REF!</v>
      </c>
      <c r="M108" s="14" t="e">
        <f>IF(OR(ЦТО!#REF!=ЦТО!$BK$8,ЦТО!#REF!=ЦТО!$BK$9,ЦТО!#REF!=ЦТО!$BK$10),"Обратить внимание","Отклонений нет")</f>
        <v>#REF!</v>
      </c>
      <c r="N108" s="14" t="e">
        <f>IF(OR(ЦТО!#REF!=ЦТО!$BK$8,ЦТО!#REF!=ЦТО!$BK$9,ЦТО!#REF!=ЦТО!$BK$10),"Обратить внимание","Отклонений нет")</f>
        <v>#REF!</v>
      </c>
      <c r="O108" s="14" t="e">
        <f>IF(OR(ЦТО!#REF!=ЦТО!$BK$8,ЦТО!#REF!=ЦТО!$BK$9,ЦТО!#REF!=ЦТО!$BK$10),"Обратить внимание","Отклонений нет")</f>
        <v>#REF!</v>
      </c>
      <c r="P108" s="14" t="e">
        <f>IF(OR(ЦТО!#REF!=ЦТО!$BK$8,ЦТО!#REF!=ЦТО!$BK$9,ЦТО!#REF!=ЦТО!$BK$10),"Обратить внимание","Отклонений нет")</f>
        <v>#REF!</v>
      </c>
      <c r="Q108" s="14" t="e">
        <f>IF(OR(ЦТО!#REF!=ЦТО!$BK$8,ЦТО!#REF!=ЦТО!$BK$9,ЦТО!#REF!=ЦТО!$BK$10),"Обратить внимание","Отклонений нет")</f>
        <v>#REF!</v>
      </c>
      <c r="R108" s="14" t="e">
        <f>IF(OR(ЦТО!#REF!=ЦТО!$BK$8,ЦТО!#REF!=ЦТО!$BK$9,ЦТО!#REF!=ЦТО!$BK$10),"Обратить внимание","Отклонений нет")</f>
        <v>#REF!</v>
      </c>
      <c r="S108" s="14" t="e">
        <f>IF(OR(ЦТО!#REF!=ЦТО!$BK$8,ЦТО!#REF!=ЦТО!$BK$9,ЦТО!#REF!=ЦТО!$BK$10),"Обратить внимание","Отклонений нет")</f>
        <v>#REF!</v>
      </c>
      <c r="T108" s="14" t="e">
        <f>IF(OR(ЦТО!#REF!=ЦТО!$BK$8,ЦТО!#REF!=ЦТО!$BK$9,ЦТО!#REF!=ЦТО!$BK$10),"Обратить внимание","Отклонений нет")</f>
        <v>#REF!</v>
      </c>
      <c r="U108" s="14" t="e">
        <f>IF(OR(ЦТО!#REF!=ЦТО!$BK$8,ЦТО!#REF!=ЦТО!$BK$9,ЦТО!#REF!=ЦТО!$BK$10),"Обратить внимание","Отклонений нет")</f>
        <v>#REF!</v>
      </c>
      <c r="V108" s="47" t="e">
        <f>IF(OR(ЦТО!#REF!=ЦТО!$BK$8,ЦТО!#REF!=ЦТО!$BK$9,ЦТО!#REF!=ЦТО!$BK$10),"Обратить внимание","Отклонений нет")</f>
        <v>#REF!</v>
      </c>
      <c r="W108" s="47" t="e">
        <f>IF(OR(ЦТО!#REF!=ЦТО!$BK$8,ЦТО!#REF!=ЦТО!$BK$9,ЦТО!#REF!=ЦТО!$BK$10),"Обратить внимание","Отклонений нет")</f>
        <v>#REF!</v>
      </c>
      <c r="X108" s="47" t="e">
        <f>IF(OR(ЦТО!#REF!=ЦТО!$BK$8,ЦТО!#REF!=ЦТО!$BK$9,ЦТО!#REF!=ЦТО!$BK$10),"Обратить внимание","Отклонений нет")</f>
        <v>#REF!</v>
      </c>
    </row>
    <row r="109" spans="1:24" ht="18" customHeight="1">
      <c r="A109" s="10">
        <v>107</v>
      </c>
      <c r="B109" s="14" t="e">
        <f>IF(ЦТО!#REF!="","",ЦТО!#REF!)</f>
        <v>#REF!</v>
      </c>
      <c r="C109" s="14" t="e">
        <f>IF(ЦТО!#REF!="","",ЦТО!#REF!)</f>
        <v>#REF!</v>
      </c>
      <c r="D109" s="36" t="e">
        <f>IF(ЦТО!#REF!="","",ЦТО!#REF!)</f>
        <v>#REF!</v>
      </c>
      <c r="E10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0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0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0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0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09" s="47" t="e">
        <f>IF(OR(ЦТО!#REF!=ЦТО!$BK$8,ЦТО!#REF!=ЦТО!$BK$9,ЦТО!#REF!=ЦТО!$BK$10),"Обратить внимание","Отклонений нет")</f>
        <v>#REF!</v>
      </c>
      <c r="K109" s="14" t="e">
        <f>IF(OR(ЦТО!#REF!=ЦТО!$BK$8,ЦТО!#REF!=ЦТО!$BK$9,ЦТО!#REF!=ЦТО!$BK$10),"Обратить внимание","Отклонений нет")</f>
        <v>#REF!</v>
      </c>
      <c r="L109" s="14" t="e">
        <f>IF(OR(ЦТО!#REF!=ЦТО!$BK$8,ЦТО!#REF!=ЦТО!$BK$9,ЦТО!#REF!=ЦТО!$BK$10),"Обратить внимание","Отклонений нет")</f>
        <v>#REF!</v>
      </c>
      <c r="M109" s="14" t="e">
        <f>IF(OR(ЦТО!#REF!=ЦТО!$BK$8,ЦТО!#REF!=ЦТО!$BK$9,ЦТО!#REF!=ЦТО!$BK$10),"Обратить внимание","Отклонений нет")</f>
        <v>#REF!</v>
      </c>
      <c r="N109" s="14" t="e">
        <f>IF(OR(ЦТО!#REF!=ЦТО!$BK$8,ЦТО!#REF!=ЦТО!$BK$9,ЦТО!#REF!=ЦТО!$BK$10),"Обратить внимание","Отклонений нет")</f>
        <v>#REF!</v>
      </c>
      <c r="O109" s="14" t="e">
        <f>IF(OR(ЦТО!#REF!=ЦТО!$BK$8,ЦТО!#REF!=ЦТО!$BK$9,ЦТО!#REF!=ЦТО!$BK$10),"Обратить внимание","Отклонений нет")</f>
        <v>#REF!</v>
      </c>
      <c r="P109" s="14" t="e">
        <f>IF(OR(ЦТО!#REF!=ЦТО!$BK$8,ЦТО!#REF!=ЦТО!$BK$9,ЦТО!#REF!=ЦТО!$BK$10),"Обратить внимание","Отклонений нет")</f>
        <v>#REF!</v>
      </c>
      <c r="Q109" s="14" t="e">
        <f>IF(OR(ЦТО!#REF!=ЦТО!$BK$8,ЦТО!#REF!=ЦТО!$BK$9,ЦТО!#REF!=ЦТО!$BK$10),"Обратить внимание","Отклонений нет")</f>
        <v>#REF!</v>
      </c>
      <c r="R109" s="14" t="e">
        <f>IF(OR(ЦТО!#REF!=ЦТО!$BK$8,ЦТО!#REF!=ЦТО!$BK$9,ЦТО!#REF!=ЦТО!$BK$10),"Обратить внимание","Отклонений нет")</f>
        <v>#REF!</v>
      </c>
      <c r="S109" s="14" t="e">
        <f>IF(OR(ЦТО!#REF!=ЦТО!$BK$8,ЦТО!#REF!=ЦТО!$BK$9,ЦТО!#REF!=ЦТО!$BK$10),"Обратить внимание","Отклонений нет")</f>
        <v>#REF!</v>
      </c>
      <c r="T109" s="14" t="e">
        <f>IF(OR(ЦТО!#REF!=ЦТО!$BK$8,ЦТО!#REF!=ЦТО!$BK$9,ЦТО!#REF!=ЦТО!$BK$10),"Обратить внимание","Отклонений нет")</f>
        <v>#REF!</v>
      </c>
      <c r="U109" s="14" t="e">
        <f>IF(OR(ЦТО!#REF!=ЦТО!$BK$8,ЦТО!#REF!=ЦТО!$BK$9,ЦТО!#REF!=ЦТО!$BK$10),"Обратить внимание","Отклонений нет")</f>
        <v>#REF!</v>
      </c>
      <c r="V109" s="47" t="e">
        <f>IF(OR(ЦТО!#REF!=ЦТО!$BK$8,ЦТО!#REF!=ЦТО!$BK$9,ЦТО!#REF!=ЦТО!$BK$10),"Обратить внимание","Отклонений нет")</f>
        <v>#REF!</v>
      </c>
      <c r="W109" s="47" t="e">
        <f>IF(OR(ЦТО!#REF!=ЦТО!$BK$8,ЦТО!#REF!=ЦТО!$BK$9,ЦТО!#REF!=ЦТО!$BK$10),"Обратить внимание","Отклонений нет")</f>
        <v>#REF!</v>
      </c>
      <c r="X109" s="47" t="e">
        <f>IF(OR(ЦТО!#REF!=ЦТО!$BK$8,ЦТО!#REF!=ЦТО!$BK$9,ЦТО!#REF!=ЦТО!$BK$10),"Обратить внимание","Отклонений нет")</f>
        <v>#REF!</v>
      </c>
    </row>
    <row r="110" spans="1:24" ht="18" customHeight="1">
      <c r="A110" s="10">
        <v>108</v>
      </c>
      <c r="B110" s="14" t="e">
        <f>IF(ЦТО!#REF!="","",ЦТО!#REF!)</f>
        <v>#REF!</v>
      </c>
      <c r="C110" s="14" t="e">
        <f>IF(ЦТО!#REF!="","",ЦТО!#REF!)</f>
        <v>#REF!</v>
      </c>
      <c r="D110" s="36" t="e">
        <f>IF(ЦТО!#REF!="","",ЦТО!#REF!)</f>
        <v>#REF!</v>
      </c>
      <c r="E11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0" s="47" t="e">
        <f>IF(OR(ЦТО!#REF!=ЦТО!$BK$8,ЦТО!#REF!=ЦТО!$BK$9,ЦТО!#REF!=ЦТО!$BK$10),"Обратить внимание","Отклонений нет")</f>
        <v>#REF!</v>
      </c>
      <c r="K110" s="14" t="e">
        <f>IF(OR(ЦТО!#REF!=ЦТО!$BK$8,ЦТО!#REF!=ЦТО!$BK$9,ЦТО!#REF!=ЦТО!$BK$10),"Обратить внимание","Отклонений нет")</f>
        <v>#REF!</v>
      </c>
      <c r="L110" s="14" t="e">
        <f>IF(OR(ЦТО!#REF!=ЦТО!$BK$8,ЦТО!#REF!=ЦТО!$BK$9,ЦТО!#REF!=ЦТО!$BK$10),"Обратить внимание","Отклонений нет")</f>
        <v>#REF!</v>
      </c>
      <c r="M110" s="14" t="e">
        <f>IF(OR(ЦТО!#REF!=ЦТО!$BK$8,ЦТО!#REF!=ЦТО!$BK$9,ЦТО!#REF!=ЦТО!$BK$10),"Обратить внимание","Отклонений нет")</f>
        <v>#REF!</v>
      </c>
      <c r="N110" s="14" t="e">
        <f>IF(OR(ЦТО!#REF!=ЦТО!$BK$8,ЦТО!#REF!=ЦТО!$BK$9,ЦТО!#REF!=ЦТО!$BK$10),"Обратить внимание","Отклонений нет")</f>
        <v>#REF!</v>
      </c>
      <c r="O110" s="14" t="e">
        <f>IF(OR(ЦТО!#REF!=ЦТО!$BK$8,ЦТО!#REF!=ЦТО!$BK$9,ЦТО!#REF!=ЦТО!$BK$10),"Обратить внимание","Отклонений нет")</f>
        <v>#REF!</v>
      </c>
      <c r="P110" s="14" t="e">
        <f>IF(OR(ЦТО!#REF!=ЦТО!$BK$8,ЦТО!#REF!=ЦТО!$BK$9,ЦТО!#REF!=ЦТО!$BK$10),"Обратить внимание","Отклонений нет")</f>
        <v>#REF!</v>
      </c>
      <c r="Q110" s="14" t="e">
        <f>IF(OR(ЦТО!#REF!=ЦТО!$BK$8,ЦТО!#REF!=ЦТО!$BK$9,ЦТО!#REF!=ЦТО!$BK$10),"Обратить внимание","Отклонений нет")</f>
        <v>#REF!</v>
      </c>
      <c r="R110" s="14" t="e">
        <f>IF(OR(ЦТО!#REF!=ЦТО!$BK$8,ЦТО!#REF!=ЦТО!$BK$9,ЦТО!#REF!=ЦТО!$BK$10),"Обратить внимание","Отклонений нет")</f>
        <v>#REF!</v>
      </c>
      <c r="S110" s="14" t="e">
        <f>IF(OR(ЦТО!#REF!=ЦТО!$BK$8,ЦТО!#REF!=ЦТО!$BK$9,ЦТО!#REF!=ЦТО!$BK$10),"Обратить внимание","Отклонений нет")</f>
        <v>#REF!</v>
      </c>
      <c r="T110" s="14" t="e">
        <f>IF(OR(ЦТО!#REF!=ЦТО!$BK$8,ЦТО!#REF!=ЦТО!$BK$9,ЦТО!#REF!=ЦТО!$BK$10),"Обратить внимание","Отклонений нет")</f>
        <v>#REF!</v>
      </c>
      <c r="U110" s="14" t="e">
        <f>IF(OR(ЦТО!#REF!=ЦТО!$BK$8,ЦТО!#REF!=ЦТО!$BK$9,ЦТО!#REF!=ЦТО!$BK$10),"Обратить внимание","Отклонений нет")</f>
        <v>#REF!</v>
      </c>
      <c r="V110" s="47" t="e">
        <f>IF(OR(ЦТО!#REF!=ЦТО!$BK$8,ЦТО!#REF!=ЦТО!$BK$9,ЦТО!#REF!=ЦТО!$BK$10),"Обратить внимание","Отклонений нет")</f>
        <v>#REF!</v>
      </c>
      <c r="W110" s="47" t="e">
        <f>IF(OR(ЦТО!#REF!=ЦТО!$BK$8,ЦТО!#REF!=ЦТО!$BK$9,ЦТО!#REF!=ЦТО!$BK$10),"Обратить внимание","Отклонений нет")</f>
        <v>#REF!</v>
      </c>
      <c r="X110" s="47" t="e">
        <f>IF(OR(ЦТО!#REF!=ЦТО!$BK$8,ЦТО!#REF!=ЦТО!$BK$9,ЦТО!#REF!=ЦТО!$BK$10),"Обратить внимание","Отклонений нет")</f>
        <v>#REF!</v>
      </c>
    </row>
    <row r="111" spans="1:24" ht="18" customHeight="1">
      <c r="A111" s="10">
        <v>109</v>
      </c>
      <c r="B111" s="14" t="e">
        <f>IF(ЦТО!#REF!="","",ЦТО!#REF!)</f>
        <v>#REF!</v>
      </c>
      <c r="C111" s="14" t="e">
        <f>IF(ЦТО!#REF!="","",ЦТО!#REF!)</f>
        <v>#REF!</v>
      </c>
      <c r="D111" s="36" t="e">
        <f>IF(ЦТО!#REF!="","",ЦТО!#REF!)</f>
        <v>#REF!</v>
      </c>
      <c r="E11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1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1" s="47" t="e">
        <f>IF(OR(ЦТО!#REF!=ЦТО!$BK$8,ЦТО!#REF!=ЦТО!$BK$9,ЦТО!#REF!=ЦТО!$BK$10),"Обратить внимание","Отклонений нет")</f>
        <v>#REF!</v>
      </c>
      <c r="K111" s="14" t="e">
        <f>IF(OR(ЦТО!#REF!=ЦТО!$BK$8,ЦТО!#REF!=ЦТО!$BK$9,ЦТО!#REF!=ЦТО!$BK$10),"Обратить внимание","Отклонений нет")</f>
        <v>#REF!</v>
      </c>
      <c r="L111" s="14" t="e">
        <f>IF(OR(ЦТО!#REF!=ЦТО!$BK$8,ЦТО!#REF!=ЦТО!$BK$9,ЦТО!#REF!=ЦТО!$BK$10),"Обратить внимание","Отклонений нет")</f>
        <v>#REF!</v>
      </c>
      <c r="M111" s="14" t="e">
        <f>IF(OR(ЦТО!#REF!=ЦТО!$BK$8,ЦТО!#REF!=ЦТО!$BK$9,ЦТО!#REF!=ЦТО!$BK$10),"Обратить внимание","Отклонений нет")</f>
        <v>#REF!</v>
      </c>
      <c r="N111" s="14" t="e">
        <f>IF(OR(ЦТО!#REF!=ЦТО!$BK$8,ЦТО!#REF!=ЦТО!$BK$9,ЦТО!#REF!=ЦТО!$BK$10),"Обратить внимание","Отклонений нет")</f>
        <v>#REF!</v>
      </c>
      <c r="O111" s="14" t="e">
        <f>IF(OR(ЦТО!#REF!=ЦТО!$BK$8,ЦТО!#REF!=ЦТО!$BK$9,ЦТО!#REF!=ЦТО!$BK$10),"Обратить внимание","Отклонений нет")</f>
        <v>#REF!</v>
      </c>
      <c r="P111" s="14" t="e">
        <f>IF(OR(ЦТО!#REF!=ЦТО!$BK$8,ЦТО!#REF!=ЦТО!$BK$9,ЦТО!#REF!=ЦТО!$BK$10),"Обратить внимание","Отклонений нет")</f>
        <v>#REF!</v>
      </c>
      <c r="Q111" s="14" t="e">
        <f>IF(OR(ЦТО!#REF!=ЦТО!$BK$8,ЦТО!#REF!=ЦТО!$BK$9,ЦТО!#REF!=ЦТО!$BK$10),"Обратить внимание","Отклонений нет")</f>
        <v>#REF!</v>
      </c>
      <c r="R111" s="14" t="e">
        <f>IF(OR(ЦТО!#REF!=ЦТО!$BK$8,ЦТО!#REF!=ЦТО!$BK$9,ЦТО!#REF!=ЦТО!$BK$10),"Обратить внимание","Отклонений нет")</f>
        <v>#REF!</v>
      </c>
      <c r="S111" s="14" t="e">
        <f>IF(OR(ЦТО!#REF!=ЦТО!$BK$8,ЦТО!#REF!=ЦТО!$BK$9,ЦТО!#REF!=ЦТО!$BK$10),"Обратить внимание","Отклонений нет")</f>
        <v>#REF!</v>
      </c>
      <c r="T111" s="14" t="e">
        <f>IF(OR(ЦТО!#REF!=ЦТО!$BK$8,ЦТО!#REF!=ЦТО!$BK$9,ЦТО!#REF!=ЦТО!$BK$10),"Обратить внимание","Отклонений нет")</f>
        <v>#REF!</v>
      </c>
      <c r="U111" s="14" t="e">
        <f>IF(OR(ЦТО!#REF!=ЦТО!$BK$8,ЦТО!#REF!=ЦТО!$BK$9,ЦТО!#REF!=ЦТО!$BK$10),"Обратить внимание","Отклонений нет")</f>
        <v>#REF!</v>
      </c>
      <c r="V111" s="47" t="e">
        <f>IF(OR(ЦТО!#REF!=ЦТО!$BK$8,ЦТО!#REF!=ЦТО!$BK$9,ЦТО!#REF!=ЦТО!$BK$10),"Обратить внимание","Отклонений нет")</f>
        <v>#REF!</v>
      </c>
      <c r="W111" s="47" t="e">
        <f>IF(OR(ЦТО!#REF!=ЦТО!$BK$8,ЦТО!#REF!=ЦТО!$BK$9,ЦТО!#REF!=ЦТО!$BK$10),"Обратить внимание","Отклонений нет")</f>
        <v>#REF!</v>
      </c>
      <c r="X111" s="47" t="e">
        <f>IF(OR(ЦТО!#REF!=ЦТО!$BK$8,ЦТО!#REF!=ЦТО!$BK$9,ЦТО!#REF!=ЦТО!$BK$10),"Обратить внимание","Отклонений нет")</f>
        <v>#REF!</v>
      </c>
    </row>
    <row r="112" spans="1:24" ht="18" customHeight="1">
      <c r="A112" s="10">
        <v>110</v>
      </c>
      <c r="B112" s="14" t="e">
        <f>IF(ЦТО!#REF!="","",ЦТО!#REF!)</f>
        <v>#REF!</v>
      </c>
      <c r="C112" s="14" t="e">
        <f>IF(ЦТО!#REF!="","",ЦТО!#REF!)</f>
        <v>#REF!</v>
      </c>
      <c r="D112" s="36" t="e">
        <f>IF(ЦТО!#REF!="","",ЦТО!#REF!)</f>
        <v>#REF!</v>
      </c>
      <c r="E11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2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2" s="47" t="e">
        <f>IF(OR(ЦТО!#REF!=ЦТО!$BK$8,ЦТО!#REF!=ЦТО!$BK$9,ЦТО!#REF!=ЦТО!$BK$10),"Обратить внимание","Отклонений нет")</f>
        <v>#REF!</v>
      </c>
      <c r="K112" s="14" t="e">
        <f>IF(OR(ЦТО!#REF!=ЦТО!$BK$8,ЦТО!#REF!=ЦТО!$BK$9,ЦТО!#REF!=ЦТО!$BK$10),"Обратить внимание","Отклонений нет")</f>
        <v>#REF!</v>
      </c>
      <c r="L112" s="14" t="e">
        <f>IF(OR(ЦТО!#REF!=ЦТО!$BK$8,ЦТО!#REF!=ЦТО!$BK$9,ЦТО!#REF!=ЦТО!$BK$10),"Обратить внимание","Отклонений нет")</f>
        <v>#REF!</v>
      </c>
      <c r="M112" s="14" t="e">
        <f>IF(OR(ЦТО!#REF!=ЦТО!$BK$8,ЦТО!#REF!=ЦТО!$BK$9,ЦТО!#REF!=ЦТО!$BK$10),"Обратить внимание","Отклонений нет")</f>
        <v>#REF!</v>
      </c>
      <c r="N112" s="14" t="e">
        <f>IF(OR(ЦТО!#REF!=ЦТО!$BK$8,ЦТО!#REF!=ЦТО!$BK$9,ЦТО!#REF!=ЦТО!$BK$10),"Обратить внимание","Отклонений нет")</f>
        <v>#REF!</v>
      </c>
      <c r="O112" s="14" t="e">
        <f>IF(OR(ЦТО!#REF!=ЦТО!$BK$8,ЦТО!#REF!=ЦТО!$BK$9,ЦТО!#REF!=ЦТО!$BK$10),"Обратить внимание","Отклонений нет")</f>
        <v>#REF!</v>
      </c>
      <c r="P112" s="14" t="e">
        <f>IF(OR(ЦТО!#REF!=ЦТО!$BK$8,ЦТО!#REF!=ЦТО!$BK$9,ЦТО!#REF!=ЦТО!$BK$10),"Обратить внимание","Отклонений нет")</f>
        <v>#REF!</v>
      </c>
      <c r="Q112" s="14" t="e">
        <f>IF(OR(ЦТО!#REF!=ЦТО!$BK$8,ЦТО!#REF!=ЦТО!$BK$9,ЦТО!#REF!=ЦТО!$BK$10),"Обратить внимание","Отклонений нет")</f>
        <v>#REF!</v>
      </c>
      <c r="R112" s="14" t="e">
        <f>IF(OR(ЦТО!#REF!=ЦТО!$BK$8,ЦТО!#REF!=ЦТО!$BK$9,ЦТО!#REF!=ЦТО!$BK$10),"Обратить внимание","Отклонений нет")</f>
        <v>#REF!</v>
      </c>
      <c r="S112" s="14" t="e">
        <f>IF(OR(ЦТО!#REF!=ЦТО!$BK$8,ЦТО!#REF!=ЦТО!$BK$9,ЦТО!#REF!=ЦТО!$BK$10),"Обратить внимание","Отклонений нет")</f>
        <v>#REF!</v>
      </c>
      <c r="T112" s="14" t="e">
        <f>IF(OR(ЦТО!#REF!=ЦТО!$BK$8,ЦТО!#REF!=ЦТО!$BK$9,ЦТО!#REF!=ЦТО!$BK$10),"Обратить внимание","Отклонений нет")</f>
        <v>#REF!</v>
      </c>
      <c r="U112" s="14" t="e">
        <f>IF(OR(ЦТО!#REF!=ЦТО!$BK$8,ЦТО!#REF!=ЦТО!$BK$9,ЦТО!#REF!=ЦТО!$BK$10),"Обратить внимание","Отклонений нет")</f>
        <v>#REF!</v>
      </c>
      <c r="V112" s="47" t="e">
        <f>IF(OR(ЦТО!#REF!=ЦТО!$BK$8,ЦТО!#REF!=ЦТО!$BK$9,ЦТО!#REF!=ЦТО!$BK$10),"Обратить внимание","Отклонений нет")</f>
        <v>#REF!</v>
      </c>
      <c r="W112" s="47" t="e">
        <f>IF(OR(ЦТО!#REF!=ЦТО!$BK$8,ЦТО!#REF!=ЦТО!$BK$9,ЦТО!#REF!=ЦТО!$BK$10),"Обратить внимание","Отклонений нет")</f>
        <v>#REF!</v>
      </c>
      <c r="X112" s="47" t="e">
        <f>IF(OR(ЦТО!#REF!=ЦТО!$BK$8,ЦТО!#REF!=ЦТО!$BK$9,ЦТО!#REF!=ЦТО!$BK$10),"Обратить внимание","Отклонений нет")</f>
        <v>#REF!</v>
      </c>
    </row>
    <row r="113" spans="1:24" ht="18" customHeight="1">
      <c r="A113" s="10">
        <v>111</v>
      </c>
      <c r="B113" s="14" t="e">
        <f>IF(ЦТО!#REF!="","",ЦТО!#REF!)</f>
        <v>#REF!</v>
      </c>
      <c r="C113" s="14" t="e">
        <f>IF(ЦТО!#REF!="","",ЦТО!#REF!)</f>
        <v>#REF!</v>
      </c>
      <c r="D113" s="36" t="e">
        <f>IF(ЦТО!#REF!="","",ЦТО!#REF!)</f>
        <v>#REF!</v>
      </c>
      <c r="E11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3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3" s="47" t="e">
        <f>IF(OR(ЦТО!#REF!=ЦТО!$BK$8,ЦТО!#REF!=ЦТО!$BK$9,ЦТО!#REF!=ЦТО!$BK$10),"Обратить внимание","Отклонений нет")</f>
        <v>#REF!</v>
      </c>
      <c r="K113" s="14" t="e">
        <f>IF(OR(ЦТО!#REF!=ЦТО!$BK$8,ЦТО!#REF!=ЦТО!$BK$9,ЦТО!#REF!=ЦТО!$BK$10),"Обратить внимание","Отклонений нет")</f>
        <v>#REF!</v>
      </c>
      <c r="L113" s="14" t="e">
        <f>IF(OR(ЦТО!#REF!=ЦТО!$BK$8,ЦТО!#REF!=ЦТО!$BK$9,ЦТО!#REF!=ЦТО!$BK$10),"Обратить внимание","Отклонений нет")</f>
        <v>#REF!</v>
      </c>
      <c r="M113" s="14" t="e">
        <f>IF(OR(ЦТО!#REF!=ЦТО!$BK$8,ЦТО!#REF!=ЦТО!$BK$9,ЦТО!#REF!=ЦТО!$BK$10),"Обратить внимание","Отклонений нет")</f>
        <v>#REF!</v>
      </c>
      <c r="N113" s="14" t="e">
        <f>IF(OR(ЦТО!#REF!=ЦТО!$BK$8,ЦТО!#REF!=ЦТО!$BK$9,ЦТО!#REF!=ЦТО!$BK$10),"Обратить внимание","Отклонений нет")</f>
        <v>#REF!</v>
      </c>
      <c r="O113" s="14" t="e">
        <f>IF(OR(ЦТО!#REF!=ЦТО!$BK$8,ЦТО!#REF!=ЦТО!$BK$9,ЦТО!#REF!=ЦТО!$BK$10),"Обратить внимание","Отклонений нет")</f>
        <v>#REF!</v>
      </c>
      <c r="P113" s="14" t="e">
        <f>IF(OR(ЦТО!#REF!=ЦТО!$BK$8,ЦТО!#REF!=ЦТО!$BK$9,ЦТО!#REF!=ЦТО!$BK$10),"Обратить внимание","Отклонений нет")</f>
        <v>#REF!</v>
      </c>
      <c r="Q113" s="14" t="e">
        <f>IF(OR(ЦТО!#REF!=ЦТО!$BK$8,ЦТО!#REF!=ЦТО!$BK$9,ЦТО!#REF!=ЦТО!$BK$10),"Обратить внимание","Отклонений нет")</f>
        <v>#REF!</v>
      </c>
      <c r="R113" s="14" t="e">
        <f>IF(OR(ЦТО!#REF!=ЦТО!$BK$8,ЦТО!#REF!=ЦТО!$BK$9,ЦТО!#REF!=ЦТО!$BK$10),"Обратить внимание","Отклонений нет")</f>
        <v>#REF!</v>
      </c>
      <c r="S113" s="14" t="e">
        <f>IF(OR(ЦТО!#REF!=ЦТО!$BK$8,ЦТО!#REF!=ЦТО!$BK$9,ЦТО!#REF!=ЦТО!$BK$10),"Обратить внимание","Отклонений нет")</f>
        <v>#REF!</v>
      </c>
      <c r="T113" s="14" t="e">
        <f>IF(OR(ЦТО!#REF!=ЦТО!$BK$8,ЦТО!#REF!=ЦТО!$BK$9,ЦТО!#REF!=ЦТО!$BK$10),"Обратить внимание","Отклонений нет")</f>
        <v>#REF!</v>
      </c>
      <c r="U113" s="14" t="e">
        <f>IF(OR(ЦТО!#REF!=ЦТО!$BK$8,ЦТО!#REF!=ЦТО!$BK$9,ЦТО!#REF!=ЦТО!$BK$10),"Обратить внимание","Отклонений нет")</f>
        <v>#REF!</v>
      </c>
      <c r="V113" s="47" t="e">
        <f>IF(OR(ЦТО!#REF!=ЦТО!$BK$8,ЦТО!#REF!=ЦТО!$BK$9,ЦТО!#REF!=ЦТО!$BK$10),"Обратить внимание","Отклонений нет")</f>
        <v>#REF!</v>
      </c>
      <c r="W113" s="47" t="e">
        <f>IF(OR(ЦТО!#REF!=ЦТО!$BK$8,ЦТО!#REF!=ЦТО!$BK$9,ЦТО!#REF!=ЦТО!$BK$10),"Обратить внимание","Отклонений нет")</f>
        <v>#REF!</v>
      </c>
      <c r="X113" s="47" t="e">
        <f>IF(OR(ЦТО!#REF!=ЦТО!$BK$8,ЦТО!#REF!=ЦТО!$BK$9,ЦТО!#REF!=ЦТО!$BK$10),"Обратить внимание","Отклонений нет")</f>
        <v>#REF!</v>
      </c>
    </row>
    <row r="114" spans="1:24" ht="18" customHeight="1">
      <c r="A114" s="10">
        <v>112</v>
      </c>
      <c r="B114" s="14" t="e">
        <f>IF(ЦТО!#REF!="","",ЦТО!#REF!)</f>
        <v>#REF!</v>
      </c>
      <c r="C114" s="14" t="e">
        <f>IF(ЦТО!#REF!="","",ЦТО!#REF!)</f>
        <v>#REF!</v>
      </c>
      <c r="D114" s="36" t="e">
        <f>IF(ЦТО!#REF!="","",ЦТО!#REF!)</f>
        <v>#REF!</v>
      </c>
      <c r="E11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4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4" s="47" t="e">
        <f>IF(OR(ЦТО!#REF!=ЦТО!$BK$8,ЦТО!#REF!=ЦТО!$BK$9,ЦТО!#REF!=ЦТО!$BK$10),"Обратить внимание","Отклонений нет")</f>
        <v>#REF!</v>
      </c>
      <c r="K114" s="14" t="e">
        <f>IF(OR(ЦТО!#REF!=ЦТО!$BK$8,ЦТО!#REF!=ЦТО!$BK$9,ЦТО!#REF!=ЦТО!$BK$10),"Обратить внимание","Отклонений нет")</f>
        <v>#REF!</v>
      </c>
      <c r="L114" s="14" t="e">
        <f>IF(OR(ЦТО!#REF!=ЦТО!$BK$8,ЦТО!#REF!=ЦТО!$BK$9,ЦТО!#REF!=ЦТО!$BK$10),"Обратить внимание","Отклонений нет")</f>
        <v>#REF!</v>
      </c>
      <c r="M114" s="14" t="e">
        <f>IF(OR(ЦТО!#REF!=ЦТО!$BK$8,ЦТО!#REF!=ЦТО!$BK$9,ЦТО!#REF!=ЦТО!$BK$10),"Обратить внимание","Отклонений нет")</f>
        <v>#REF!</v>
      </c>
      <c r="N114" s="14" t="e">
        <f>IF(OR(ЦТО!#REF!=ЦТО!$BK$8,ЦТО!#REF!=ЦТО!$BK$9,ЦТО!#REF!=ЦТО!$BK$10),"Обратить внимание","Отклонений нет")</f>
        <v>#REF!</v>
      </c>
      <c r="O114" s="14" t="e">
        <f>IF(OR(ЦТО!#REF!=ЦТО!$BK$8,ЦТО!#REF!=ЦТО!$BK$9,ЦТО!#REF!=ЦТО!$BK$10),"Обратить внимание","Отклонений нет")</f>
        <v>#REF!</v>
      </c>
      <c r="P114" s="14" t="e">
        <f>IF(OR(ЦТО!#REF!=ЦТО!$BK$8,ЦТО!#REF!=ЦТО!$BK$9,ЦТО!#REF!=ЦТО!$BK$10),"Обратить внимание","Отклонений нет")</f>
        <v>#REF!</v>
      </c>
      <c r="Q114" s="14" t="e">
        <f>IF(OR(ЦТО!#REF!=ЦТО!$BK$8,ЦТО!#REF!=ЦТО!$BK$9,ЦТО!#REF!=ЦТО!$BK$10),"Обратить внимание","Отклонений нет")</f>
        <v>#REF!</v>
      </c>
      <c r="R114" s="14" t="e">
        <f>IF(OR(ЦТО!#REF!=ЦТО!$BK$8,ЦТО!#REF!=ЦТО!$BK$9,ЦТО!#REF!=ЦТО!$BK$10),"Обратить внимание","Отклонений нет")</f>
        <v>#REF!</v>
      </c>
      <c r="S114" s="14" t="e">
        <f>IF(OR(ЦТО!#REF!=ЦТО!$BK$8,ЦТО!#REF!=ЦТО!$BK$9,ЦТО!#REF!=ЦТО!$BK$10),"Обратить внимание","Отклонений нет")</f>
        <v>#REF!</v>
      </c>
      <c r="T114" s="14" t="e">
        <f>IF(OR(ЦТО!#REF!=ЦТО!$BK$8,ЦТО!#REF!=ЦТО!$BK$9,ЦТО!#REF!=ЦТО!$BK$10),"Обратить внимание","Отклонений нет")</f>
        <v>#REF!</v>
      </c>
      <c r="U114" s="14" t="e">
        <f>IF(OR(ЦТО!#REF!=ЦТО!$BK$8,ЦТО!#REF!=ЦТО!$BK$9,ЦТО!#REF!=ЦТО!$BK$10),"Обратить внимание","Отклонений нет")</f>
        <v>#REF!</v>
      </c>
      <c r="V114" s="47" t="e">
        <f>IF(OR(ЦТО!#REF!=ЦТО!$BK$8,ЦТО!#REF!=ЦТО!$BK$9,ЦТО!#REF!=ЦТО!$BK$10),"Обратить внимание","Отклонений нет")</f>
        <v>#REF!</v>
      </c>
      <c r="W114" s="47" t="e">
        <f>IF(OR(ЦТО!#REF!=ЦТО!$BK$8,ЦТО!#REF!=ЦТО!$BK$9,ЦТО!#REF!=ЦТО!$BK$10),"Обратить внимание","Отклонений нет")</f>
        <v>#REF!</v>
      </c>
      <c r="X114" s="47" t="e">
        <f>IF(OR(ЦТО!#REF!=ЦТО!$BK$8,ЦТО!#REF!=ЦТО!$BK$9,ЦТО!#REF!=ЦТО!$BK$10),"Обратить внимание","Отклонений нет")</f>
        <v>#REF!</v>
      </c>
    </row>
    <row r="115" spans="1:24" ht="18" customHeight="1">
      <c r="A115" s="10">
        <v>113</v>
      </c>
      <c r="B115" s="14" t="e">
        <f>IF(ЦТО!#REF!="","",ЦТО!#REF!)</f>
        <v>#REF!</v>
      </c>
      <c r="C115" s="14" t="e">
        <f>IF(ЦТО!#REF!="","",ЦТО!#REF!)</f>
        <v>#REF!</v>
      </c>
      <c r="D115" s="36" t="e">
        <f>IF(ЦТО!#REF!="","",ЦТО!#REF!)</f>
        <v>#REF!</v>
      </c>
      <c r="E11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5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5" s="47" t="e">
        <f>IF(OR(ЦТО!#REF!=ЦТО!$BK$8,ЦТО!#REF!=ЦТО!$BK$9,ЦТО!#REF!=ЦТО!$BK$10),"Обратить внимание","Отклонений нет")</f>
        <v>#REF!</v>
      </c>
      <c r="K115" s="14" t="e">
        <f>IF(OR(ЦТО!#REF!=ЦТО!$BK$8,ЦТО!#REF!=ЦТО!$BK$9,ЦТО!#REF!=ЦТО!$BK$10),"Обратить внимание","Отклонений нет")</f>
        <v>#REF!</v>
      </c>
      <c r="L115" s="14" t="e">
        <f>IF(OR(ЦТО!#REF!=ЦТО!$BK$8,ЦТО!#REF!=ЦТО!$BK$9,ЦТО!#REF!=ЦТО!$BK$10),"Обратить внимание","Отклонений нет")</f>
        <v>#REF!</v>
      </c>
      <c r="M115" s="14" t="e">
        <f>IF(OR(ЦТО!#REF!=ЦТО!$BK$8,ЦТО!#REF!=ЦТО!$BK$9,ЦТО!#REF!=ЦТО!$BK$10),"Обратить внимание","Отклонений нет")</f>
        <v>#REF!</v>
      </c>
      <c r="N115" s="14" t="e">
        <f>IF(OR(ЦТО!#REF!=ЦТО!$BK$8,ЦТО!#REF!=ЦТО!$BK$9,ЦТО!#REF!=ЦТО!$BK$10),"Обратить внимание","Отклонений нет")</f>
        <v>#REF!</v>
      </c>
      <c r="O115" s="14" t="e">
        <f>IF(OR(ЦТО!#REF!=ЦТО!$BK$8,ЦТО!#REF!=ЦТО!$BK$9,ЦТО!#REF!=ЦТО!$BK$10),"Обратить внимание","Отклонений нет")</f>
        <v>#REF!</v>
      </c>
      <c r="P115" s="14" t="e">
        <f>IF(OR(ЦТО!#REF!=ЦТО!$BK$8,ЦТО!#REF!=ЦТО!$BK$9,ЦТО!#REF!=ЦТО!$BK$10),"Обратить внимание","Отклонений нет")</f>
        <v>#REF!</v>
      </c>
      <c r="Q115" s="14" t="e">
        <f>IF(OR(ЦТО!#REF!=ЦТО!$BK$8,ЦТО!#REF!=ЦТО!$BK$9,ЦТО!#REF!=ЦТО!$BK$10),"Обратить внимание","Отклонений нет")</f>
        <v>#REF!</v>
      </c>
      <c r="R115" s="14" t="e">
        <f>IF(OR(ЦТО!#REF!=ЦТО!$BK$8,ЦТО!#REF!=ЦТО!$BK$9,ЦТО!#REF!=ЦТО!$BK$10),"Обратить внимание","Отклонений нет")</f>
        <v>#REF!</v>
      </c>
      <c r="S115" s="14" t="e">
        <f>IF(OR(ЦТО!#REF!=ЦТО!$BK$8,ЦТО!#REF!=ЦТО!$BK$9,ЦТО!#REF!=ЦТО!$BK$10),"Обратить внимание","Отклонений нет")</f>
        <v>#REF!</v>
      </c>
      <c r="T115" s="14" t="e">
        <f>IF(OR(ЦТО!#REF!=ЦТО!$BK$8,ЦТО!#REF!=ЦТО!$BK$9,ЦТО!#REF!=ЦТО!$BK$10),"Обратить внимание","Отклонений нет")</f>
        <v>#REF!</v>
      </c>
      <c r="U115" s="14" t="e">
        <f>IF(OR(ЦТО!#REF!=ЦТО!$BK$8,ЦТО!#REF!=ЦТО!$BK$9,ЦТО!#REF!=ЦТО!$BK$10),"Обратить внимание","Отклонений нет")</f>
        <v>#REF!</v>
      </c>
      <c r="V115" s="47" t="e">
        <f>IF(OR(ЦТО!#REF!=ЦТО!$BK$8,ЦТО!#REF!=ЦТО!$BK$9,ЦТО!#REF!=ЦТО!$BK$10),"Обратить внимание","Отклонений нет")</f>
        <v>#REF!</v>
      </c>
      <c r="W115" s="47" t="e">
        <f>IF(OR(ЦТО!#REF!=ЦТО!$BK$8,ЦТО!#REF!=ЦТО!$BK$9,ЦТО!#REF!=ЦТО!$BK$10),"Обратить внимание","Отклонений нет")</f>
        <v>#REF!</v>
      </c>
      <c r="X115" s="47" t="e">
        <f>IF(OR(ЦТО!#REF!=ЦТО!$BK$8,ЦТО!#REF!=ЦТО!$BK$9,ЦТО!#REF!=ЦТО!$BK$10),"Обратить внимание","Отклонений нет")</f>
        <v>#REF!</v>
      </c>
    </row>
    <row r="116" spans="1:24" ht="18" customHeight="1">
      <c r="A116" s="10">
        <v>114</v>
      </c>
      <c r="B116" s="14" t="e">
        <f>IF(ЦТО!#REF!="","",ЦТО!#REF!)</f>
        <v>#REF!</v>
      </c>
      <c r="C116" s="14" t="e">
        <f>IF(ЦТО!#REF!="","",ЦТО!#REF!)</f>
        <v>#REF!</v>
      </c>
      <c r="D116" s="36" t="e">
        <f>IF(ЦТО!#REF!="","",ЦТО!#REF!)</f>
        <v>#REF!</v>
      </c>
      <c r="E11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6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6" s="47" t="e">
        <f>IF(OR(ЦТО!#REF!=ЦТО!$BK$8,ЦТО!#REF!=ЦТО!$BK$9,ЦТО!#REF!=ЦТО!$BK$10),"Обратить внимание","Отклонений нет")</f>
        <v>#REF!</v>
      </c>
      <c r="K116" s="14" t="e">
        <f>IF(OR(ЦТО!#REF!=ЦТО!$BK$8,ЦТО!#REF!=ЦТО!$BK$9,ЦТО!#REF!=ЦТО!$BK$10),"Обратить внимание","Отклонений нет")</f>
        <v>#REF!</v>
      </c>
      <c r="L116" s="14" t="e">
        <f>IF(OR(ЦТО!#REF!=ЦТО!$BK$8,ЦТО!#REF!=ЦТО!$BK$9,ЦТО!#REF!=ЦТО!$BK$10),"Обратить внимание","Отклонений нет")</f>
        <v>#REF!</v>
      </c>
      <c r="M116" s="14" t="e">
        <f>IF(OR(ЦТО!#REF!=ЦТО!$BK$8,ЦТО!#REF!=ЦТО!$BK$9,ЦТО!#REF!=ЦТО!$BK$10),"Обратить внимание","Отклонений нет")</f>
        <v>#REF!</v>
      </c>
      <c r="N116" s="14" t="e">
        <f>IF(OR(ЦТО!#REF!=ЦТО!$BK$8,ЦТО!#REF!=ЦТО!$BK$9,ЦТО!#REF!=ЦТО!$BK$10),"Обратить внимание","Отклонений нет")</f>
        <v>#REF!</v>
      </c>
      <c r="O116" s="14" t="e">
        <f>IF(OR(ЦТО!#REF!=ЦТО!$BK$8,ЦТО!#REF!=ЦТО!$BK$9,ЦТО!#REF!=ЦТО!$BK$10),"Обратить внимание","Отклонений нет")</f>
        <v>#REF!</v>
      </c>
      <c r="P116" s="14" t="e">
        <f>IF(OR(ЦТО!#REF!=ЦТО!$BK$8,ЦТО!#REF!=ЦТО!$BK$9,ЦТО!#REF!=ЦТО!$BK$10),"Обратить внимание","Отклонений нет")</f>
        <v>#REF!</v>
      </c>
      <c r="Q116" s="14" t="e">
        <f>IF(OR(ЦТО!#REF!=ЦТО!$BK$8,ЦТО!#REF!=ЦТО!$BK$9,ЦТО!#REF!=ЦТО!$BK$10),"Обратить внимание","Отклонений нет")</f>
        <v>#REF!</v>
      </c>
      <c r="R116" s="14" t="e">
        <f>IF(OR(ЦТО!#REF!=ЦТО!$BK$8,ЦТО!#REF!=ЦТО!$BK$9,ЦТО!#REF!=ЦТО!$BK$10),"Обратить внимание","Отклонений нет")</f>
        <v>#REF!</v>
      </c>
      <c r="S116" s="14" t="e">
        <f>IF(OR(ЦТО!#REF!=ЦТО!$BK$8,ЦТО!#REF!=ЦТО!$BK$9,ЦТО!#REF!=ЦТО!$BK$10),"Обратить внимание","Отклонений нет")</f>
        <v>#REF!</v>
      </c>
      <c r="T116" s="14" t="e">
        <f>IF(OR(ЦТО!#REF!=ЦТО!$BK$8,ЦТО!#REF!=ЦТО!$BK$9,ЦТО!#REF!=ЦТО!$BK$10),"Обратить внимание","Отклонений нет")</f>
        <v>#REF!</v>
      </c>
      <c r="U116" s="14" t="e">
        <f>IF(OR(ЦТО!#REF!=ЦТО!$BK$8,ЦТО!#REF!=ЦТО!$BK$9,ЦТО!#REF!=ЦТО!$BK$10),"Обратить внимание","Отклонений нет")</f>
        <v>#REF!</v>
      </c>
      <c r="V116" s="47" t="e">
        <f>IF(OR(ЦТО!#REF!=ЦТО!$BK$8,ЦТО!#REF!=ЦТО!$BK$9,ЦТО!#REF!=ЦТО!$BK$10),"Обратить внимание","Отклонений нет")</f>
        <v>#REF!</v>
      </c>
      <c r="W116" s="47" t="e">
        <f>IF(OR(ЦТО!#REF!=ЦТО!$BK$8,ЦТО!#REF!=ЦТО!$BK$9,ЦТО!#REF!=ЦТО!$BK$10),"Обратить внимание","Отклонений нет")</f>
        <v>#REF!</v>
      </c>
      <c r="X116" s="47" t="e">
        <f>IF(OR(ЦТО!#REF!=ЦТО!$BK$8,ЦТО!#REF!=ЦТО!$BK$9,ЦТО!#REF!=ЦТО!$BK$10),"Обратить внимание","Отклонений нет")</f>
        <v>#REF!</v>
      </c>
    </row>
    <row r="117" spans="1:24" ht="18" customHeight="1">
      <c r="A117" s="10">
        <v>115</v>
      </c>
      <c r="B117" s="14" t="e">
        <f>IF(ЦТО!#REF!="","",ЦТО!#REF!)</f>
        <v>#REF!</v>
      </c>
      <c r="C117" s="14" t="e">
        <f>IF(ЦТО!#REF!="","",ЦТО!#REF!)</f>
        <v>#REF!</v>
      </c>
      <c r="D117" s="36" t="e">
        <f>IF(ЦТО!#REF!="","",ЦТО!#REF!)</f>
        <v>#REF!</v>
      </c>
      <c r="E11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7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7" s="47" t="e">
        <f>IF(OR(ЦТО!#REF!=ЦТО!$BK$8,ЦТО!#REF!=ЦТО!$BK$9,ЦТО!#REF!=ЦТО!$BK$10),"Обратить внимание","Отклонений нет")</f>
        <v>#REF!</v>
      </c>
      <c r="K117" s="14" t="e">
        <f>IF(OR(ЦТО!#REF!=ЦТО!$BK$8,ЦТО!#REF!=ЦТО!$BK$9,ЦТО!#REF!=ЦТО!$BK$10),"Обратить внимание","Отклонений нет")</f>
        <v>#REF!</v>
      </c>
      <c r="L117" s="14" t="e">
        <f>IF(OR(ЦТО!#REF!=ЦТО!$BK$8,ЦТО!#REF!=ЦТО!$BK$9,ЦТО!#REF!=ЦТО!$BK$10),"Обратить внимание","Отклонений нет")</f>
        <v>#REF!</v>
      </c>
      <c r="M117" s="14" t="e">
        <f>IF(OR(ЦТО!#REF!=ЦТО!$BK$8,ЦТО!#REF!=ЦТО!$BK$9,ЦТО!#REF!=ЦТО!$BK$10),"Обратить внимание","Отклонений нет")</f>
        <v>#REF!</v>
      </c>
      <c r="N117" s="14" t="e">
        <f>IF(OR(ЦТО!#REF!=ЦТО!$BK$8,ЦТО!#REF!=ЦТО!$BK$9,ЦТО!#REF!=ЦТО!$BK$10),"Обратить внимание","Отклонений нет")</f>
        <v>#REF!</v>
      </c>
      <c r="O117" s="14" t="e">
        <f>IF(OR(ЦТО!#REF!=ЦТО!$BK$8,ЦТО!#REF!=ЦТО!$BK$9,ЦТО!#REF!=ЦТО!$BK$10),"Обратить внимание","Отклонений нет")</f>
        <v>#REF!</v>
      </c>
      <c r="P117" s="14" t="e">
        <f>IF(OR(ЦТО!#REF!=ЦТО!$BK$8,ЦТО!#REF!=ЦТО!$BK$9,ЦТО!#REF!=ЦТО!$BK$10),"Обратить внимание","Отклонений нет")</f>
        <v>#REF!</v>
      </c>
      <c r="Q117" s="14" t="e">
        <f>IF(OR(ЦТО!#REF!=ЦТО!$BK$8,ЦТО!#REF!=ЦТО!$BK$9,ЦТО!#REF!=ЦТО!$BK$10),"Обратить внимание","Отклонений нет")</f>
        <v>#REF!</v>
      </c>
      <c r="R117" s="14" t="e">
        <f>IF(OR(ЦТО!#REF!=ЦТО!$BK$8,ЦТО!#REF!=ЦТО!$BK$9,ЦТО!#REF!=ЦТО!$BK$10),"Обратить внимание","Отклонений нет")</f>
        <v>#REF!</v>
      </c>
      <c r="S117" s="14" t="e">
        <f>IF(OR(ЦТО!#REF!=ЦТО!$BK$8,ЦТО!#REF!=ЦТО!$BK$9,ЦТО!#REF!=ЦТО!$BK$10),"Обратить внимание","Отклонений нет")</f>
        <v>#REF!</v>
      </c>
      <c r="T117" s="14" t="e">
        <f>IF(OR(ЦТО!#REF!=ЦТО!$BK$8,ЦТО!#REF!=ЦТО!$BK$9,ЦТО!#REF!=ЦТО!$BK$10),"Обратить внимание","Отклонений нет")</f>
        <v>#REF!</v>
      </c>
      <c r="U117" s="14" t="e">
        <f>IF(OR(ЦТО!#REF!=ЦТО!$BK$8,ЦТО!#REF!=ЦТО!$BK$9,ЦТО!#REF!=ЦТО!$BK$10),"Обратить внимание","Отклонений нет")</f>
        <v>#REF!</v>
      </c>
      <c r="V117" s="47" t="e">
        <f>IF(OR(ЦТО!#REF!=ЦТО!$BK$8,ЦТО!#REF!=ЦТО!$BK$9,ЦТО!#REF!=ЦТО!$BK$10),"Обратить внимание","Отклонений нет")</f>
        <v>#REF!</v>
      </c>
      <c r="W117" s="47" t="e">
        <f>IF(OR(ЦТО!#REF!=ЦТО!$BK$8,ЦТО!#REF!=ЦТО!$BK$9,ЦТО!#REF!=ЦТО!$BK$10),"Обратить внимание","Отклонений нет")</f>
        <v>#REF!</v>
      </c>
      <c r="X117" s="47" t="e">
        <f>IF(OR(ЦТО!#REF!=ЦТО!$BK$8,ЦТО!#REF!=ЦТО!$BK$9,ЦТО!#REF!=ЦТО!$BK$10),"Обратить внимание","Отклонений нет")</f>
        <v>#REF!</v>
      </c>
    </row>
    <row r="118" spans="1:24" ht="18" customHeight="1">
      <c r="A118" s="10">
        <v>116</v>
      </c>
      <c r="B118" s="14" t="e">
        <f>IF(ЦТО!#REF!="","",ЦТО!#REF!)</f>
        <v>#REF!</v>
      </c>
      <c r="C118" s="14" t="e">
        <f>IF(ЦТО!#REF!="","",ЦТО!#REF!)</f>
        <v>#REF!</v>
      </c>
      <c r="D118" s="36" t="e">
        <f>IF(ЦТО!#REF!="","",ЦТО!#REF!)</f>
        <v>#REF!</v>
      </c>
      <c r="E11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8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8" s="47" t="e">
        <f>IF(OR(ЦТО!#REF!=ЦТО!$BK$8,ЦТО!#REF!=ЦТО!$BK$9,ЦТО!#REF!=ЦТО!$BK$10),"Обратить внимание","Отклонений нет")</f>
        <v>#REF!</v>
      </c>
      <c r="K118" s="14" t="e">
        <f>IF(OR(ЦТО!#REF!=ЦТО!$BK$8,ЦТО!#REF!=ЦТО!$BK$9,ЦТО!#REF!=ЦТО!$BK$10),"Обратить внимание","Отклонений нет")</f>
        <v>#REF!</v>
      </c>
      <c r="L118" s="14" t="e">
        <f>IF(OR(ЦТО!#REF!=ЦТО!$BK$8,ЦТО!#REF!=ЦТО!$BK$9,ЦТО!#REF!=ЦТО!$BK$10),"Обратить внимание","Отклонений нет")</f>
        <v>#REF!</v>
      </c>
      <c r="M118" s="14" t="e">
        <f>IF(OR(ЦТО!#REF!=ЦТО!$BK$8,ЦТО!#REF!=ЦТО!$BK$9,ЦТО!#REF!=ЦТО!$BK$10),"Обратить внимание","Отклонений нет")</f>
        <v>#REF!</v>
      </c>
      <c r="N118" s="14" t="e">
        <f>IF(OR(ЦТО!#REF!=ЦТО!$BK$8,ЦТО!#REF!=ЦТО!$BK$9,ЦТО!#REF!=ЦТО!$BK$10),"Обратить внимание","Отклонений нет")</f>
        <v>#REF!</v>
      </c>
      <c r="O118" s="14" t="e">
        <f>IF(OR(ЦТО!#REF!=ЦТО!$BK$8,ЦТО!#REF!=ЦТО!$BK$9,ЦТО!#REF!=ЦТО!$BK$10),"Обратить внимание","Отклонений нет")</f>
        <v>#REF!</v>
      </c>
      <c r="P118" s="14" t="e">
        <f>IF(OR(ЦТО!#REF!=ЦТО!$BK$8,ЦТО!#REF!=ЦТО!$BK$9,ЦТО!#REF!=ЦТО!$BK$10),"Обратить внимание","Отклонений нет")</f>
        <v>#REF!</v>
      </c>
      <c r="Q118" s="14" t="e">
        <f>IF(OR(ЦТО!#REF!=ЦТО!$BK$8,ЦТО!#REF!=ЦТО!$BK$9,ЦТО!#REF!=ЦТО!$BK$10),"Обратить внимание","Отклонений нет")</f>
        <v>#REF!</v>
      </c>
      <c r="R118" s="14" t="e">
        <f>IF(OR(ЦТО!#REF!=ЦТО!$BK$8,ЦТО!#REF!=ЦТО!$BK$9,ЦТО!#REF!=ЦТО!$BK$10),"Обратить внимание","Отклонений нет")</f>
        <v>#REF!</v>
      </c>
      <c r="S118" s="14" t="e">
        <f>IF(OR(ЦТО!#REF!=ЦТО!$BK$8,ЦТО!#REF!=ЦТО!$BK$9,ЦТО!#REF!=ЦТО!$BK$10),"Обратить внимание","Отклонений нет")</f>
        <v>#REF!</v>
      </c>
      <c r="T118" s="14" t="e">
        <f>IF(OR(ЦТО!#REF!=ЦТО!$BK$8,ЦТО!#REF!=ЦТО!$BK$9,ЦТО!#REF!=ЦТО!$BK$10),"Обратить внимание","Отклонений нет")</f>
        <v>#REF!</v>
      </c>
      <c r="U118" s="14" t="e">
        <f>IF(OR(ЦТО!#REF!=ЦТО!$BK$8,ЦТО!#REF!=ЦТО!$BK$9,ЦТО!#REF!=ЦТО!$BK$10),"Обратить внимание","Отклонений нет")</f>
        <v>#REF!</v>
      </c>
      <c r="V118" s="47" t="e">
        <f>IF(OR(ЦТО!#REF!=ЦТО!$BK$8,ЦТО!#REF!=ЦТО!$BK$9,ЦТО!#REF!=ЦТО!$BK$10),"Обратить внимание","Отклонений нет")</f>
        <v>#REF!</v>
      </c>
      <c r="W118" s="47" t="e">
        <f>IF(OR(ЦТО!#REF!=ЦТО!$BK$8,ЦТО!#REF!=ЦТО!$BK$9,ЦТО!#REF!=ЦТО!$BK$10),"Обратить внимание","Отклонений нет")</f>
        <v>#REF!</v>
      </c>
      <c r="X118" s="47" t="e">
        <f>IF(OR(ЦТО!#REF!=ЦТО!$BK$8,ЦТО!#REF!=ЦТО!$BK$9,ЦТО!#REF!=ЦТО!$BK$10),"Обратить внимание","Отклонений нет")</f>
        <v>#REF!</v>
      </c>
    </row>
    <row r="119" spans="1:24" ht="18" customHeight="1">
      <c r="A119" s="10">
        <v>117</v>
      </c>
      <c r="B119" s="14" t="e">
        <f>IF(ЦТО!#REF!="","",ЦТО!#REF!)</f>
        <v>#REF!</v>
      </c>
      <c r="C119" s="14" t="e">
        <f>IF(ЦТО!#REF!="","",ЦТО!#REF!)</f>
        <v>#REF!</v>
      </c>
      <c r="D119" s="36" t="e">
        <f>IF(ЦТО!#REF!="","",ЦТО!#REF!)</f>
        <v>#REF!</v>
      </c>
      <c r="E11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1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1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1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19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19" s="47" t="e">
        <f>IF(OR(ЦТО!#REF!=ЦТО!$BK$8,ЦТО!#REF!=ЦТО!$BK$9,ЦТО!#REF!=ЦТО!$BK$10),"Обратить внимание","Отклонений нет")</f>
        <v>#REF!</v>
      </c>
      <c r="K119" s="14" t="e">
        <f>IF(OR(ЦТО!#REF!=ЦТО!$BK$8,ЦТО!#REF!=ЦТО!$BK$9,ЦТО!#REF!=ЦТО!$BK$10),"Обратить внимание","Отклонений нет")</f>
        <v>#REF!</v>
      </c>
      <c r="L119" s="14" t="e">
        <f>IF(OR(ЦТО!#REF!=ЦТО!$BK$8,ЦТО!#REF!=ЦТО!$BK$9,ЦТО!#REF!=ЦТО!$BK$10),"Обратить внимание","Отклонений нет")</f>
        <v>#REF!</v>
      </c>
      <c r="M119" s="14" t="e">
        <f>IF(OR(ЦТО!#REF!=ЦТО!$BK$8,ЦТО!#REF!=ЦТО!$BK$9,ЦТО!#REF!=ЦТО!$BK$10),"Обратить внимание","Отклонений нет")</f>
        <v>#REF!</v>
      </c>
      <c r="N119" s="14" t="e">
        <f>IF(OR(ЦТО!#REF!=ЦТО!$BK$8,ЦТО!#REF!=ЦТО!$BK$9,ЦТО!#REF!=ЦТО!$BK$10),"Обратить внимание","Отклонений нет")</f>
        <v>#REF!</v>
      </c>
      <c r="O119" s="14" t="e">
        <f>IF(OR(ЦТО!#REF!=ЦТО!$BK$8,ЦТО!#REF!=ЦТО!$BK$9,ЦТО!#REF!=ЦТО!$BK$10),"Обратить внимание","Отклонений нет")</f>
        <v>#REF!</v>
      </c>
      <c r="P119" s="14" t="e">
        <f>IF(OR(ЦТО!#REF!=ЦТО!$BK$8,ЦТО!#REF!=ЦТО!$BK$9,ЦТО!#REF!=ЦТО!$BK$10),"Обратить внимание","Отклонений нет")</f>
        <v>#REF!</v>
      </c>
      <c r="Q119" s="14" t="e">
        <f>IF(OR(ЦТО!#REF!=ЦТО!$BK$8,ЦТО!#REF!=ЦТО!$BK$9,ЦТО!#REF!=ЦТО!$BK$10),"Обратить внимание","Отклонений нет")</f>
        <v>#REF!</v>
      </c>
      <c r="R119" s="14" t="e">
        <f>IF(OR(ЦТО!#REF!=ЦТО!$BK$8,ЦТО!#REF!=ЦТО!$BK$9,ЦТО!#REF!=ЦТО!$BK$10),"Обратить внимание","Отклонений нет")</f>
        <v>#REF!</v>
      </c>
      <c r="S119" s="14" t="e">
        <f>IF(OR(ЦТО!#REF!=ЦТО!$BK$8,ЦТО!#REF!=ЦТО!$BK$9,ЦТО!#REF!=ЦТО!$BK$10),"Обратить внимание","Отклонений нет")</f>
        <v>#REF!</v>
      </c>
      <c r="T119" s="14" t="e">
        <f>IF(OR(ЦТО!#REF!=ЦТО!$BK$8,ЦТО!#REF!=ЦТО!$BK$9,ЦТО!#REF!=ЦТО!$BK$10),"Обратить внимание","Отклонений нет")</f>
        <v>#REF!</v>
      </c>
      <c r="U119" s="14" t="e">
        <f>IF(OR(ЦТО!#REF!=ЦТО!$BK$8,ЦТО!#REF!=ЦТО!$BK$9,ЦТО!#REF!=ЦТО!$BK$10),"Обратить внимание","Отклонений нет")</f>
        <v>#REF!</v>
      </c>
      <c r="V119" s="47" t="e">
        <f>IF(OR(ЦТО!#REF!=ЦТО!$BK$8,ЦТО!#REF!=ЦТО!$BK$9,ЦТО!#REF!=ЦТО!$BK$10),"Обратить внимание","Отклонений нет")</f>
        <v>#REF!</v>
      </c>
      <c r="W119" s="47" t="e">
        <f>IF(OR(ЦТО!#REF!=ЦТО!$BK$8,ЦТО!#REF!=ЦТО!$BK$9,ЦТО!#REF!=ЦТО!$BK$10),"Обратить внимание","Отклонений нет")</f>
        <v>#REF!</v>
      </c>
      <c r="X119" s="47" t="e">
        <f>IF(OR(ЦТО!#REF!=ЦТО!$BK$8,ЦТО!#REF!=ЦТО!$BK$9,ЦТО!#REF!=ЦТО!$BK$10),"Обратить внимание","Отклонений нет")</f>
        <v>#REF!</v>
      </c>
    </row>
    <row r="120" spans="1:24" ht="18" customHeight="1">
      <c r="A120" s="10">
        <v>118</v>
      </c>
      <c r="B120" s="14" t="e">
        <f>IF(ЦТО!#REF!="","",ЦТО!#REF!)</f>
        <v>#REF!</v>
      </c>
      <c r="C120" s="14" t="e">
        <f>IF(ЦТО!#REF!="","",ЦТО!#REF!)</f>
        <v>#REF!</v>
      </c>
      <c r="D120" s="36" t="e">
        <f>IF(ЦТО!#REF!="","",ЦТО!#REF!)</f>
        <v>#REF!</v>
      </c>
      <c r="E12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F12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G12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H12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I120" s="89" t="e">
        <f>IF(ЦТО!#REF!=ЦТО!#REF!,"Душа",IF(ЦТО!#REF!=ЦТО!#REF!,ЦТО!$X$2,IF(ЦТО!#REF!=ЦТО!#REF!,ЦТО!$Y$2,IF(ЦТО!#REF!=ЦТО!#REF!,ЦТО!$AE$2,IF(ЦТО!#REF!=ЦТО!#REF!,ЦТО!$AF$2,IF(ЦТО!#REF!=ЦТО!#REF!,ЦТО!$AG$2,IF(ЦТО!#REF!=ЦТО!#REF!,ЦТО!$AH$2,IF(ЦТО!#REF!=ЦТО!#REF!,ЦТО!$AI$2,IF(ЦТО!#REF!=ЦТО!#REF!,ЦТО!$AJ$2,IF(ЦТО!#REF!=ЦТО!#REF!,ЦТО!$AK$2))))))))))</f>
        <v>#REF!</v>
      </c>
      <c r="J120" s="47" t="e">
        <f>IF(OR(ЦТО!#REF!=ЦТО!$BK$8,ЦТО!#REF!=ЦТО!$BK$9,ЦТО!#REF!=ЦТО!$BK$10),"Обратить внимание","Отклонений нет")</f>
        <v>#REF!</v>
      </c>
      <c r="K120" s="14" t="e">
        <f>IF(OR(ЦТО!#REF!=ЦТО!$BK$8,ЦТО!#REF!=ЦТО!$BK$9,ЦТО!#REF!=ЦТО!$BK$10),"Обратить внимание","Отклонений нет")</f>
        <v>#REF!</v>
      </c>
      <c r="L120" s="14" t="e">
        <f>IF(OR(ЦТО!#REF!=ЦТО!$BK$8,ЦТО!#REF!=ЦТО!$BK$9,ЦТО!#REF!=ЦТО!$BK$10),"Обратить внимание","Отклонений нет")</f>
        <v>#REF!</v>
      </c>
      <c r="M120" s="14" t="e">
        <f>IF(OR(ЦТО!#REF!=ЦТО!$BK$8,ЦТО!#REF!=ЦТО!$BK$9,ЦТО!#REF!=ЦТО!$BK$10),"Обратить внимание","Отклонений нет")</f>
        <v>#REF!</v>
      </c>
      <c r="N120" s="14" t="e">
        <f>IF(OR(ЦТО!#REF!=ЦТО!$BK$8,ЦТО!#REF!=ЦТО!$BK$9,ЦТО!#REF!=ЦТО!$BK$10),"Обратить внимание","Отклонений нет")</f>
        <v>#REF!</v>
      </c>
      <c r="O120" s="14" t="e">
        <f>IF(OR(ЦТО!#REF!=ЦТО!$BK$8,ЦТО!#REF!=ЦТО!$BK$9,ЦТО!#REF!=ЦТО!$BK$10),"Обратить внимание","Отклонений нет")</f>
        <v>#REF!</v>
      </c>
      <c r="P120" s="14" t="e">
        <f>IF(OR(ЦТО!#REF!=ЦТО!$BK$8,ЦТО!#REF!=ЦТО!$BK$9,ЦТО!#REF!=ЦТО!$BK$10),"Обратить внимание","Отклонений нет")</f>
        <v>#REF!</v>
      </c>
      <c r="Q120" s="14" t="e">
        <f>IF(OR(ЦТО!#REF!=ЦТО!$BK$8,ЦТО!#REF!=ЦТО!$BK$9,ЦТО!#REF!=ЦТО!$BK$10),"Обратить внимание","Отклонений нет")</f>
        <v>#REF!</v>
      </c>
      <c r="R120" s="14" t="e">
        <f>IF(OR(ЦТО!#REF!=ЦТО!$BK$8,ЦТО!#REF!=ЦТО!$BK$9,ЦТО!#REF!=ЦТО!$BK$10),"Обратить внимание","Отклонений нет")</f>
        <v>#REF!</v>
      </c>
      <c r="S120" s="14" t="e">
        <f>IF(OR(ЦТО!#REF!=ЦТО!$BK$8,ЦТО!#REF!=ЦТО!$BK$9,ЦТО!#REF!=ЦТО!$BK$10),"Обратить внимание","Отклонений нет")</f>
        <v>#REF!</v>
      </c>
      <c r="T120" s="14" t="e">
        <f>IF(OR(ЦТО!#REF!=ЦТО!$BK$8,ЦТО!#REF!=ЦТО!$BK$9,ЦТО!#REF!=ЦТО!$BK$10),"Обратить внимание","Отклонений нет")</f>
        <v>#REF!</v>
      </c>
      <c r="U120" s="14" t="e">
        <f>IF(OR(ЦТО!#REF!=ЦТО!$BK$8,ЦТО!#REF!=ЦТО!$BK$9,ЦТО!#REF!=ЦТО!$BK$10),"Обратить внимание","Отклонений нет")</f>
        <v>#REF!</v>
      </c>
      <c r="V120" s="47" t="e">
        <f>IF(OR(ЦТО!#REF!=ЦТО!$BK$8,ЦТО!#REF!=ЦТО!$BK$9,ЦТО!#REF!=ЦТО!$BK$10),"Обратить внимание","Отклонений нет")</f>
        <v>#REF!</v>
      </c>
      <c r="W120" s="47" t="e">
        <f>IF(OR(ЦТО!#REF!=ЦТО!$BK$8,ЦТО!#REF!=ЦТО!$BK$9,ЦТО!#REF!=ЦТО!$BK$10),"Обратить внимание","Отклонений нет")</f>
        <v>#REF!</v>
      </c>
      <c r="X120" s="47" t="e">
        <f>IF(OR(ЦТО!#REF!=ЦТО!$BK$8,ЦТО!#REF!=ЦТО!$BK$9,ЦТО!#REF!=ЦТО!$BK$10),"Обратить внимание","Отклонений нет")</f>
        <v>#REF!</v>
      </c>
    </row>
  </sheetData>
  <mergeCells count="4">
    <mergeCell ref="B1:B2"/>
    <mergeCell ref="C1:C2"/>
    <mergeCell ref="D1:D2"/>
    <mergeCell ref="E1:I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D41A688-FD3F-4A4D-B23F-5C5E26D1159C}">
            <xm:f>NOT(ISERROR(SEARCH('вспомогательные данные'!$C$3,J3)))</xm:f>
            <xm:f>'вспомогательные данные'!$C$3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" operator="containsText" id="{06566A34-57B4-442A-B021-515F7AB5D9A4}">
            <xm:f>NOT(ISERROR(SEARCH('вспомогательные данные'!$C$2,J3)))</xm:f>
            <xm:f>'вспомогательные данные'!$C$2</xm:f>
            <x14:dxf>
              <fill>
                <patternFill>
                  <bgColor theme="9" tint="0.79998168889431442"/>
                </patternFill>
              </fill>
            </x14:dxf>
          </x14:cfRule>
          <xm:sqref>J3:X120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9"/>
  <sheetViews>
    <sheetView zoomScale="59" workbookViewId="0">
      <pane ySplit="1" topLeftCell="A2" activePane="bottomLeft" state="frozen"/>
      <selection pane="bottomLeft" activeCell="N1" sqref="N1:N2"/>
    </sheetView>
  </sheetViews>
  <sheetFormatPr defaultColWidth="8.81640625" defaultRowHeight="14.5" outlineLevelCol="1"/>
  <cols>
    <col min="1" max="1" width="6.36328125" style="80" customWidth="1"/>
    <col min="2" max="2" width="18.453125" style="87" customWidth="1"/>
    <col min="3" max="3" width="8.81640625" style="80" customWidth="1"/>
    <col min="4" max="4" width="10.1796875" style="80" hidden="1" customWidth="1"/>
    <col min="5" max="5" width="16.1796875" style="80" customWidth="1"/>
    <col min="6" max="6" width="31.6328125" style="80" customWidth="1"/>
    <col min="7" max="7" width="14.453125" style="80" customWidth="1"/>
    <col min="8" max="12" width="8.81640625" style="80" hidden="1" customWidth="1" outlineLevel="1"/>
    <col min="13" max="13" width="21" style="80" hidden="1" customWidth="1" collapsed="1"/>
    <col min="14" max="23" width="21" style="80" customWidth="1"/>
    <col min="24" max="24" width="21.36328125" style="80" customWidth="1"/>
    <col min="25" max="25" width="12.6328125" style="81" hidden="1" customWidth="1"/>
    <col min="26" max="27" width="8.81640625" style="81" hidden="1" customWidth="1"/>
    <col min="28" max="28" width="15" style="80" hidden="1" customWidth="1"/>
    <col min="29" max="29" width="47" style="80" customWidth="1"/>
    <col min="30" max="16384" width="8.81640625" style="10"/>
  </cols>
  <sheetData>
    <row r="1" spans="1:29" ht="28.75" customHeight="1">
      <c r="B1" s="118" t="s">
        <v>10</v>
      </c>
      <c r="C1" s="116" t="s">
        <v>0</v>
      </c>
      <c r="D1" s="116" t="s">
        <v>24</v>
      </c>
      <c r="E1" s="116" t="s">
        <v>51</v>
      </c>
      <c r="F1" s="116" t="s">
        <v>47</v>
      </c>
      <c r="G1" s="116" t="s">
        <v>48</v>
      </c>
      <c r="H1" s="116" t="s">
        <v>14</v>
      </c>
      <c r="I1" s="116" t="s">
        <v>16</v>
      </c>
      <c r="J1" s="116" t="s">
        <v>18</v>
      </c>
      <c r="K1" s="116" t="s">
        <v>20</v>
      </c>
      <c r="L1" s="116" t="s">
        <v>21</v>
      </c>
      <c r="M1" s="116" t="str">
        <f>ЦТО!W2</f>
        <v>Душа</v>
      </c>
      <c r="N1" s="116" t="str">
        <f>ЦТО!X2</f>
        <v>Школа</v>
      </c>
      <c r="O1" s="116" t="str">
        <f>ЦТО!Y2</f>
        <v>Чтение</v>
      </c>
      <c r="P1" s="116" t="str">
        <f>ЦТО!Z2</f>
        <v>Математика</v>
      </c>
      <c r="Q1" s="116" t="str">
        <f>ЦТО!AA2</f>
        <v>Русский яз</v>
      </c>
      <c r="R1" s="116" t="str">
        <f>ЦТО!AB2</f>
        <v>Английский яз</v>
      </c>
      <c r="S1" s="116" t="str">
        <f>ЦТО!AC2</f>
        <v>Исследование</v>
      </c>
      <c r="T1" s="116" t="str">
        <f>ЦТО!AD2</f>
        <v>Педагог</v>
      </c>
      <c r="U1" s="116" t="str">
        <f>ЦТО!AE2</f>
        <v>Одноклассники</v>
      </c>
      <c r="V1" s="116" t="str">
        <f>ЦТО!AF2</f>
        <v>Дом</v>
      </c>
      <c r="W1" s="116" t="str">
        <f>ЦТО!AG2</f>
        <v>Уроки</v>
      </c>
      <c r="X1" s="116" t="str">
        <f>ЦТО!AH2</f>
        <v>Свое</v>
      </c>
      <c r="Y1" s="117" t="str">
        <f>ЦТО!AI2</f>
        <v>Наставник</v>
      </c>
      <c r="Z1" s="117" t="str">
        <f>ЦТО!AJ2</f>
        <v>Одноклассники</v>
      </c>
      <c r="AA1" s="117" t="str">
        <f>ЦТО!AK2</f>
        <v>Домашнее задание</v>
      </c>
      <c r="AB1" s="116" t="s">
        <v>128</v>
      </c>
      <c r="AC1" s="116" t="s">
        <v>129</v>
      </c>
    </row>
    <row r="2" spans="1:29" ht="28.75" customHeight="1">
      <c r="B2" s="118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7"/>
      <c r="Z2" s="117"/>
      <c r="AA2" s="117"/>
      <c r="AB2" s="116"/>
      <c r="AC2" s="116"/>
    </row>
    <row r="3" spans="1:29" s="86" customFormat="1" ht="18" customHeight="1">
      <c r="A3" s="83">
        <v>1</v>
      </c>
      <c r="B3" s="88" t="str">
        <f>IF(ЦТО!B3="","",ЦТО!B3)</f>
        <v>А</v>
      </c>
      <c r="C3" s="83" t="str">
        <f>IF(ЦТО!C3="","",ЦТО!C3)</f>
        <v>2 а</v>
      </c>
      <c r="D3" s="84" t="str">
        <f>IF(ЦТО!D3="","",ЦТО!D3)</f>
        <v/>
      </c>
      <c r="E3" s="80" t="str">
        <f>IF($B3="","",'1_обработка CО,ВК,ЭК'!F4)</f>
        <v>положительный</v>
      </c>
      <c r="F3" s="80" t="e">
        <f>IF($B3="","",'1_обработка CО,ВК,ЭК'!H4)</f>
        <v>#VALUE!</v>
      </c>
      <c r="G3" s="80" t="b">
        <f>IF($B3="","",'1_обработка CО,ВК,ЭК'!I4)</f>
        <v>0</v>
      </c>
      <c r="H3" s="83" t="str">
        <f>IF($B3="","",'2-3_обработка'!E3)</f>
        <v>Душа</v>
      </c>
      <c r="I3" s="83" t="str">
        <f>IF($B3="","",'2-3_обработка'!F3)</f>
        <v>Душа</v>
      </c>
      <c r="J3" s="83" t="str">
        <f>IF($B3="","",'2-3_обработка'!G3)</f>
        <v>Душа</v>
      </c>
      <c r="K3" s="83" t="str">
        <f>IF($B3="","",'2-3_обработка'!H3)</f>
        <v>Душа</v>
      </c>
      <c r="L3" s="83" t="str">
        <f>IF($B3="","",'2-3_обработка'!I3)</f>
        <v>Душа</v>
      </c>
      <c r="M3" s="83" t="str">
        <f>IF($B3="","",'2-3_обработка'!J3)</f>
        <v>Отклонений нет</v>
      </c>
      <c r="N3" s="83" t="str">
        <f>IF($B3="","",'2-3_обработка'!K3)</f>
        <v>Отклонений нет</v>
      </c>
      <c r="O3" s="83" t="str">
        <f>IF($B3="","",'2-3_обработка'!L3)</f>
        <v>Отклонений нет</v>
      </c>
      <c r="P3" s="83" t="str">
        <f>IF($B3="","",'2-3_обработка'!M3)</f>
        <v>Отклонений нет</v>
      </c>
      <c r="Q3" s="83" t="str">
        <f>IF($B3="","",'2-3_обработка'!N3)</f>
        <v>Отклонений нет</v>
      </c>
      <c r="R3" s="83" t="str">
        <f>IF($B3="","",'2-3_обработка'!O3)</f>
        <v>Отклонений нет</v>
      </c>
      <c r="S3" s="83" t="str">
        <f>IF($B3="","",'2-3_обработка'!P3)</f>
        <v>Отклонений нет</v>
      </c>
      <c r="T3" s="83" t="str">
        <f>IF($B3="","",'2-3_обработка'!Q3)</f>
        <v>Отклонений нет</v>
      </c>
      <c r="U3" s="83" t="str">
        <f>IF($B3="","",'2-3_обработка'!R3)</f>
        <v>Отклонений нет</v>
      </c>
      <c r="V3" s="83" t="str">
        <f>IF($B3="","",'2-3_обработка'!S3)</f>
        <v>Отклонений нет</v>
      </c>
      <c r="W3" s="83" t="str">
        <f>IF($B3="","",'2-3_обработка'!T3)</f>
        <v>Отклонений нет</v>
      </c>
      <c r="X3" s="83" t="str">
        <f>IF($B3="","",'2-3_обработка'!U3)</f>
        <v>Отклонений нет</v>
      </c>
      <c r="Y3" s="85" t="str">
        <f>IF($B3="","",'2-3_обработка'!V3)</f>
        <v>Отклонений нет</v>
      </c>
      <c r="Z3" s="85" t="str">
        <f>IF($B3="","",'2-3_обработка'!W3)</f>
        <v>Отклонений нет</v>
      </c>
      <c r="AA3" s="85" t="str">
        <f>IF($B3="","",'2-3_обработка'!X3)</f>
        <v>Отклонений нет</v>
      </c>
      <c r="AB3" s="83" t="s">
        <v>131</v>
      </c>
      <c r="AC3" s="83"/>
    </row>
    <row r="4" spans="1:29" ht="18" customHeight="1">
      <c r="A4" s="80">
        <v>2</v>
      </c>
      <c r="B4" s="87" t="str">
        <f>IF(ЦТО!B4="","",ЦТО!B4)</f>
        <v>Б</v>
      </c>
      <c r="C4" s="80" t="str">
        <f>IF(ЦТО!C4="","",ЦТО!C4)</f>
        <v>2 а</v>
      </c>
      <c r="D4" s="82" t="str">
        <f>IF(ЦТО!D4="","",ЦТО!D4)</f>
        <v/>
      </c>
      <c r="E4" s="80" t="str">
        <f>IF($B4="","",'1_обработка CО,ВК,ЭК'!F5)</f>
        <v>отрицательный</v>
      </c>
      <c r="F4" s="80" t="str">
        <f>IF($B4="","",'1_обработка CО,ВК,ЭК'!H5)</f>
        <v>оптимальная работоспособность</v>
      </c>
      <c r="G4" s="80" t="str">
        <f>IF($B4="","",'1_обработка CО,ВК,ЭК'!I5)</f>
        <v>Инфантильная</v>
      </c>
      <c r="H4" s="80" t="b">
        <f>IF($B4="","",'2-3_обработка'!E4)</f>
        <v>0</v>
      </c>
      <c r="I4" s="80" t="str">
        <f>IF($B4="","",'2-3_обработка'!F4)</f>
        <v>Уроки</v>
      </c>
      <c r="J4" s="80" t="str">
        <f>IF($B4="","",'2-3_обработка'!G4)</f>
        <v>Школа</v>
      </c>
      <c r="K4" s="80" t="b">
        <f>IF($B4="","",'2-3_обработка'!H4)</f>
        <v>0</v>
      </c>
      <c r="L4" s="80" t="str">
        <f>IF($B4="","",'2-3_обработка'!I4)</f>
        <v>Школа</v>
      </c>
      <c r="M4" s="80" t="str">
        <f>IF($B4="","",'2-3_обработка'!J4)</f>
        <v>Отклонений нет</v>
      </c>
      <c r="N4" s="80" t="str">
        <f>IF($B4="","",'2-3_обработка'!K4)</f>
        <v>Обратить внимание</v>
      </c>
      <c r="O4" s="80" t="str">
        <f>IF($B4="","",'2-3_обработка'!L4)</f>
        <v>Отклонений нет</v>
      </c>
      <c r="P4" s="80" t="str">
        <f>IF($B4="","",'2-3_обработка'!M4)</f>
        <v>Отклонений нет</v>
      </c>
      <c r="Q4" s="80" t="str">
        <f>IF($B4="","",'2-3_обработка'!N4)</f>
        <v>Обратить внимание</v>
      </c>
      <c r="R4" s="80" t="str">
        <f>IF($B4="","",'2-3_обработка'!O4)</f>
        <v>Обратить внимание</v>
      </c>
      <c r="S4" s="80" t="str">
        <f>IF($B4="","",'2-3_обработка'!P4)</f>
        <v>Отклонений нет</v>
      </c>
      <c r="T4" s="80" t="str">
        <f>IF($B4="","",'2-3_обработка'!Q4)</f>
        <v>Отклонений нет</v>
      </c>
      <c r="U4" s="80" t="str">
        <f>IF($B4="","",'2-3_обработка'!R4)</f>
        <v>Отклонений нет</v>
      </c>
      <c r="V4" s="80" t="str">
        <f>IF($B4="","",'2-3_обработка'!S4)</f>
        <v>Отклонений нет</v>
      </c>
      <c r="W4" s="80" t="str">
        <f>IF($B4="","",'2-3_обработка'!T4)</f>
        <v>Обратить внимание</v>
      </c>
      <c r="X4" s="80" t="str">
        <f>IF($B4="","",'2-3_обработка'!U4)</f>
        <v>Обратить внимание</v>
      </c>
      <c r="Y4" s="81" t="str">
        <f>IF($B4="","",'2-3_обработка'!V4)</f>
        <v>Отклонений нет</v>
      </c>
      <c r="Z4" s="81" t="str">
        <f>IF($B4="","",'2-3_обработка'!W4)</f>
        <v>Отклонений нет</v>
      </c>
      <c r="AA4" s="81" t="str">
        <f>IF($B4="","",'2-3_обработка'!X4)</f>
        <v>Отклонений нет</v>
      </c>
      <c r="AB4" s="80" t="s">
        <v>132</v>
      </c>
    </row>
    <row r="5" spans="1:29" ht="18" customHeight="1">
      <c r="A5" s="80">
        <v>3</v>
      </c>
      <c r="B5" s="87" t="str">
        <f>IF(ЦТО!B5="","",ЦТО!B5)</f>
        <v>В</v>
      </c>
      <c r="C5" s="80" t="str">
        <f>IF(ЦТО!C5="","",ЦТО!C5)</f>
        <v>2 а</v>
      </c>
      <c r="D5" s="82" t="str">
        <f>IF(ЦТО!D5="","",ЦТО!D5)</f>
        <v/>
      </c>
      <c r="E5" s="80" t="str">
        <f>IF($B5="","",'1_обработка CО,ВК,ЭК'!F6)</f>
        <v>отрицательный</v>
      </c>
      <c r="F5" s="80" t="str">
        <f>IF($B5="","",'1_обработка CО,ВК,ЭК'!H6)</f>
        <v>усталость</v>
      </c>
      <c r="G5" s="80" t="str">
        <f>IF($B5="","",'1_обработка CО,ВК,ЭК'!I6)</f>
        <v>Инфантильная</v>
      </c>
      <c r="H5" s="80" t="b">
        <f>IF($B5="","",'2-3_обработка'!E5)</f>
        <v>0</v>
      </c>
      <c r="I5" s="80" t="str">
        <f>IF($B5="","",'2-3_обработка'!F5)</f>
        <v>Уроки</v>
      </c>
      <c r="J5" s="80" t="str">
        <f>IF($B5="","",'2-3_обработка'!G5)</f>
        <v>Школа</v>
      </c>
      <c r="K5" s="80" t="b">
        <f>IF($B5="","",'2-3_обработка'!H5)</f>
        <v>0</v>
      </c>
      <c r="L5" s="80" t="str">
        <f>IF($B5="","",'2-3_обработка'!I5)</f>
        <v>Школа</v>
      </c>
      <c r="M5" s="80" t="str">
        <f>IF($B5="","",'2-3_обработка'!J5)</f>
        <v>Отклонений нет</v>
      </c>
      <c r="N5" s="80" t="str">
        <f>IF($B5="","",'2-3_обработка'!K5)</f>
        <v>Обратить внимание</v>
      </c>
      <c r="O5" s="80" t="str">
        <f>IF($B5="","",'2-3_обработка'!L5)</f>
        <v>Отклонений нет</v>
      </c>
      <c r="P5" s="80" t="str">
        <f>IF($B5="","",'2-3_обработка'!M5)</f>
        <v>Отклонений нет</v>
      </c>
      <c r="Q5" s="80" t="str">
        <f>IF($B5="","",'2-3_обработка'!N5)</f>
        <v>Обратить внимание</v>
      </c>
      <c r="R5" s="80" t="str">
        <f>IF($B5="","",'2-3_обработка'!O5)</f>
        <v>Обратить внимание</v>
      </c>
      <c r="S5" s="80" t="str">
        <f>IF($B5="","",'2-3_обработка'!P5)</f>
        <v>Отклонений нет</v>
      </c>
      <c r="T5" s="80" t="str">
        <f>IF($B5="","",'2-3_обработка'!Q5)</f>
        <v>Отклонений нет</v>
      </c>
      <c r="U5" s="80" t="str">
        <f>IF($B5="","",'2-3_обработка'!R5)</f>
        <v>Отклонений нет</v>
      </c>
      <c r="V5" s="80" t="str">
        <f>IF($B5="","",'2-3_обработка'!S5)</f>
        <v>Отклонений нет</v>
      </c>
      <c r="W5" s="80" t="str">
        <f>IF($B5="","",'2-3_обработка'!T5)</f>
        <v>Обратить внимание</v>
      </c>
      <c r="X5" s="80" t="str">
        <f>IF($B5="","",'2-3_обработка'!U5)</f>
        <v>Отклонений нет</v>
      </c>
      <c r="Y5" s="81" t="str">
        <f>IF($B5="","",'2-3_обработка'!V5)</f>
        <v>Отклонений нет</v>
      </c>
      <c r="Z5" s="81" t="str">
        <f>IF($B5="","",'2-3_обработка'!W5)</f>
        <v>Отклонений нет</v>
      </c>
      <c r="AA5" s="81" t="str">
        <f>IF($B5="","",'2-3_обработка'!X5)</f>
        <v>Отклонений нет</v>
      </c>
      <c r="AB5" s="80" t="s">
        <v>133</v>
      </c>
    </row>
    <row r="6" spans="1:29" ht="18" customHeight="1">
      <c r="A6" s="80">
        <v>4</v>
      </c>
      <c r="B6" s="87" t="str">
        <f>IF(ЦТО!B6="","",ЦТО!B6)</f>
        <v>Г</v>
      </c>
      <c r="C6" s="80" t="str">
        <f>IF(ЦТО!C6="","",ЦТО!C6)</f>
        <v>2 а</v>
      </c>
      <c r="D6" s="82" t="str">
        <f>IF(ЦТО!D6="","",ЦТО!D6)</f>
        <v/>
      </c>
      <c r="E6" s="80" t="str">
        <f>IF($B6="","",'1_обработка CО,ВК,ЭК'!F7)</f>
        <v>нормальный</v>
      </c>
      <c r="F6" s="80" t="str">
        <f>IF($B6="","",'1_обработка CО,ВК,ЭК'!H7)</f>
        <v>оптимальная работоспособность</v>
      </c>
      <c r="G6" s="80" t="str">
        <f>IF($B6="","",'1_обработка CО,ВК,ЭК'!I7)</f>
        <v>Положительная</v>
      </c>
      <c r="H6" s="80" t="b">
        <f>IF($B6="","",'2-3_обработка'!E6)</f>
        <v>0</v>
      </c>
      <c r="I6" s="80" t="str">
        <f>IF($B6="","",'2-3_обработка'!F6)</f>
        <v>Школа</v>
      </c>
      <c r="J6" s="80" t="b">
        <f>IF($B6="","",'2-3_обработка'!G6)</f>
        <v>0</v>
      </c>
      <c r="K6" s="80" t="b">
        <f>IF($B6="","",'2-3_обработка'!H6)</f>
        <v>0</v>
      </c>
      <c r="L6" s="80" t="b">
        <f>IF($B6="","",'2-3_обработка'!I6)</f>
        <v>0</v>
      </c>
      <c r="M6" s="80" t="str">
        <f>IF($B6="","",'2-3_обработка'!J6)</f>
        <v>Отклонений нет</v>
      </c>
      <c r="N6" s="80" t="str">
        <f>IF($B6="","",'2-3_обработка'!K6)</f>
        <v>Обратить внимание</v>
      </c>
      <c r="O6" s="80" t="str">
        <f>IF($B6="","",'2-3_обработка'!L6)</f>
        <v>Обратить внимание</v>
      </c>
      <c r="P6" s="80" t="str">
        <f>IF($B6="","",'2-3_обработка'!M6)</f>
        <v>Обратить внимание</v>
      </c>
      <c r="Q6" s="80" t="str">
        <f>IF($B6="","",'2-3_обработка'!N6)</f>
        <v>Обратить внимание</v>
      </c>
      <c r="R6" s="80" t="str">
        <f>IF($B6="","",'2-3_обработка'!O6)</f>
        <v>Обратить внимание</v>
      </c>
      <c r="S6" s="80" t="str">
        <f>IF($B6="","",'2-3_обработка'!P6)</f>
        <v>Обратить внимание</v>
      </c>
      <c r="T6" s="80" t="str">
        <f>IF($B6="","",'2-3_обработка'!Q6)</f>
        <v>Обратить внимание</v>
      </c>
      <c r="U6" s="80" t="str">
        <f>IF($B6="","",'2-3_обработка'!R6)</f>
        <v>Отклонений нет</v>
      </c>
      <c r="V6" s="80" t="str">
        <f>IF($B6="","",'2-3_обработка'!S6)</f>
        <v>Отклонений нет</v>
      </c>
      <c r="W6" s="80" t="str">
        <f>IF($B6="","",'2-3_обработка'!T6)</f>
        <v>Обратить внимание</v>
      </c>
      <c r="X6" s="80" t="str">
        <f>IF($B6="","",'2-3_обработка'!U6)</f>
        <v>Отклонений нет</v>
      </c>
      <c r="Y6" s="81" t="str">
        <f>IF($B6="","",'2-3_обработка'!V6)</f>
        <v>Отклонений нет</v>
      </c>
      <c r="Z6" s="81" t="str">
        <f>IF($B6="","",'2-3_обработка'!W6)</f>
        <v>Отклонений нет</v>
      </c>
      <c r="AA6" s="81" t="str">
        <f>IF($B6="","",'2-3_обработка'!X6)</f>
        <v>Отклонений нет</v>
      </c>
      <c r="AB6" s="80" t="s">
        <v>132</v>
      </c>
    </row>
    <row r="7" spans="1:29" ht="18" customHeight="1">
      <c r="A7" s="80">
        <v>5</v>
      </c>
      <c r="B7" s="87" t="str">
        <f>IF(ЦТО!B7="","",ЦТО!B7)</f>
        <v>Д</v>
      </c>
      <c r="C7" s="80" t="str">
        <f>IF(ЦТО!C7="","",ЦТО!C7)</f>
        <v>2 а</v>
      </c>
      <c r="D7" s="82" t="str">
        <f>IF(ЦТО!D7="","",ЦТО!D7)</f>
        <v/>
      </c>
      <c r="E7" s="80" t="str">
        <f>IF($B7="","",'1_обработка CО,ВК,ЭК'!F8)</f>
        <v>нормальный</v>
      </c>
      <c r="F7" s="80" t="str">
        <f>IF($B7="","",'1_обработка CО,ВК,ЭК'!H8)</f>
        <v>оптимальная работоспособность</v>
      </c>
      <c r="G7" s="80" t="str">
        <f>IF($B7="","",'1_обработка CО,ВК,ЭК'!I8)</f>
        <v>Положительная</v>
      </c>
      <c r="H7" s="80" t="b">
        <f>IF($B7="","",'2-3_обработка'!E7)</f>
        <v>0</v>
      </c>
      <c r="I7" s="80" t="b">
        <f>IF($B7="","",'2-3_обработка'!F7)</f>
        <v>0</v>
      </c>
      <c r="J7" s="80" t="b">
        <f>IF($B7="","",'2-3_обработка'!G7)</f>
        <v>0</v>
      </c>
      <c r="K7" s="80" t="b">
        <f>IF($B7="","",'2-3_обработка'!H7)</f>
        <v>0</v>
      </c>
      <c r="L7" s="80" t="str">
        <f>IF($B7="","",'2-3_обработка'!I7)</f>
        <v>Школа</v>
      </c>
      <c r="M7" s="80" t="str">
        <f>IF($B7="","",'2-3_обработка'!J7)</f>
        <v>Отклонений нет</v>
      </c>
      <c r="N7" s="80" t="str">
        <f>IF($B7="","",'2-3_обработка'!K7)</f>
        <v>Отклонений нет</v>
      </c>
      <c r="O7" s="80" t="str">
        <f>IF($B7="","",'2-3_обработка'!L7)</f>
        <v>Отклонений нет</v>
      </c>
      <c r="P7" s="80" t="str">
        <f>IF($B7="","",'2-3_обработка'!M7)</f>
        <v>Отклонений нет</v>
      </c>
      <c r="Q7" s="80" t="str">
        <f>IF($B7="","",'2-3_обработка'!N7)</f>
        <v>Отклонений нет</v>
      </c>
      <c r="R7" s="80" t="str">
        <f>IF($B7="","",'2-3_обработка'!O7)</f>
        <v>Отклонений нет</v>
      </c>
      <c r="S7" s="80" t="str">
        <f>IF($B7="","",'2-3_обработка'!P7)</f>
        <v>Обратить внимание</v>
      </c>
      <c r="T7" s="80" t="str">
        <f>IF($B7="","",'2-3_обработка'!Q7)</f>
        <v>Отклонений нет</v>
      </c>
      <c r="U7" s="80" t="str">
        <f>IF($B7="","",'2-3_обработка'!R7)</f>
        <v>Отклонений нет</v>
      </c>
      <c r="V7" s="80" t="str">
        <f>IF($B7="","",'2-3_обработка'!S7)</f>
        <v>Отклонений нет</v>
      </c>
      <c r="W7" s="80" t="str">
        <f>IF($B7="","",'2-3_обработка'!T7)</f>
        <v>Отклонений нет</v>
      </c>
      <c r="X7" s="80" t="str">
        <f>IF($B7="","",'2-3_обработка'!U7)</f>
        <v>Отклонений нет</v>
      </c>
      <c r="Y7" s="81" t="str">
        <f>IF($B7="","",'2-3_обработка'!V7)</f>
        <v>Отклонений нет</v>
      </c>
      <c r="Z7" s="81" t="str">
        <f>IF($B7="","",'2-3_обработка'!W7)</f>
        <v>Отклонений нет</v>
      </c>
      <c r="AA7" s="81" t="str">
        <f>IF($B7="","",'2-3_обработка'!X7)</f>
        <v>Отклонений нет</v>
      </c>
      <c r="AB7" s="80" t="s">
        <v>134</v>
      </c>
    </row>
    <row r="8" spans="1:29" s="86" customFormat="1" ht="18" customHeight="1">
      <c r="A8" s="83">
        <v>6</v>
      </c>
      <c r="B8" s="88" t="str">
        <f>IF(ЦТО!B8="","",ЦТО!B8)</f>
        <v>Е</v>
      </c>
      <c r="C8" s="83" t="str">
        <f>IF(ЦТО!C8="","",ЦТО!C8)</f>
        <v>2 а</v>
      </c>
      <c r="D8" s="84" t="str">
        <f>IF(ЦТО!D8="","",ЦТО!D8)</f>
        <v/>
      </c>
      <c r="E8" s="80" t="str">
        <f>IF($B8="","",'1_обработка CО,ВК,ЭК'!F9)</f>
        <v>положительный</v>
      </c>
      <c r="F8" s="80" t="e">
        <f>IF($B8="","",'1_обработка CО,ВК,ЭК'!H9)</f>
        <v>#VALUE!</v>
      </c>
      <c r="G8" s="80" t="b">
        <f>IF($B8="","",'1_обработка CО,ВК,ЭК'!I9)</f>
        <v>0</v>
      </c>
      <c r="H8" s="83" t="str">
        <f>IF($B8="","",'2-3_обработка'!E8)</f>
        <v>Душа</v>
      </c>
      <c r="I8" s="83" t="str">
        <f>IF($B8="","",'2-3_обработка'!F8)</f>
        <v>Душа</v>
      </c>
      <c r="J8" s="83" t="str">
        <f>IF($B8="","",'2-3_обработка'!G8)</f>
        <v>Душа</v>
      </c>
      <c r="K8" s="83" t="str">
        <f>IF($B8="","",'2-3_обработка'!H8)</f>
        <v>Душа</v>
      </c>
      <c r="L8" s="83" t="str">
        <f>IF($B8="","",'2-3_обработка'!I8)</f>
        <v>Душа</v>
      </c>
      <c r="M8" s="83" t="str">
        <f>IF($B8="","",'2-3_обработка'!J8)</f>
        <v>Отклонений нет</v>
      </c>
      <c r="N8" s="83" t="str">
        <f>IF($B8="","",'2-3_обработка'!K8)</f>
        <v>Отклонений нет</v>
      </c>
      <c r="O8" s="83" t="str">
        <f>IF($B8="","",'2-3_обработка'!L8)</f>
        <v>Отклонений нет</v>
      </c>
      <c r="P8" s="83" t="str">
        <f>IF($B8="","",'2-3_обработка'!M8)</f>
        <v>Отклонений нет</v>
      </c>
      <c r="Q8" s="83" t="str">
        <f>IF($B8="","",'2-3_обработка'!N8)</f>
        <v>Отклонений нет</v>
      </c>
      <c r="R8" s="83" t="str">
        <f>IF($B8="","",'2-3_обработка'!O8)</f>
        <v>Отклонений нет</v>
      </c>
      <c r="S8" s="83" t="str">
        <f>IF($B8="","",'2-3_обработка'!P8)</f>
        <v>Отклонений нет</v>
      </c>
      <c r="T8" s="83" t="str">
        <f>IF($B8="","",'2-3_обработка'!Q8)</f>
        <v>Отклонений нет</v>
      </c>
      <c r="U8" s="83" t="str">
        <f>IF($B8="","",'2-3_обработка'!R8)</f>
        <v>Отклонений нет</v>
      </c>
      <c r="V8" s="83" t="str">
        <f>IF($B8="","",'2-3_обработка'!S8)</f>
        <v>Отклонений нет</v>
      </c>
      <c r="W8" s="83" t="str">
        <f>IF($B8="","",'2-3_обработка'!T8)</f>
        <v>Отклонений нет</v>
      </c>
      <c r="X8" s="83" t="str">
        <f>IF($B8="","",'2-3_обработка'!U8)</f>
        <v>Отклонений нет</v>
      </c>
      <c r="Y8" s="85" t="str">
        <f>IF($B8="","",'2-3_обработка'!V8)</f>
        <v>Отклонений нет</v>
      </c>
      <c r="Z8" s="85" t="str">
        <f>IF($B8="","",'2-3_обработка'!W8)</f>
        <v>Отклонений нет</v>
      </c>
      <c r="AA8" s="85" t="str">
        <f>IF($B8="","",'2-3_обработка'!X8)</f>
        <v>Отклонений нет</v>
      </c>
      <c r="AB8" s="83" t="s">
        <v>133</v>
      </c>
      <c r="AC8" s="83"/>
    </row>
    <row r="9" spans="1:29" ht="18" customHeight="1">
      <c r="A9" s="80">
        <v>7</v>
      </c>
      <c r="B9" s="87" t="str">
        <f>IF(ЦТО!B9="","",ЦТО!B9)</f>
        <v>Ж</v>
      </c>
      <c r="C9" s="80" t="str">
        <f>IF(ЦТО!C9="","",ЦТО!C9)</f>
        <v>2 а</v>
      </c>
      <c r="D9" s="82" t="str">
        <f>IF(ЦТО!D9="","",ЦТО!D9)</f>
        <v/>
      </c>
      <c r="E9" s="80" t="str">
        <f>IF($B9="","",'1_обработка CО,ВК,ЭК'!F10)</f>
        <v>нормальный</v>
      </c>
      <c r="F9" s="80" t="str">
        <f>IF($B9="","",'1_обработка CО,ВК,ЭК'!H10)</f>
        <v>оптимальная работоспособность</v>
      </c>
      <c r="G9" s="80" t="str">
        <f>IF($B9="","",'1_обработка CО,ВК,ЭК'!I10)</f>
        <v>Инфантильная</v>
      </c>
      <c r="H9" s="80" t="b">
        <f>IF($B9="","",'2-3_обработка'!E9)</f>
        <v>0</v>
      </c>
      <c r="I9" s="80" t="str">
        <f>IF($B9="","",'2-3_обработка'!F9)</f>
        <v>Уроки</v>
      </c>
      <c r="J9" s="80" t="b">
        <f>IF($B9="","",'2-3_обработка'!G9)</f>
        <v>0</v>
      </c>
      <c r="K9" s="80" t="b">
        <f>IF($B9="","",'2-3_обработка'!H9)</f>
        <v>0</v>
      </c>
      <c r="L9" s="80" t="str">
        <f>IF($B9="","",'2-3_обработка'!I9)</f>
        <v>Уроки</v>
      </c>
      <c r="M9" s="80" t="str">
        <f>IF($B9="","",'2-3_обработка'!J9)</f>
        <v>Отклонений нет</v>
      </c>
      <c r="N9" s="80" t="str">
        <f>IF($B9="","",'2-3_обработка'!K9)</f>
        <v>Отклонений нет</v>
      </c>
      <c r="O9" s="80" t="str">
        <f>IF($B9="","",'2-3_обработка'!L9)</f>
        <v>Отклонений нет</v>
      </c>
      <c r="P9" s="80" t="str">
        <f>IF($B9="","",'2-3_обработка'!M9)</f>
        <v>Отклонений нет</v>
      </c>
      <c r="Q9" s="80" t="str">
        <f>IF($B9="","",'2-3_обработка'!N9)</f>
        <v>Отклонений нет</v>
      </c>
      <c r="R9" s="80" t="str">
        <f>IF($B9="","",'2-3_обработка'!O9)</f>
        <v>Отклонений нет</v>
      </c>
      <c r="S9" s="80" t="str">
        <f>IF($B9="","",'2-3_обработка'!P9)</f>
        <v>Отклонений нет</v>
      </c>
      <c r="T9" s="80" t="str">
        <f>IF($B9="","",'2-3_обработка'!Q9)</f>
        <v>Отклонений нет</v>
      </c>
      <c r="U9" s="80" t="str">
        <f>IF($B9="","",'2-3_обработка'!R9)</f>
        <v>Отклонений нет</v>
      </c>
      <c r="V9" s="80" t="str">
        <f>IF($B9="","",'2-3_обработка'!S9)</f>
        <v>Отклонений нет</v>
      </c>
      <c r="W9" s="80" t="str">
        <f>IF($B9="","",'2-3_обработка'!T9)</f>
        <v>Обратить внимание</v>
      </c>
      <c r="X9" s="80" t="str">
        <f>IF($B9="","",'2-3_обработка'!U9)</f>
        <v>Отклонений нет</v>
      </c>
      <c r="Y9" s="81" t="str">
        <f>IF($B9="","",'2-3_обработка'!V9)</f>
        <v>Отклонений нет</v>
      </c>
      <c r="Z9" s="81" t="str">
        <f>IF($B9="","",'2-3_обработка'!W9)</f>
        <v>Отклонений нет</v>
      </c>
      <c r="AA9" s="81" t="str">
        <f>IF($B9="","",'2-3_обработка'!X9)</f>
        <v>Отклонений нет</v>
      </c>
      <c r="AB9" s="80" t="s">
        <v>131</v>
      </c>
    </row>
    <row r="10" spans="1:29" ht="18" customHeight="1">
      <c r="A10" s="80">
        <v>8</v>
      </c>
      <c r="B10" s="87" t="str">
        <f>IF(ЦТО!B10="","",ЦТО!B10)</f>
        <v>З</v>
      </c>
      <c r="C10" s="80" t="str">
        <f>IF(ЦТО!C10="","",ЦТО!C10)</f>
        <v>2 а</v>
      </c>
      <c r="D10" s="82" t="str">
        <f>IF(ЦТО!D10="","",ЦТО!D10)</f>
        <v/>
      </c>
      <c r="E10" s="80" t="str">
        <f>IF($B10="","",'1_обработка CО,ВК,ЭК'!F11)</f>
        <v>отрицательный</v>
      </c>
      <c r="F10" s="80" t="str">
        <f>IF($B10="","",'1_обработка CО,ВК,ЭК'!H11)</f>
        <v>оптимальная работоспособность</v>
      </c>
      <c r="G10" s="80" t="str">
        <f>IF($B10="","",'1_обработка CО,ВК,ЭК'!I11)</f>
        <v>Положительная</v>
      </c>
      <c r="H10" s="80" t="b">
        <f>IF($B10="","",'2-3_обработка'!E10)</f>
        <v>0</v>
      </c>
      <c r="I10" s="80" t="str">
        <f>IF($B10="","",'2-3_обработка'!F10)</f>
        <v>Чтение</v>
      </c>
      <c r="J10" s="80" t="b">
        <f>IF($B10="","",'2-3_обработка'!G10)</f>
        <v>0</v>
      </c>
      <c r="K10" s="80" t="b">
        <f>IF($B10="","",'2-3_обработка'!H10)</f>
        <v>0</v>
      </c>
      <c r="L10" s="80" t="b">
        <f>IF($B10="","",'2-3_обработка'!I10)</f>
        <v>0</v>
      </c>
      <c r="M10" s="80" t="str">
        <f>IF($B10="","",'2-3_обработка'!J10)</f>
        <v>Отклонений нет</v>
      </c>
      <c r="N10" s="80" t="str">
        <f>IF($B10="","",'2-3_обработка'!K10)</f>
        <v>Отклонений нет</v>
      </c>
      <c r="O10" s="80" t="str">
        <f>IF($B10="","",'2-3_обработка'!L10)</f>
        <v>Отклонений нет</v>
      </c>
      <c r="P10" s="80" t="str">
        <f>IF($B10="","",'2-3_обработка'!M10)</f>
        <v>Отклонений нет</v>
      </c>
      <c r="Q10" s="80" t="str">
        <f>IF($B10="","",'2-3_обработка'!N10)</f>
        <v>Отклонений нет</v>
      </c>
      <c r="R10" s="80" t="str">
        <f>IF($B10="","",'2-3_обработка'!O10)</f>
        <v>Обратить внимание</v>
      </c>
      <c r="S10" s="80" t="str">
        <f>IF($B10="","",'2-3_обработка'!P10)</f>
        <v>Отклонений нет</v>
      </c>
      <c r="T10" s="80" t="str">
        <f>IF($B10="","",'2-3_обработка'!Q10)</f>
        <v>Отклонений нет</v>
      </c>
      <c r="U10" s="80" t="str">
        <f>IF($B10="","",'2-3_обработка'!R10)</f>
        <v>Отклонений нет</v>
      </c>
      <c r="V10" s="80" t="str">
        <f>IF($B10="","",'2-3_обработка'!S10)</f>
        <v>Отклонений нет</v>
      </c>
      <c r="W10" s="80" t="str">
        <f>IF($B10="","",'2-3_обработка'!T10)</f>
        <v>Отклонений нет</v>
      </c>
      <c r="X10" s="80" t="str">
        <f>IF($B10="","",'2-3_обработка'!U10)</f>
        <v>Отклонений нет</v>
      </c>
      <c r="Y10" s="81" t="str">
        <f>IF($B10="","",'2-3_обработка'!V10)</f>
        <v>Отклонений нет</v>
      </c>
      <c r="Z10" s="81" t="str">
        <f>IF($B10="","",'2-3_обработка'!W10)</f>
        <v>Отклонений нет</v>
      </c>
      <c r="AA10" s="81" t="str">
        <f>IF($B10="","",'2-3_обработка'!X10)</f>
        <v>Отклонений нет</v>
      </c>
      <c r="AB10" s="80" t="s">
        <v>131</v>
      </c>
    </row>
    <row r="11" spans="1:29" ht="18" customHeight="1">
      <c r="A11" s="80">
        <v>9</v>
      </c>
      <c r="B11" s="87" t="str">
        <f>IF(ЦТО!B11="","",ЦТО!B11)</f>
        <v>И</v>
      </c>
      <c r="C11" s="80" t="str">
        <f>IF(ЦТО!C11="","",ЦТО!C11)</f>
        <v>2 а</v>
      </c>
      <c r="D11" s="82" t="str">
        <f>IF(ЦТО!D11="","",ЦТО!D11)</f>
        <v/>
      </c>
      <c r="E11" s="80" t="str">
        <f>IF($B11="","",'1_обработка CО,ВК,ЭК'!F12)</f>
        <v>нормальный</v>
      </c>
      <c r="F11" s="80" t="str">
        <f>IF($B11="","",'1_обработка CО,ВК,ЭК'!H12)</f>
        <v>оптимальная работоспособность</v>
      </c>
      <c r="G11" s="80" t="str">
        <f>IF($B11="","",'1_обработка CО,ВК,ЭК'!I12)</f>
        <v>Положительная</v>
      </c>
      <c r="H11" s="80" t="b">
        <f>IF($B11="","",'2-3_обработка'!E11)</f>
        <v>0</v>
      </c>
      <c r="I11" s="80" t="b">
        <f>IF($B11="","",'2-3_обработка'!F11)</f>
        <v>0</v>
      </c>
      <c r="J11" s="80" t="b">
        <f>IF($B11="","",'2-3_обработка'!G11)</f>
        <v>0</v>
      </c>
      <c r="K11" s="80" t="b">
        <f>IF($B11="","",'2-3_обработка'!H11)</f>
        <v>0</v>
      </c>
      <c r="L11" s="80" t="b">
        <f>IF($B11="","",'2-3_обработка'!I11)</f>
        <v>0</v>
      </c>
      <c r="M11" s="80" t="str">
        <f>IF($B11="","",'2-3_обработка'!J11)</f>
        <v>Отклонений нет</v>
      </c>
      <c r="N11" s="80" t="str">
        <f>IF($B11="","",'2-3_обработка'!K11)</f>
        <v>Отклонений нет</v>
      </c>
      <c r="O11" s="80" t="str">
        <f>IF($B11="","",'2-3_обработка'!L11)</f>
        <v>Отклонений нет</v>
      </c>
      <c r="P11" s="80" t="str">
        <f>IF($B11="","",'2-3_обработка'!M11)</f>
        <v>Отклонений нет</v>
      </c>
      <c r="Q11" s="80" t="str">
        <f>IF($B11="","",'2-3_обработка'!N11)</f>
        <v>Отклонений нет</v>
      </c>
      <c r="R11" s="80" t="str">
        <f>IF($B11="","",'2-3_обработка'!O11)</f>
        <v>Отклонений нет</v>
      </c>
      <c r="S11" s="80" t="str">
        <f>IF($B11="","",'2-3_обработка'!P11)</f>
        <v>Отклонений нет</v>
      </c>
      <c r="T11" s="80" t="str">
        <f>IF($B11="","",'2-3_обработка'!Q11)</f>
        <v>Отклонений нет</v>
      </c>
      <c r="U11" s="80" t="str">
        <f>IF($B11="","",'2-3_обработка'!R11)</f>
        <v>Отклонений нет</v>
      </c>
      <c r="V11" s="80" t="str">
        <f>IF($B11="","",'2-3_обработка'!S11)</f>
        <v>Отклонений нет</v>
      </c>
      <c r="W11" s="80" t="str">
        <f>IF($B11="","",'2-3_обработка'!T11)</f>
        <v>Отклонений нет</v>
      </c>
      <c r="X11" s="80" t="str">
        <f>IF($B11="","",'2-3_обработка'!U11)</f>
        <v>Отклонений нет</v>
      </c>
      <c r="Y11" s="81" t="str">
        <f>IF($B11="","",'2-3_обработка'!V11)</f>
        <v>Отклонений нет</v>
      </c>
      <c r="Z11" s="81" t="str">
        <f>IF($B11="","",'2-3_обработка'!W11)</f>
        <v>Отклонений нет</v>
      </c>
      <c r="AA11" s="81" t="str">
        <f>IF($B11="","",'2-3_обработка'!X11)</f>
        <v>Отклонений нет</v>
      </c>
      <c r="AB11" s="80" t="s">
        <v>133</v>
      </c>
    </row>
    <row r="12" spans="1:29" ht="18" customHeight="1">
      <c r="A12" s="80">
        <v>10</v>
      </c>
      <c r="B12" s="87" t="str">
        <f>IF(ЦТО!B12="","",ЦТО!B12)</f>
        <v>К</v>
      </c>
      <c r="C12" s="80" t="str">
        <f>IF(ЦТО!C12="","",ЦТО!C12)</f>
        <v>2 а</v>
      </c>
      <c r="D12" s="82" t="str">
        <f>IF(ЦТО!D12="","",ЦТО!D12)</f>
        <v/>
      </c>
      <c r="E12" s="80" t="str">
        <f>IF($B12="","",'1_обработка CО,ВК,ЭК'!F13)</f>
        <v>нормальный</v>
      </c>
      <c r="F12" s="80" t="str">
        <f>IF($B12="","",'1_обработка CО,ВК,ЭК'!H13)</f>
        <v>усталость</v>
      </c>
      <c r="G12" s="80" t="str">
        <f>IF($B12="","",'1_обработка CО,ВК,ЭК'!I13)</f>
        <v>Положительная</v>
      </c>
      <c r="H12" s="80" t="b">
        <f>IF($B12="","",'2-3_обработка'!E12)</f>
        <v>0</v>
      </c>
      <c r="I12" s="80" t="str">
        <f>IF($B12="","",'2-3_обработка'!F12)</f>
        <v>Школа</v>
      </c>
      <c r="J12" s="80" t="str">
        <f>IF($B12="","",'2-3_обработка'!G12)</f>
        <v>Школа</v>
      </c>
      <c r="K12" s="80" t="str">
        <f>IF($B12="","",'2-3_обработка'!H12)</f>
        <v>Школа</v>
      </c>
      <c r="L12" s="80" t="str">
        <f>IF($B12="","",'2-3_обработка'!I12)</f>
        <v>Чтение</v>
      </c>
      <c r="M12" s="80" t="str">
        <f>IF($B12="","",'2-3_обработка'!J12)</f>
        <v>Отклонений нет</v>
      </c>
      <c r="N12" s="80" t="str">
        <f>IF($B12="","",'2-3_обработка'!K12)</f>
        <v>Обратить внимание</v>
      </c>
      <c r="O12" s="80" t="str">
        <f>IF($B12="","",'2-3_обработка'!L12)</f>
        <v>Отклонений нет</v>
      </c>
      <c r="P12" s="80" t="str">
        <f>IF($B12="","",'2-3_обработка'!M12)</f>
        <v>Отклонений нет</v>
      </c>
      <c r="Q12" s="80" t="str">
        <f>IF($B12="","",'2-3_обработка'!N12)</f>
        <v>Обратить внимание</v>
      </c>
      <c r="R12" s="80" t="str">
        <f>IF($B12="","",'2-3_обработка'!O12)</f>
        <v>Отклонений нет</v>
      </c>
      <c r="S12" s="80" t="str">
        <f>IF($B12="","",'2-3_обработка'!P12)</f>
        <v>Отклонений нет</v>
      </c>
      <c r="T12" s="80" t="str">
        <f>IF($B12="","",'2-3_обработка'!Q12)</f>
        <v>Отклонений нет</v>
      </c>
      <c r="U12" s="80" t="str">
        <f>IF($B12="","",'2-3_обработка'!R12)</f>
        <v>Отклонений нет</v>
      </c>
      <c r="V12" s="80" t="str">
        <f>IF($B12="","",'2-3_обработка'!S12)</f>
        <v>Отклонений нет</v>
      </c>
      <c r="W12" s="80" t="str">
        <f>IF($B12="","",'2-3_обработка'!T12)</f>
        <v>Обратить внимание</v>
      </c>
      <c r="X12" s="80" t="str">
        <f>IF($B12="","",'2-3_обработка'!U12)</f>
        <v>Обратить внимание</v>
      </c>
      <c r="Y12" s="81" t="str">
        <f>IF($B12="","",'2-3_обработка'!V12)</f>
        <v>Отклонений нет</v>
      </c>
      <c r="Z12" s="81" t="str">
        <f>IF($B12="","",'2-3_обработка'!W12)</f>
        <v>Отклонений нет</v>
      </c>
      <c r="AA12" s="81" t="str">
        <f>IF($B12="","",'2-3_обработка'!X12)</f>
        <v>Отклонений нет</v>
      </c>
      <c r="AB12" s="80" t="s">
        <v>134</v>
      </c>
    </row>
    <row r="13" spans="1:29" ht="18" customHeight="1">
      <c r="A13" s="80">
        <v>11</v>
      </c>
      <c r="B13" s="87" t="str">
        <f>IF(ЦТО!B13="","",ЦТО!B13)</f>
        <v>Л</v>
      </c>
      <c r="C13" s="80" t="str">
        <f>IF(ЦТО!C13="","",ЦТО!C13)</f>
        <v>2 а</v>
      </c>
      <c r="D13" s="82" t="str">
        <f>IF(ЦТО!D13="","",ЦТО!D13)</f>
        <v/>
      </c>
      <c r="E13" s="80" t="str">
        <f>IF($B13="","",'1_обработка CО,ВК,ЭК'!F14)</f>
        <v>отрицательный</v>
      </c>
      <c r="F13" s="80" t="str">
        <f>IF($B13="","",'1_обработка CО,ВК,ЭК'!H14)</f>
        <v>усталость</v>
      </c>
      <c r="G13" s="80" t="str">
        <f>IF($B13="","",'1_обработка CО,ВК,ЭК'!I14)</f>
        <v>Положительная</v>
      </c>
      <c r="H13" s="80" t="str">
        <f>IF($B13="","",'2-3_обработка'!E13)</f>
        <v>Школа</v>
      </c>
      <c r="I13" s="80" t="b">
        <f>IF($B13="","",'2-3_обработка'!F13)</f>
        <v>0</v>
      </c>
      <c r="J13" s="80" t="b">
        <f>IF($B13="","",'2-3_обработка'!G13)</f>
        <v>0</v>
      </c>
      <c r="K13" s="80" t="str">
        <f>IF($B13="","",'2-3_обработка'!H13)</f>
        <v>Уроки</v>
      </c>
      <c r="L13" s="80" t="b">
        <f>IF($B13="","",'2-3_обработка'!I13)</f>
        <v>0</v>
      </c>
      <c r="M13" s="80" t="str">
        <f>IF($B13="","",'2-3_обработка'!J13)</f>
        <v>Отклонений нет</v>
      </c>
      <c r="N13" s="80" t="str">
        <f>IF($B13="","",'2-3_обработка'!K13)</f>
        <v>Обратить внимание</v>
      </c>
      <c r="O13" s="80" t="str">
        <f>IF($B13="","",'2-3_обработка'!L13)</f>
        <v>Отклонений нет</v>
      </c>
      <c r="P13" s="80" t="str">
        <f>IF($B13="","",'2-3_обработка'!M13)</f>
        <v>Отклонений нет</v>
      </c>
      <c r="Q13" s="80" t="str">
        <f>IF($B13="","",'2-3_обработка'!N13)</f>
        <v>Отклонений нет</v>
      </c>
      <c r="R13" s="80" t="str">
        <f>IF($B13="","",'2-3_обработка'!O13)</f>
        <v>Обратить внимание</v>
      </c>
      <c r="S13" s="80" t="str">
        <f>IF($B13="","",'2-3_обработка'!P13)</f>
        <v>Отклонений нет</v>
      </c>
      <c r="T13" s="80" t="str">
        <f>IF($B13="","",'2-3_обработка'!Q13)</f>
        <v>Отклонений нет</v>
      </c>
      <c r="U13" s="80" t="str">
        <f>IF($B13="","",'2-3_обработка'!R13)</f>
        <v>Обратить внимание</v>
      </c>
      <c r="V13" s="80" t="str">
        <f>IF($B13="","",'2-3_обработка'!S13)</f>
        <v>Отклонений нет</v>
      </c>
      <c r="W13" s="80" t="str">
        <f>IF($B13="","",'2-3_обработка'!T13)</f>
        <v>Отклонений нет</v>
      </c>
      <c r="X13" s="80" t="str">
        <f>IF($B13="","",'2-3_обработка'!U13)</f>
        <v>Отклонений нет</v>
      </c>
      <c r="Y13" s="81" t="str">
        <f>IF($B13="","",'2-3_обработка'!V13)</f>
        <v>Отклонений нет</v>
      </c>
      <c r="Z13" s="81" t="str">
        <f>IF($B13="","",'2-3_обработка'!W13)</f>
        <v>Отклонений нет</v>
      </c>
      <c r="AA13" s="81" t="str">
        <f>IF($B13="","",'2-3_обработка'!X13)</f>
        <v>Отклонений нет</v>
      </c>
      <c r="AB13" s="80" t="s">
        <v>135</v>
      </c>
    </row>
    <row r="14" spans="1:29" ht="18" customHeight="1">
      <c r="A14" s="80">
        <v>12</v>
      </c>
      <c r="B14" s="87" t="str">
        <f>IF(ЦТО!B14="","",ЦТО!B14)</f>
        <v>М</v>
      </c>
      <c r="C14" s="80" t="str">
        <f>IF(ЦТО!C14="","",ЦТО!C14)</f>
        <v>2 а</v>
      </c>
      <c r="D14" s="82" t="str">
        <f>IF(ЦТО!D14="","",ЦТО!D14)</f>
        <v/>
      </c>
      <c r="E14" s="80" t="str">
        <f>IF($B14="","",'1_обработка CО,ВК,ЭК'!F15)</f>
        <v>отрицательный</v>
      </c>
      <c r="F14" s="80" t="str">
        <f>IF($B14="","",'1_обработка CО,ВК,ЭК'!H15)</f>
        <v>оптимальная работоспособность</v>
      </c>
      <c r="G14" s="80" t="str">
        <f>IF($B14="","",'1_обработка CО,ВК,ЭК'!I15)</f>
        <v>Отрицательная</v>
      </c>
      <c r="H14" s="80" t="b">
        <f>IF($B14="","",'2-3_обработка'!E14)</f>
        <v>0</v>
      </c>
      <c r="I14" s="80" t="b">
        <f>IF($B14="","",'2-3_обработка'!F14)</f>
        <v>0</v>
      </c>
      <c r="J14" s="80" t="b">
        <f>IF($B14="","",'2-3_обработка'!G14)</f>
        <v>0</v>
      </c>
      <c r="K14" s="80" t="str">
        <f>IF($B14="","",'2-3_обработка'!H14)</f>
        <v>Чтение</v>
      </c>
      <c r="L14" s="80" t="b">
        <f>IF($B14="","",'2-3_обработка'!I14)</f>
        <v>0</v>
      </c>
      <c r="M14" s="80" t="str">
        <f>IF($B14="","",'2-3_обработка'!J14)</f>
        <v>Отклонений нет</v>
      </c>
      <c r="N14" s="80" t="str">
        <f>IF($B14="","",'2-3_обработка'!K14)</f>
        <v>Обратить внимание</v>
      </c>
      <c r="O14" s="80" t="str">
        <f>IF($B14="","",'2-3_обработка'!L14)</f>
        <v>Отклонений нет</v>
      </c>
      <c r="P14" s="80" t="str">
        <f>IF($B14="","",'2-3_обработка'!M14)</f>
        <v>Отклонений нет</v>
      </c>
      <c r="Q14" s="80" t="str">
        <f>IF($B14="","",'2-3_обработка'!N14)</f>
        <v>Отклонений нет</v>
      </c>
      <c r="R14" s="80" t="str">
        <f>IF($B14="","",'2-3_обработка'!O14)</f>
        <v>Обратить внимание</v>
      </c>
      <c r="S14" s="80" t="str">
        <f>IF($B14="","",'2-3_обработка'!P14)</f>
        <v>Отклонений нет</v>
      </c>
      <c r="T14" s="80" t="str">
        <f>IF($B14="","",'2-3_обработка'!Q14)</f>
        <v>Отклонений нет</v>
      </c>
      <c r="U14" s="80" t="str">
        <f>IF($B14="","",'2-3_обработка'!R14)</f>
        <v>Отклонений нет</v>
      </c>
      <c r="V14" s="80" t="str">
        <f>IF($B14="","",'2-3_обработка'!S14)</f>
        <v>Обратить внимание</v>
      </c>
      <c r="W14" s="80" t="str">
        <f>IF($B14="","",'2-3_обработка'!T14)</f>
        <v>Обратить внимание</v>
      </c>
      <c r="X14" s="80" t="str">
        <f>IF($B14="","",'2-3_обработка'!U14)</f>
        <v>Обратить внимание</v>
      </c>
      <c r="Y14" s="81" t="str">
        <f>IF($B14="","",'2-3_обработка'!V14)</f>
        <v>Отклонений нет</v>
      </c>
      <c r="Z14" s="81" t="str">
        <f>IF($B14="","",'2-3_обработка'!W14)</f>
        <v>Отклонений нет</v>
      </c>
      <c r="AA14" s="81" t="str">
        <f>IF($B14="","",'2-3_обработка'!X14)</f>
        <v>Отклонений нет</v>
      </c>
      <c r="AB14" s="80" t="s">
        <v>132</v>
      </c>
    </row>
    <row r="15" spans="1:29" ht="18" customHeight="1">
      <c r="A15" s="80">
        <v>13</v>
      </c>
      <c r="B15" s="87" t="str">
        <f>IF(ЦТО!B15="","",ЦТО!B15)</f>
        <v>Н</v>
      </c>
      <c r="C15" s="80" t="str">
        <f>IF(ЦТО!C15="","",ЦТО!C15)</f>
        <v>2 а</v>
      </c>
      <c r="D15" s="82" t="str">
        <f>IF(ЦТО!D15="","",ЦТО!D15)</f>
        <v/>
      </c>
      <c r="E15" s="80" t="str">
        <f>IF($B15="","",'1_обработка CО,ВК,ЭК'!F16)</f>
        <v>нормальный</v>
      </c>
      <c r="F15" s="80" t="str">
        <f>IF($B15="","",'1_обработка CО,ВК,ЭК'!H16)</f>
        <v>усталость</v>
      </c>
      <c r="G15" s="80" t="str">
        <f>IF($B15="","",'1_обработка CО,ВК,ЭК'!I16)</f>
        <v>Положительная</v>
      </c>
      <c r="H15" s="80" t="str">
        <f>IF($B15="","",'2-3_обработка'!E15)</f>
        <v>Школа</v>
      </c>
      <c r="I15" s="80" t="b">
        <f>IF($B15="","",'2-3_обработка'!F15)</f>
        <v>0</v>
      </c>
      <c r="J15" s="80" t="str">
        <f>IF($B15="","",'2-3_обработка'!G15)</f>
        <v>Свое</v>
      </c>
      <c r="K15" s="80" t="str">
        <f>IF($B15="","",'2-3_обработка'!H15)</f>
        <v>Чтение</v>
      </c>
      <c r="L15" s="80" t="str">
        <f>IF($B15="","",'2-3_обработка'!I15)</f>
        <v>Школа</v>
      </c>
      <c r="M15" s="80" t="str">
        <f>IF($B15="","",'2-3_обработка'!J15)</f>
        <v>Отклонений нет</v>
      </c>
      <c r="N15" s="80" t="str">
        <f>IF($B15="","",'2-3_обработка'!K15)</f>
        <v>Обратить внимание</v>
      </c>
      <c r="O15" s="80" t="str">
        <f>IF($B15="","",'2-3_обработка'!L15)</f>
        <v>Отклонений нет</v>
      </c>
      <c r="P15" s="80" t="str">
        <f>IF($B15="","",'2-3_обработка'!M15)</f>
        <v>Отклонений нет</v>
      </c>
      <c r="Q15" s="80" t="str">
        <f>IF($B15="","",'2-3_обработка'!N15)</f>
        <v>Отклонений нет</v>
      </c>
      <c r="R15" s="80" t="str">
        <f>IF($B15="","",'2-3_обработка'!O15)</f>
        <v>Обратить внимание</v>
      </c>
      <c r="S15" s="80" t="str">
        <f>IF($B15="","",'2-3_обработка'!P15)</f>
        <v>Отклонений нет</v>
      </c>
      <c r="T15" s="80" t="str">
        <f>IF($B15="","",'2-3_обработка'!Q15)</f>
        <v>Отклонений нет</v>
      </c>
      <c r="U15" s="80" t="str">
        <f>IF($B15="","",'2-3_обработка'!R15)</f>
        <v>Отклонений нет</v>
      </c>
      <c r="V15" s="80" t="str">
        <f>IF($B15="","",'2-3_обработка'!S15)</f>
        <v>Отклонений нет</v>
      </c>
      <c r="W15" s="80" t="str">
        <f>IF($B15="","",'2-3_обработка'!T15)</f>
        <v>Обратить внимание</v>
      </c>
      <c r="X15" s="80" t="str">
        <f>IF($B15="","",'2-3_обработка'!U15)</f>
        <v>Отклонений нет</v>
      </c>
      <c r="Y15" s="81" t="str">
        <f>IF($B15="","",'2-3_обработка'!V15)</f>
        <v>Отклонений нет</v>
      </c>
      <c r="Z15" s="81" t="str">
        <f>IF($B15="","",'2-3_обработка'!W15)</f>
        <v>Отклонений нет</v>
      </c>
      <c r="AA15" s="81" t="str">
        <f>IF($B15="","",'2-3_обработка'!X15)</f>
        <v>Отклонений нет</v>
      </c>
      <c r="AB15" s="80" t="s">
        <v>134</v>
      </c>
    </row>
    <row r="16" spans="1:29" ht="18" customHeight="1">
      <c r="A16" s="80">
        <v>14</v>
      </c>
      <c r="B16" s="87" t="str">
        <f>IF(ЦТО!B16="","",ЦТО!B16)</f>
        <v>О</v>
      </c>
      <c r="C16" s="80" t="str">
        <f>IF(ЦТО!C16="","",ЦТО!C16)</f>
        <v>2 а</v>
      </c>
      <c r="D16" s="82" t="str">
        <f>IF(ЦТО!D16="","",ЦТО!D16)</f>
        <v/>
      </c>
      <c r="E16" s="80" t="str">
        <f>IF($B16="","",'1_обработка CО,ВК,ЭК'!F17)</f>
        <v>нормальный</v>
      </c>
      <c r="F16" s="80" t="str">
        <f>IF($B16="","",'1_обработка CО,ВК,ЭК'!H17)</f>
        <v>усталость</v>
      </c>
      <c r="G16" s="80" t="str">
        <f>IF($B16="","",'1_обработка CО,ВК,ЭК'!I17)</f>
        <v>Положительная</v>
      </c>
      <c r="H16" s="80" t="str">
        <f>IF($B16="","",'2-3_обработка'!E16)</f>
        <v>Школа</v>
      </c>
      <c r="I16" s="80" t="b">
        <f>IF($B16="","",'2-3_обработка'!F16)</f>
        <v>0</v>
      </c>
      <c r="J16" s="80" t="b">
        <f>IF($B16="","",'2-3_обработка'!G16)</f>
        <v>0</v>
      </c>
      <c r="K16" s="80" t="str">
        <f>IF($B16="","",'2-3_обработка'!H16)</f>
        <v>Уроки</v>
      </c>
      <c r="L16" s="80" t="b">
        <f>IF($B16="","",'2-3_обработка'!I16)</f>
        <v>0</v>
      </c>
      <c r="M16" s="80" t="str">
        <f>IF($B16="","",'2-3_обработка'!J16)</f>
        <v>Отклонений нет</v>
      </c>
      <c r="N16" s="80" t="str">
        <f>IF($B16="","",'2-3_обработка'!K16)</f>
        <v>Обратить внимание</v>
      </c>
      <c r="O16" s="80" t="str">
        <f>IF($B16="","",'2-3_обработка'!L16)</f>
        <v>Отклонений нет</v>
      </c>
      <c r="P16" s="80" t="str">
        <f>IF($B16="","",'2-3_обработка'!M16)</f>
        <v>Отклонений нет</v>
      </c>
      <c r="Q16" s="80" t="str">
        <f>IF($B16="","",'2-3_обработка'!N16)</f>
        <v>Отклонений нет</v>
      </c>
      <c r="R16" s="80" t="str">
        <f>IF($B16="","",'2-3_обработка'!O16)</f>
        <v>Обратить внимание</v>
      </c>
      <c r="S16" s="80" t="str">
        <f>IF($B16="","",'2-3_обработка'!P16)</f>
        <v>Отклонений нет</v>
      </c>
      <c r="T16" s="80" t="str">
        <f>IF($B16="","",'2-3_обработка'!Q16)</f>
        <v>Отклонений нет</v>
      </c>
      <c r="U16" s="80" t="str">
        <f>IF($B16="","",'2-3_обработка'!R16)</f>
        <v>Отклонений нет</v>
      </c>
      <c r="V16" s="80" t="str">
        <f>IF($B16="","",'2-3_обработка'!S16)</f>
        <v>Отклонений нет</v>
      </c>
      <c r="W16" s="80" t="str">
        <f>IF($B16="","",'2-3_обработка'!T16)</f>
        <v>Обратить внимание</v>
      </c>
      <c r="X16" s="80" t="str">
        <f>IF($B16="","",'2-3_обработка'!U16)</f>
        <v>Отклонений нет</v>
      </c>
      <c r="Y16" s="81" t="str">
        <f>IF($B16="","",'2-3_обработка'!V16)</f>
        <v>Отклонений нет</v>
      </c>
      <c r="Z16" s="81" t="str">
        <f>IF($B16="","",'2-3_обработка'!W16)</f>
        <v>Отклонений нет</v>
      </c>
      <c r="AA16" s="81" t="str">
        <f>IF($B16="","",'2-3_обработка'!X16)</f>
        <v>Отклонений нет</v>
      </c>
      <c r="AB16" s="80" t="s">
        <v>131</v>
      </c>
    </row>
    <row r="17" spans="1:29" ht="18" customHeight="1">
      <c r="A17" s="80">
        <v>15</v>
      </c>
      <c r="B17" s="87" t="str">
        <f>IF(ЦТО!B17="","",ЦТО!B17)</f>
        <v>П</v>
      </c>
      <c r="C17" s="80" t="str">
        <f>IF(ЦТО!C17="","",ЦТО!C17)</f>
        <v>2 а</v>
      </c>
      <c r="D17" s="82" t="str">
        <f>IF(ЦТО!D17="","",ЦТО!D17)</f>
        <v/>
      </c>
      <c r="E17" s="80" t="str">
        <f>IF($B17="","",'1_обработка CО,ВК,ЭК'!F18)</f>
        <v>нормальный</v>
      </c>
      <c r="F17" s="80" t="str">
        <f>IF($B17="","",'1_обработка CО,ВК,ЭК'!H18)</f>
        <v>оптимальная работоспособность</v>
      </c>
      <c r="G17" s="80" t="str">
        <f>IF($B17="","",'1_обработка CО,ВК,ЭК'!I18)</f>
        <v>Положительная</v>
      </c>
      <c r="H17" s="80" t="b">
        <f>IF($B17="","",'2-3_обработка'!E17)</f>
        <v>0</v>
      </c>
      <c r="I17" s="80" t="str">
        <f>IF($B17="","",'2-3_обработка'!F17)</f>
        <v>Школа</v>
      </c>
      <c r="J17" s="80" t="str">
        <f>IF($B17="","",'2-3_обработка'!G17)</f>
        <v>Школа</v>
      </c>
      <c r="K17" s="80" t="str">
        <f>IF($B17="","",'2-3_обработка'!H17)</f>
        <v>Чтение</v>
      </c>
      <c r="L17" s="80" t="b">
        <f>IF($B17="","",'2-3_обработка'!I17)</f>
        <v>0</v>
      </c>
      <c r="M17" s="80" t="str">
        <f>IF($B17="","",'2-3_обработка'!J17)</f>
        <v>Отклонений нет</v>
      </c>
      <c r="N17" s="80" t="str">
        <f>IF($B17="","",'2-3_обработка'!K17)</f>
        <v>Обратить внимание</v>
      </c>
      <c r="O17" s="80" t="str">
        <f>IF($B17="","",'2-3_обработка'!L17)</f>
        <v>Отклонений нет</v>
      </c>
      <c r="P17" s="80" t="str">
        <f>IF($B17="","",'2-3_обработка'!M17)</f>
        <v>Отклонений нет</v>
      </c>
      <c r="Q17" s="80" t="str">
        <f>IF($B17="","",'2-3_обработка'!N17)</f>
        <v>Обратить внимание</v>
      </c>
      <c r="R17" s="80" t="str">
        <f>IF($B17="","",'2-3_обработка'!O17)</f>
        <v>Обратить внимание</v>
      </c>
      <c r="S17" s="80" t="str">
        <f>IF($B17="","",'2-3_обработка'!P17)</f>
        <v>Отклонений нет</v>
      </c>
      <c r="T17" s="80" t="str">
        <f>IF($B17="","",'2-3_обработка'!Q17)</f>
        <v>Отклонений нет</v>
      </c>
      <c r="U17" s="80" t="str">
        <f>IF($B17="","",'2-3_обработка'!R17)</f>
        <v>Отклонений нет</v>
      </c>
      <c r="V17" s="80" t="str">
        <f>IF($B17="","",'2-3_обработка'!S17)</f>
        <v>Отклонений нет</v>
      </c>
      <c r="W17" s="80" t="str">
        <f>IF($B17="","",'2-3_обработка'!T17)</f>
        <v>Обратить внимание</v>
      </c>
      <c r="X17" s="80" t="str">
        <f>IF($B17="","",'2-3_обработка'!U17)</f>
        <v>Отклонений нет</v>
      </c>
      <c r="Y17" s="81" t="str">
        <f>IF($B17="","",'2-3_обработка'!V17)</f>
        <v>Отклонений нет</v>
      </c>
      <c r="Z17" s="81" t="str">
        <f>IF($B17="","",'2-3_обработка'!W17)</f>
        <v>Отклонений нет</v>
      </c>
      <c r="AA17" s="81" t="str">
        <f>IF($B17="","",'2-3_обработка'!X17)</f>
        <v>Отклонений нет</v>
      </c>
      <c r="AB17" s="80" t="s">
        <v>134</v>
      </c>
    </row>
    <row r="18" spans="1:29" ht="18" customHeight="1">
      <c r="A18" s="80">
        <v>16</v>
      </c>
      <c r="B18" s="87" t="str">
        <f>IF(ЦТО!B18="","",ЦТО!B18)</f>
        <v>Р</v>
      </c>
      <c r="C18" s="80" t="str">
        <f>IF(ЦТО!C18="","",ЦТО!C18)</f>
        <v>2 а</v>
      </c>
      <c r="D18" s="82" t="str">
        <f>IF(ЦТО!D18="","",ЦТО!D18)</f>
        <v/>
      </c>
      <c r="E18" s="80" t="str">
        <f>IF($B18="","",'1_обработка CО,ВК,ЭК'!F19)</f>
        <v>нормальный</v>
      </c>
      <c r="F18" s="80" t="str">
        <f>IF($B18="","",'1_обработка CО,ВК,ЭК'!H19)</f>
        <v>оптимальная работоспособность</v>
      </c>
      <c r="G18" s="80" t="str">
        <f>IF($B18="","",'1_обработка CО,ВК,ЭК'!I19)</f>
        <v>Положительная</v>
      </c>
      <c r="H18" s="80" t="b">
        <f>IF($B18="","",'2-3_обработка'!E18)</f>
        <v>0</v>
      </c>
      <c r="I18" s="80" t="b">
        <f>IF($B18="","",'2-3_обработка'!F18)</f>
        <v>0</v>
      </c>
      <c r="J18" s="80" t="b">
        <f>IF($B18="","",'2-3_обработка'!G18)</f>
        <v>0</v>
      </c>
      <c r="K18" s="80" t="str">
        <f>IF($B18="","",'2-3_обработка'!H18)</f>
        <v>Школа</v>
      </c>
      <c r="L18" s="80" t="str">
        <f>IF($B18="","",'2-3_обработка'!I18)</f>
        <v>Одноклассники</v>
      </c>
      <c r="M18" s="80" t="str">
        <f>IF($B18="","",'2-3_обработка'!J18)</f>
        <v>Отклонений нет</v>
      </c>
      <c r="N18" s="80" t="str">
        <f>IF($B18="","",'2-3_обработка'!K18)</f>
        <v>Обратить внимание</v>
      </c>
      <c r="O18" s="80" t="str">
        <f>IF($B18="","",'2-3_обработка'!L18)</f>
        <v>Обратить внимание</v>
      </c>
      <c r="P18" s="80" t="str">
        <f>IF($B18="","",'2-3_обработка'!M18)</f>
        <v>Отклонений нет</v>
      </c>
      <c r="Q18" s="80" t="str">
        <f>IF($B18="","",'2-3_обработка'!N18)</f>
        <v>Обратить внимание</v>
      </c>
      <c r="R18" s="80" t="str">
        <f>IF($B18="","",'2-3_обработка'!O18)</f>
        <v>Обратить внимание</v>
      </c>
      <c r="S18" s="80" t="str">
        <f>IF($B18="","",'2-3_обработка'!P18)</f>
        <v>Обратить внимание</v>
      </c>
      <c r="T18" s="80" t="str">
        <f>IF($B18="","",'2-3_обработка'!Q18)</f>
        <v>Обратить внимание</v>
      </c>
      <c r="U18" s="80" t="str">
        <f>IF($B18="","",'2-3_обработка'!R18)</f>
        <v>Отклонений нет</v>
      </c>
      <c r="V18" s="80" t="str">
        <f>IF($B18="","",'2-3_обработка'!S18)</f>
        <v>Обратить внимание</v>
      </c>
      <c r="W18" s="80" t="str">
        <f>IF($B18="","",'2-3_обработка'!T18)</f>
        <v>Обратить внимание</v>
      </c>
      <c r="X18" s="80" t="str">
        <f>IF($B18="","",'2-3_обработка'!U18)</f>
        <v>Отклонений нет</v>
      </c>
      <c r="Y18" s="81" t="str">
        <f>IF($B18="","",'2-3_обработка'!V18)</f>
        <v>Отклонений нет</v>
      </c>
      <c r="Z18" s="81" t="str">
        <f>IF($B18="","",'2-3_обработка'!W18)</f>
        <v>Отклонений нет</v>
      </c>
      <c r="AA18" s="81" t="str">
        <f>IF($B18="","",'2-3_обработка'!X18)</f>
        <v>Отклонений нет</v>
      </c>
      <c r="AB18" s="80" t="s">
        <v>133</v>
      </c>
    </row>
    <row r="19" spans="1:29" ht="18" customHeight="1">
      <c r="A19" s="80">
        <v>17</v>
      </c>
      <c r="B19" s="87" t="str">
        <f>IF(ЦТО!B19="","",ЦТО!B19)</f>
        <v>С</v>
      </c>
      <c r="C19" s="80" t="str">
        <f>IF(ЦТО!C19="","",ЦТО!C19)</f>
        <v>2 а</v>
      </c>
      <c r="D19" s="82" t="str">
        <f>IF(ЦТО!D19="","",ЦТО!D19)</f>
        <v/>
      </c>
      <c r="E19" s="80" t="str">
        <f>IF($B19="","",'1_обработка CО,ВК,ЭК'!F20)</f>
        <v>нормальный</v>
      </c>
      <c r="F19" s="80" t="str">
        <f>IF($B19="","",'1_обработка CО,ВК,ЭК'!H20)</f>
        <v>оптимальная работоспособность</v>
      </c>
      <c r="G19" s="80" t="str">
        <f>IF($B19="","",'1_обработка CО,ВК,ЭК'!I20)</f>
        <v>Положительная</v>
      </c>
      <c r="H19" s="80" t="b">
        <f>IF($B19="","",'2-3_обработка'!E19)</f>
        <v>0</v>
      </c>
      <c r="I19" s="80" t="str">
        <f>IF($B19="","",'2-3_обработка'!F19)</f>
        <v>Школа</v>
      </c>
      <c r="J19" s="80" t="str">
        <f>IF($B19="","",'2-3_обработка'!G19)</f>
        <v>Уроки</v>
      </c>
      <c r="K19" s="80" t="b">
        <f>IF($B19="","",'2-3_обработка'!H19)</f>
        <v>0</v>
      </c>
      <c r="L19" s="80" t="str">
        <f>IF($B19="","",'2-3_обработка'!I19)</f>
        <v>Чтение</v>
      </c>
      <c r="M19" s="80" t="str">
        <f>IF($B19="","",'2-3_обработка'!J19)</f>
        <v>Отклонений нет</v>
      </c>
      <c r="N19" s="80" t="str">
        <f>IF($B19="","",'2-3_обработка'!K19)</f>
        <v>Отклонений нет</v>
      </c>
      <c r="O19" s="80" t="str">
        <f>IF($B19="","",'2-3_обработка'!L19)</f>
        <v>Обратить внимание</v>
      </c>
      <c r="P19" s="80" t="str">
        <f>IF($B19="","",'2-3_обработка'!M19)</f>
        <v>Обратить внимание</v>
      </c>
      <c r="Q19" s="80" t="str">
        <f>IF($B19="","",'2-3_обработка'!N19)</f>
        <v>Обратить внимание</v>
      </c>
      <c r="R19" s="80" t="str">
        <f>IF($B19="","",'2-3_обработка'!O19)</f>
        <v>Обратить внимание</v>
      </c>
      <c r="S19" s="80" t="str">
        <f>IF($B19="","",'2-3_обработка'!P19)</f>
        <v>Отклонений нет</v>
      </c>
      <c r="T19" s="80" t="str">
        <f>IF($B19="","",'2-3_обработка'!Q19)</f>
        <v>Отклонений нет</v>
      </c>
      <c r="U19" s="80" t="str">
        <f>IF($B19="","",'2-3_обработка'!R19)</f>
        <v>Отклонений нет</v>
      </c>
      <c r="V19" s="80" t="str">
        <f>IF($B19="","",'2-3_обработка'!S19)</f>
        <v>Отклонений нет</v>
      </c>
      <c r="W19" s="80" t="str">
        <f>IF($B19="","",'2-3_обработка'!T19)</f>
        <v>Обратить внимание</v>
      </c>
      <c r="X19" s="80" t="str">
        <f>IF($B19="","",'2-3_обработка'!U19)</f>
        <v>Отклонений нет</v>
      </c>
      <c r="Y19" s="81" t="str">
        <f>IF($B19="","",'2-3_обработка'!V19)</f>
        <v>Отклонений нет</v>
      </c>
      <c r="Z19" s="81" t="str">
        <f>IF($B19="","",'2-3_обработка'!W19)</f>
        <v>Отклонений нет</v>
      </c>
      <c r="AA19" s="81" t="str">
        <f>IF($B19="","",'2-3_обработка'!X19)</f>
        <v>Отклонений нет</v>
      </c>
      <c r="AB19" s="80" t="s">
        <v>131</v>
      </c>
    </row>
    <row r="20" spans="1:29" ht="18" customHeight="1">
      <c r="A20" s="80">
        <v>18</v>
      </c>
      <c r="B20" s="87" t="str">
        <f>IF(ЦТО!B20="","",ЦТО!B20)</f>
        <v>Т</v>
      </c>
      <c r="C20" s="80" t="str">
        <f>IF(ЦТО!C20="","",ЦТО!C20)</f>
        <v>2 а</v>
      </c>
      <c r="D20" s="82" t="str">
        <f>IF(ЦТО!D20="","",ЦТО!D20)</f>
        <v/>
      </c>
      <c r="E20" s="80" t="str">
        <f>IF($B20="","",'1_обработка CО,ВК,ЭК'!F21)</f>
        <v>нормальный</v>
      </c>
      <c r="F20" s="80" t="str">
        <f>IF($B20="","",'1_обработка CО,ВК,ЭК'!H21)</f>
        <v>оптимальная работоспособность</v>
      </c>
      <c r="G20" s="80" t="str">
        <f>IF($B20="","",'1_обработка CО,ВК,ЭК'!I21)</f>
        <v>Положительная</v>
      </c>
      <c r="H20" s="80" t="b">
        <f>IF($B20="","",'2-3_обработка'!E20)</f>
        <v>0</v>
      </c>
      <c r="I20" s="80" t="str">
        <f>IF($B20="","",'2-3_обработка'!F20)</f>
        <v>Школа</v>
      </c>
      <c r="J20" s="80" t="b">
        <f>IF($B20="","",'2-3_обработка'!G20)</f>
        <v>0</v>
      </c>
      <c r="K20" s="80" t="str">
        <f>IF($B20="","",'2-3_обработка'!H20)</f>
        <v>Уроки</v>
      </c>
      <c r="L20" s="80" t="str">
        <f>IF($B20="","",'2-3_обработка'!I20)</f>
        <v>Школа</v>
      </c>
      <c r="M20" s="80" t="str">
        <f>IF($B20="","",'2-3_обработка'!J20)</f>
        <v>Отклонений нет</v>
      </c>
      <c r="N20" s="80" t="str">
        <f>IF($B20="","",'2-3_обработка'!K20)</f>
        <v>Отклонений нет</v>
      </c>
      <c r="O20" s="80" t="str">
        <f>IF($B20="","",'2-3_обработка'!L20)</f>
        <v>Отклонений нет</v>
      </c>
      <c r="P20" s="80" t="str">
        <f>IF($B20="","",'2-3_обработка'!M20)</f>
        <v>Отклонений нет</v>
      </c>
      <c r="Q20" s="80" t="str">
        <f>IF($B20="","",'2-3_обработка'!N20)</f>
        <v>Обратить внимание</v>
      </c>
      <c r="R20" s="80" t="str">
        <f>IF($B20="","",'2-3_обработка'!O20)</f>
        <v>Обратить внимание</v>
      </c>
      <c r="S20" s="80" t="str">
        <f>IF($B20="","",'2-3_обработка'!P20)</f>
        <v>Отклонений нет</v>
      </c>
      <c r="T20" s="80" t="str">
        <f>IF($B20="","",'2-3_обработка'!Q20)</f>
        <v>Отклонений нет</v>
      </c>
      <c r="U20" s="80" t="str">
        <f>IF($B20="","",'2-3_обработка'!R20)</f>
        <v>Отклонений нет</v>
      </c>
      <c r="V20" s="80" t="str">
        <f>IF($B20="","",'2-3_обработка'!S20)</f>
        <v>Отклонений нет</v>
      </c>
      <c r="W20" s="80" t="str">
        <f>IF($B20="","",'2-3_обработка'!T20)</f>
        <v>Обратить внимание</v>
      </c>
      <c r="X20" s="80" t="str">
        <f>IF($B20="","",'2-3_обработка'!U20)</f>
        <v>Отклонений нет</v>
      </c>
      <c r="Y20" s="81" t="str">
        <f>IF($B20="","",'2-3_обработка'!V20)</f>
        <v>Отклонений нет</v>
      </c>
      <c r="Z20" s="81" t="str">
        <f>IF($B20="","",'2-3_обработка'!W20)</f>
        <v>Отклонений нет</v>
      </c>
      <c r="AA20" s="81" t="str">
        <f>IF($B20="","",'2-3_обработка'!X20)</f>
        <v>Отклонений нет</v>
      </c>
      <c r="AB20" s="80" t="s">
        <v>131</v>
      </c>
    </row>
    <row r="21" spans="1:29" ht="18" customHeight="1">
      <c r="A21" s="80">
        <v>19</v>
      </c>
      <c r="B21" s="87" t="str">
        <f>IF(ЦТО!B21="","",ЦТО!B21)</f>
        <v>У</v>
      </c>
      <c r="C21" s="80" t="str">
        <f>IF(ЦТО!C21="","",ЦТО!C21)</f>
        <v>2 а</v>
      </c>
      <c r="D21" s="82" t="str">
        <f>IF(ЦТО!D21="","",ЦТО!D21)</f>
        <v/>
      </c>
      <c r="E21" s="80" t="str">
        <f>IF($B21="","",'1_обработка CО,ВК,ЭК'!F22)</f>
        <v>нормальный</v>
      </c>
      <c r="F21" s="80" t="str">
        <f>IF($B21="","",'1_обработка CО,ВК,ЭК'!H22)</f>
        <v>усталость</v>
      </c>
      <c r="G21" s="80" t="str">
        <f>IF($B21="","",'1_обработка CО,ВК,ЭК'!I22)</f>
        <v>Положительная</v>
      </c>
      <c r="H21" s="80" t="b">
        <f>IF($B21="","",'2-3_обработка'!E21)</f>
        <v>0</v>
      </c>
      <c r="I21" s="80" t="b">
        <f>IF($B21="","",'2-3_обработка'!F21)</f>
        <v>0</v>
      </c>
      <c r="J21" s="80" t="b">
        <f>IF($B21="","",'2-3_обработка'!G21)</f>
        <v>0</v>
      </c>
      <c r="K21" s="80" t="b">
        <f>IF($B21="","",'2-3_обработка'!H21)</f>
        <v>0</v>
      </c>
      <c r="L21" s="80" t="str">
        <f>IF($B21="","",'2-3_обработка'!I21)</f>
        <v>Чтение</v>
      </c>
      <c r="M21" s="80" t="str">
        <f>IF($B21="","",'2-3_обработка'!J21)</f>
        <v>Отклонений нет</v>
      </c>
      <c r="N21" s="80" t="str">
        <f>IF($B21="","",'2-3_обработка'!K21)</f>
        <v>Отклонений нет</v>
      </c>
      <c r="O21" s="80" t="str">
        <f>IF($B21="","",'2-3_обработка'!L21)</f>
        <v>Обратить внимание</v>
      </c>
      <c r="P21" s="80" t="str">
        <f>IF($B21="","",'2-3_обработка'!M21)</f>
        <v>Отклонений нет</v>
      </c>
      <c r="Q21" s="80" t="str">
        <f>IF($B21="","",'2-3_обработка'!N21)</f>
        <v>Отклонений нет</v>
      </c>
      <c r="R21" s="80" t="str">
        <f>IF($B21="","",'2-3_обработка'!O21)</f>
        <v>Обратить внимание</v>
      </c>
      <c r="S21" s="80" t="str">
        <f>IF($B21="","",'2-3_обработка'!P21)</f>
        <v>Отклонений нет</v>
      </c>
      <c r="T21" s="80" t="str">
        <f>IF($B21="","",'2-3_обработка'!Q21)</f>
        <v>Отклонений нет</v>
      </c>
      <c r="U21" s="80" t="str">
        <f>IF($B21="","",'2-3_обработка'!R21)</f>
        <v>Отклонений нет</v>
      </c>
      <c r="V21" s="80" t="str">
        <f>IF($B21="","",'2-3_обработка'!S21)</f>
        <v>Отклонений нет</v>
      </c>
      <c r="W21" s="80" t="str">
        <f>IF($B21="","",'2-3_обработка'!T21)</f>
        <v>Обратить внимание</v>
      </c>
      <c r="X21" s="80" t="str">
        <f>IF($B21="","",'2-3_обработка'!U21)</f>
        <v>Отклонений нет</v>
      </c>
      <c r="Y21" s="81" t="str">
        <f>IF($B21="","",'2-3_обработка'!V21)</f>
        <v>Отклонений нет</v>
      </c>
      <c r="Z21" s="81" t="str">
        <f>IF($B21="","",'2-3_обработка'!W21)</f>
        <v>Отклонений нет</v>
      </c>
      <c r="AA21" s="81" t="str">
        <f>IF($B21="","",'2-3_обработка'!X21)</f>
        <v>Отклонений нет</v>
      </c>
      <c r="AB21" s="80" t="s">
        <v>133</v>
      </c>
    </row>
    <row r="22" spans="1:29" ht="18" customHeight="1">
      <c r="A22" s="80">
        <v>20</v>
      </c>
      <c r="B22" s="87" t="str">
        <f>IF(ЦТО!B22="","",ЦТО!B22)</f>
        <v>Ф</v>
      </c>
      <c r="C22" s="80" t="str">
        <f>IF(ЦТО!C22="","",ЦТО!C22)</f>
        <v>2 в</v>
      </c>
      <c r="D22" s="82" t="str">
        <f>IF(ЦТО!D22="","",ЦТО!D22)</f>
        <v/>
      </c>
      <c r="E22" s="80" t="str">
        <f>IF($B22="","",'1_обработка CО,ВК,ЭК'!F23)</f>
        <v>отрицательный</v>
      </c>
      <c r="F22" s="80" t="str">
        <f>IF($B22="","",'1_обработка CО,ВК,ЭК'!H23)</f>
        <v>усталость</v>
      </c>
      <c r="G22" s="80" t="str">
        <f>IF($B22="","",'1_обработка CО,ВК,ЭК'!I23)</f>
        <v>Положительная</v>
      </c>
      <c r="H22" s="80" t="str">
        <f>IF($B22="","",'2-3_обработка'!E22)</f>
        <v>Школа</v>
      </c>
      <c r="I22" s="80" t="b">
        <f>IF($B22="","",'2-3_обработка'!F22)</f>
        <v>0</v>
      </c>
      <c r="J22" s="80" t="str">
        <f>IF($B22="","",'2-3_обработка'!G22)</f>
        <v>Уроки</v>
      </c>
      <c r="K22" s="80" t="str">
        <f>IF($B22="","",'2-3_обработка'!H22)</f>
        <v>Уроки</v>
      </c>
      <c r="L22" s="80" t="str">
        <f>IF($B22="","",'2-3_обработка'!I22)</f>
        <v>Школа</v>
      </c>
      <c r="M22" s="80" t="str">
        <f>IF($B22="","",'2-3_обработка'!J22)</f>
        <v>Отклонений нет</v>
      </c>
      <c r="N22" s="80" t="str">
        <f>IF($B22="","",'2-3_обработка'!K22)</f>
        <v>Обратить внимание</v>
      </c>
      <c r="O22" s="80" t="str">
        <f>IF($B22="","",'2-3_обработка'!L22)</f>
        <v>Обратить внимание</v>
      </c>
      <c r="P22" s="80" t="str">
        <f>IF($B22="","",'2-3_обработка'!M22)</f>
        <v>Обратить внимание</v>
      </c>
      <c r="Q22" s="80" t="str">
        <f>IF($B22="","",'2-3_обработка'!N22)</f>
        <v>Отклонений нет</v>
      </c>
      <c r="R22" s="80" t="str">
        <f>IF($B22="","",'2-3_обработка'!O22)</f>
        <v>Обратить внимание</v>
      </c>
      <c r="S22" s="80" t="str">
        <f>IF($B22="","",'2-3_обработка'!P22)</f>
        <v>Отклонений нет</v>
      </c>
      <c r="T22" s="80" t="str">
        <f>IF($B22="","",'2-3_обработка'!Q22)</f>
        <v>Отклонений нет</v>
      </c>
      <c r="U22" s="80" t="str">
        <f>IF($B22="","",'2-3_обработка'!R22)</f>
        <v>Отклонений нет</v>
      </c>
      <c r="V22" s="80" t="str">
        <f>IF($B22="","",'2-3_обработка'!S22)</f>
        <v>Отклонений нет</v>
      </c>
      <c r="W22" s="80" t="str">
        <f>IF($B22="","",'2-3_обработка'!T22)</f>
        <v>Обратить внимание</v>
      </c>
      <c r="X22" s="80" t="str">
        <f>IF($B22="","",'2-3_обработка'!U22)</f>
        <v>Отклонений нет</v>
      </c>
      <c r="Y22" s="81" t="str">
        <f>IF($B22="","",'2-3_обработка'!V22)</f>
        <v>Отклонений нет</v>
      </c>
      <c r="Z22" s="81" t="str">
        <f>IF($B22="","",'2-3_обработка'!W22)</f>
        <v>Отклонений нет</v>
      </c>
      <c r="AA22" s="81" t="str">
        <f>IF($B22="","",'2-3_обработка'!X22)</f>
        <v>Отклонений нет</v>
      </c>
      <c r="AB22" s="80" t="s">
        <v>134</v>
      </c>
    </row>
    <row r="23" spans="1:29" ht="18" customHeight="1">
      <c r="A23" s="80">
        <v>21</v>
      </c>
      <c r="B23" s="87" t="str">
        <f>IF(ЦТО!B23="","",ЦТО!B23)</f>
        <v>Х</v>
      </c>
      <c r="C23" s="80" t="str">
        <f>IF(ЦТО!C23="","",ЦТО!C23)</f>
        <v>2 в</v>
      </c>
      <c r="D23" s="82" t="str">
        <f>IF(ЦТО!D23="","",ЦТО!D23)</f>
        <v/>
      </c>
      <c r="E23" s="80" t="str">
        <f>IF($B23="","",'1_обработка CО,ВК,ЭК'!F24)</f>
        <v>отрицательный</v>
      </c>
      <c r="F23" s="80" t="str">
        <f>IF($B23="","",'1_обработка CО,ВК,ЭК'!H24)</f>
        <v>усталость</v>
      </c>
      <c r="G23" s="80" t="str">
        <f>IF($B23="","",'1_обработка CО,ВК,ЭК'!I24)</f>
        <v>Отрицательная</v>
      </c>
      <c r="H23" s="80" t="str">
        <f>IF($B23="","",'2-3_обработка'!E23)</f>
        <v>Чтение</v>
      </c>
      <c r="I23" s="80" t="b">
        <f>IF($B23="","",'2-3_обработка'!F23)</f>
        <v>0</v>
      </c>
      <c r="J23" s="80" t="b">
        <f>IF($B23="","",'2-3_обработка'!G23)</f>
        <v>0</v>
      </c>
      <c r="K23" s="80" t="b">
        <f>IF($B23="","",'2-3_обработка'!H23)</f>
        <v>0</v>
      </c>
      <c r="L23" s="80" t="str">
        <f>IF($B23="","",'2-3_обработка'!I23)</f>
        <v>Чтение</v>
      </c>
      <c r="M23" s="80" t="str">
        <f>IF($B23="","",'2-3_обработка'!J23)</f>
        <v>Отклонений нет</v>
      </c>
      <c r="N23" s="80" t="str">
        <f>IF($B23="","",'2-3_обработка'!K23)</f>
        <v>Отклонений нет</v>
      </c>
      <c r="O23" s="80" t="str">
        <f>IF($B23="","",'2-3_обработка'!L23)</f>
        <v>Отклонений нет</v>
      </c>
      <c r="P23" s="80" t="str">
        <f>IF($B23="","",'2-3_обработка'!M23)</f>
        <v>Обратить внимание</v>
      </c>
      <c r="Q23" s="80" t="str">
        <f>IF($B23="","",'2-3_обработка'!N23)</f>
        <v>Обратить внимание</v>
      </c>
      <c r="R23" s="80" t="str">
        <f>IF($B23="","",'2-3_обработка'!O23)</f>
        <v>Обратить внимание</v>
      </c>
      <c r="S23" s="80" t="str">
        <f>IF($B23="","",'2-3_обработка'!P23)</f>
        <v>Отклонений нет</v>
      </c>
      <c r="T23" s="80" t="str">
        <f>IF($B23="","",'2-3_обработка'!Q23)</f>
        <v>Отклонений нет</v>
      </c>
      <c r="U23" s="80" t="str">
        <f>IF($B23="","",'2-3_обработка'!R23)</f>
        <v>Отклонений нет</v>
      </c>
      <c r="V23" s="80" t="str">
        <f>IF($B23="","",'2-3_обработка'!S23)</f>
        <v>Отклонений нет</v>
      </c>
      <c r="W23" s="80" t="str">
        <f>IF($B23="","",'2-3_обработка'!T23)</f>
        <v>Отклонений нет</v>
      </c>
      <c r="X23" s="80" t="str">
        <f>IF($B23="","",'2-3_обработка'!U23)</f>
        <v>Отклонений нет</v>
      </c>
      <c r="Y23" s="81" t="str">
        <f>IF($B23="","",'2-3_обработка'!V23)</f>
        <v>Отклонений нет</v>
      </c>
      <c r="Z23" s="81" t="str">
        <f>IF($B23="","",'2-3_обработка'!W23)</f>
        <v>Отклонений нет</v>
      </c>
      <c r="AA23" s="81" t="str">
        <f>IF($B23="","",'2-3_обработка'!X23)</f>
        <v>Отклонений нет</v>
      </c>
      <c r="AB23" s="80" t="s">
        <v>134</v>
      </c>
    </row>
    <row r="24" spans="1:29" ht="18" customHeight="1">
      <c r="A24" s="80">
        <v>22</v>
      </c>
      <c r="B24" s="87" t="str">
        <f>IF(ЦТО!B24="","",ЦТО!B24)</f>
        <v>Ц</v>
      </c>
      <c r="C24" s="80" t="str">
        <f>IF(ЦТО!C24="","",ЦТО!C24)</f>
        <v>2 в</v>
      </c>
      <c r="D24" s="82" t="str">
        <f>IF(ЦТО!D24="","",ЦТО!D24)</f>
        <v/>
      </c>
      <c r="E24" s="80" t="str">
        <f>IF($B24="","",'1_обработка CО,ВК,ЭК'!F25)</f>
        <v>отрицательный</v>
      </c>
      <c r="F24" s="80" t="str">
        <f>IF($B24="","",'1_обработка CО,ВК,ЭК'!H25)</f>
        <v>оптимальная работоспособность</v>
      </c>
      <c r="G24" s="80" t="str">
        <f>IF($B24="","",'1_обработка CО,ВК,ЭК'!I25)</f>
        <v>Положительная</v>
      </c>
      <c r="H24" s="80" t="b">
        <f>IF($B24="","",'2-3_обработка'!E24)</f>
        <v>0</v>
      </c>
      <c r="I24" s="80" t="b">
        <f>IF($B24="","",'2-3_обработка'!F24)</f>
        <v>0</v>
      </c>
      <c r="J24" s="80" t="b">
        <f>IF($B24="","",'2-3_обработка'!G24)</f>
        <v>0</v>
      </c>
      <c r="K24" s="80" t="str">
        <f>IF($B24="","",'2-3_обработка'!H24)</f>
        <v>Школа</v>
      </c>
      <c r="L24" s="80" t="b">
        <f>IF($B24="","",'2-3_обработка'!I24)</f>
        <v>0</v>
      </c>
      <c r="M24" s="80" t="str">
        <f>IF($B24="","",'2-3_обработка'!J24)</f>
        <v>Отклонений нет</v>
      </c>
      <c r="N24" s="80" t="str">
        <f>IF($B24="","",'2-3_обработка'!K24)</f>
        <v>Отклонений нет</v>
      </c>
      <c r="O24" s="80" t="str">
        <f>IF($B24="","",'2-3_обработка'!L24)</f>
        <v>Обратить внимание</v>
      </c>
      <c r="P24" s="80" t="str">
        <f>IF($B24="","",'2-3_обработка'!M24)</f>
        <v>Отклонений нет</v>
      </c>
      <c r="Q24" s="80" t="str">
        <f>IF($B24="","",'2-3_обработка'!N24)</f>
        <v>Обратить внимание</v>
      </c>
      <c r="R24" s="80" t="str">
        <f>IF($B24="","",'2-3_обработка'!O24)</f>
        <v>Отклонений нет</v>
      </c>
      <c r="S24" s="80" t="str">
        <f>IF($B24="","",'2-3_обработка'!P24)</f>
        <v>Отклонений нет</v>
      </c>
      <c r="T24" s="80" t="str">
        <f>IF($B24="","",'2-3_обработка'!Q24)</f>
        <v>Отклонений нет</v>
      </c>
      <c r="U24" s="80" t="str">
        <f>IF($B24="","",'2-3_обработка'!R24)</f>
        <v>Отклонений нет</v>
      </c>
      <c r="V24" s="80" t="str">
        <f>IF($B24="","",'2-3_обработка'!S24)</f>
        <v>Отклонений нет</v>
      </c>
      <c r="W24" s="80" t="str">
        <f>IF($B24="","",'2-3_обработка'!T24)</f>
        <v>Отклонений нет</v>
      </c>
      <c r="X24" s="80" t="str">
        <f>IF($B24="","",'2-3_обработка'!U24)</f>
        <v>Отклонений нет</v>
      </c>
      <c r="Y24" s="81" t="str">
        <f>IF($B24="","",'2-3_обработка'!V24)</f>
        <v>Отклонений нет</v>
      </c>
      <c r="Z24" s="81" t="str">
        <f>IF($B24="","",'2-3_обработка'!W24)</f>
        <v>Отклонений нет</v>
      </c>
      <c r="AA24" s="81" t="str">
        <f>IF($B24="","",'2-3_обработка'!X24)</f>
        <v>Отклонений нет</v>
      </c>
    </row>
    <row r="25" spans="1:29" ht="18" customHeight="1">
      <c r="A25" s="80">
        <v>23</v>
      </c>
      <c r="B25" s="87" t="str">
        <f>IF(ЦТО!B25="","",ЦТО!B25)</f>
        <v>Ч</v>
      </c>
      <c r="C25" s="80" t="str">
        <f>IF(ЦТО!C25="","",ЦТО!C25)</f>
        <v>2 в</v>
      </c>
      <c r="D25" s="82" t="str">
        <f>IF(ЦТО!D25="","",ЦТО!D25)</f>
        <v/>
      </c>
      <c r="E25" s="80" t="str">
        <f>IF($B25="","",'1_обработка CО,ВК,ЭК'!F26)</f>
        <v>нормальный</v>
      </c>
      <c r="F25" s="80" t="str">
        <f>IF($B25="","",'1_обработка CО,ВК,ЭК'!H26)</f>
        <v>усталость</v>
      </c>
      <c r="G25" s="80" t="str">
        <f>IF($B25="","",'1_обработка CО,ВК,ЭК'!I26)</f>
        <v>Положительная</v>
      </c>
      <c r="H25" s="80" t="str">
        <f>IF($B25="","",'2-3_обработка'!E25)</f>
        <v>Школа</v>
      </c>
      <c r="I25" s="80" t="b">
        <f>IF($B25="","",'2-3_обработка'!F25)</f>
        <v>0</v>
      </c>
      <c r="J25" s="80" t="b">
        <f>IF($B25="","",'2-3_обработка'!G25)</f>
        <v>0</v>
      </c>
      <c r="K25" s="80" t="str">
        <f>IF($B25="","",'2-3_обработка'!H25)</f>
        <v>Уроки</v>
      </c>
      <c r="L25" s="80" t="b">
        <f>IF($B25="","",'2-3_обработка'!I25)</f>
        <v>0</v>
      </c>
      <c r="M25" s="80" t="str">
        <f>IF($B25="","",'2-3_обработка'!J25)</f>
        <v>Отклонений нет</v>
      </c>
      <c r="N25" s="80" t="str">
        <f>IF($B25="","",'2-3_обработка'!K25)</f>
        <v>Отклонений нет</v>
      </c>
      <c r="O25" s="80" t="str">
        <f>IF($B25="","",'2-3_обработка'!L25)</f>
        <v>Обратить внимание</v>
      </c>
      <c r="P25" s="80" t="str">
        <f>IF($B25="","",'2-3_обработка'!M25)</f>
        <v>Обратить внимание</v>
      </c>
      <c r="Q25" s="80" t="str">
        <f>IF($B25="","",'2-3_обработка'!N25)</f>
        <v>Отклонений нет</v>
      </c>
      <c r="R25" s="80" t="str">
        <f>IF($B25="","",'2-3_обработка'!O25)</f>
        <v>Отклонений нет</v>
      </c>
      <c r="S25" s="80" t="str">
        <f>IF($B25="","",'2-3_обработка'!P25)</f>
        <v>Отклонений нет</v>
      </c>
      <c r="T25" s="80" t="str">
        <f>IF($B25="","",'2-3_обработка'!Q25)</f>
        <v>Отклонений нет</v>
      </c>
      <c r="U25" s="80" t="str">
        <f>IF($B25="","",'2-3_обработка'!R25)</f>
        <v>Отклонений нет</v>
      </c>
      <c r="V25" s="80" t="str">
        <f>IF($B25="","",'2-3_обработка'!S25)</f>
        <v>Отклонений нет</v>
      </c>
      <c r="W25" s="80" t="str">
        <f>IF($B25="","",'2-3_обработка'!T25)</f>
        <v>Обратить внимание</v>
      </c>
      <c r="X25" s="80" t="str">
        <f>IF($B25="","",'2-3_обработка'!U25)</f>
        <v>Отклонений нет</v>
      </c>
      <c r="Y25" s="81" t="str">
        <f>IF($B25="","",'2-3_обработка'!V25)</f>
        <v>Отклонений нет</v>
      </c>
      <c r="Z25" s="81" t="str">
        <f>IF($B25="","",'2-3_обработка'!W25)</f>
        <v>Отклонений нет</v>
      </c>
      <c r="AA25" s="81" t="str">
        <f>IF($B25="","",'2-3_обработка'!X25)</f>
        <v>Отклонений нет</v>
      </c>
    </row>
    <row r="26" spans="1:29" ht="18" customHeight="1">
      <c r="A26" s="80">
        <v>24</v>
      </c>
      <c r="B26" s="87" t="str">
        <f>IF(ЦТО!B26="","",ЦТО!B26)</f>
        <v>Ш</v>
      </c>
      <c r="C26" s="80" t="str">
        <f>IF(ЦТО!C26="","",ЦТО!C26)</f>
        <v>2 в</v>
      </c>
      <c r="D26" s="82" t="str">
        <f>IF(ЦТО!D26="","",ЦТО!D26)</f>
        <v/>
      </c>
      <c r="E26" s="80" t="str">
        <f>IF($B26="","",'1_обработка CО,ВК,ЭК'!F27)</f>
        <v>нормальный</v>
      </c>
      <c r="F26" s="80" t="str">
        <f>IF($B26="","",'1_обработка CО,ВК,ЭК'!H27)</f>
        <v>оптимальная работоспособность</v>
      </c>
      <c r="G26" s="80" t="str">
        <f>IF($B26="","",'1_обработка CО,ВК,ЭК'!I27)</f>
        <v>Положительная</v>
      </c>
      <c r="H26" s="80" t="str">
        <f>IF($B26="","",'2-3_обработка'!E26)</f>
        <v>Школа</v>
      </c>
      <c r="I26" s="80" t="b">
        <f>IF($B26="","",'2-3_обработка'!F26)</f>
        <v>0</v>
      </c>
      <c r="J26" s="80" t="str">
        <f>IF($B26="","",'2-3_обработка'!G26)</f>
        <v>Чтение</v>
      </c>
      <c r="K26" s="80" t="b">
        <f>IF($B26="","",'2-3_обработка'!H26)</f>
        <v>0</v>
      </c>
      <c r="L26" s="80" t="b">
        <f>IF($B26="","",'2-3_обработка'!I26)</f>
        <v>0</v>
      </c>
      <c r="M26" s="80" t="str">
        <f>IF($B26="","",'2-3_обработка'!J26)</f>
        <v>Отклонений нет</v>
      </c>
      <c r="N26" s="80" t="str">
        <f>IF($B26="","",'2-3_обработка'!K26)</f>
        <v>Обратить внимание</v>
      </c>
      <c r="O26" s="80" t="str">
        <f>IF($B26="","",'2-3_обработка'!L26)</f>
        <v>Отклонений нет</v>
      </c>
      <c r="P26" s="80" t="str">
        <f>IF($B26="","",'2-3_обработка'!M26)</f>
        <v>Обратить внимание</v>
      </c>
      <c r="Q26" s="80" t="str">
        <f>IF($B26="","",'2-3_обработка'!N26)</f>
        <v>Обратить внимание</v>
      </c>
      <c r="R26" s="80" t="str">
        <f>IF($B26="","",'2-3_обработка'!O26)</f>
        <v>Обратить внимание</v>
      </c>
      <c r="S26" s="80" t="str">
        <f>IF($B26="","",'2-3_обработка'!P26)</f>
        <v>Отклонений нет</v>
      </c>
      <c r="T26" s="80" t="str">
        <f>IF($B26="","",'2-3_обработка'!Q26)</f>
        <v>Отклонений нет</v>
      </c>
      <c r="U26" s="80" t="str">
        <f>IF($B26="","",'2-3_обработка'!R26)</f>
        <v>Отклонений нет</v>
      </c>
      <c r="V26" s="80" t="str">
        <f>IF($B26="","",'2-3_обработка'!S26)</f>
        <v>Отклонений нет</v>
      </c>
      <c r="W26" s="80" t="str">
        <f>IF($B26="","",'2-3_обработка'!T26)</f>
        <v>Обратить внимание</v>
      </c>
      <c r="X26" s="80" t="str">
        <f>IF($B26="","",'2-3_обработка'!U26)</f>
        <v>Обратить внимание</v>
      </c>
      <c r="Y26" s="81" t="str">
        <f>IF($B26="","",'2-3_обработка'!V26)</f>
        <v>Отклонений нет</v>
      </c>
      <c r="Z26" s="81" t="str">
        <f>IF($B26="","",'2-3_обработка'!W26)</f>
        <v>Отклонений нет</v>
      </c>
      <c r="AA26" s="81" t="str">
        <f>IF($B26="","",'2-3_обработка'!X26)</f>
        <v>Отклонений нет</v>
      </c>
      <c r="AB26" s="80" t="s">
        <v>131</v>
      </c>
    </row>
    <row r="27" spans="1:29" s="86" customFormat="1" ht="18" customHeight="1">
      <c r="A27" s="83">
        <v>25</v>
      </c>
      <c r="B27" s="88" t="str">
        <f>IF(ЦТО!B27="","",ЦТО!B27)</f>
        <v>Щ</v>
      </c>
      <c r="C27" s="83" t="str">
        <f>IF(ЦТО!C27="","",ЦТО!C27)</f>
        <v>2 в</v>
      </c>
      <c r="D27" s="84" t="str">
        <f>IF(ЦТО!D27="","",ЦТО!D27)</f>
        <v/>
      </c>
      <c r="E27" s="80" t="str">
        <f>IF($B27="","",'1_обработка CО,ВК,ЭК'!F28)</f>
        <v>положительный</v>
      </c>
      <c r="F27" s="80" t="e">
        <f>IF($B27="","",'1_обработка CО,ВК,ЭК'!H28)</f>
        <v>#VALUE!</v>
      </c>
      <c r="G27" s="80" t="b">
        <f>IF($B27="","",'1_обработка CО,ВК,ЭК'!I28)</f>
        <v>0</v>
      </c>
      <c r="H27" s="83" t="str">
        <f>IF($B27="","",'2-3_обработка'!E27)</f>
        <v>Душа</v>
      </c>
      <c r="I27" s="83" t="str">
        <f>IF($B27="","",'2-3_обработка'!F27)</f>
        <v>Душа</v>
      </c>
      <c r="J27" s="83" t="str">
        <f>IF($B27="","",'2-3_обработка'!G27)</f>
        <v>Душа</v>
      </c>
      <c r="K27" s="83" t="str">
        <f>IF($B27="","",'2-3_обработка'!H27)</f>
        <v>Душа</v>
      </c>
      <c r="L27" s="83" t="str">
        <f>IF($B27="","",'2-3_обработка'!I27)</f>
        <v>Душа</v>
      </c>
      <c r="M27" s="83" t="str">
        <f>IF($B27="","",'2-3_обработка'!J27)</f>
        <v>Отклонений нет</v>
      </c>
      <c r="N27" s="83" t="str">
        <f>IF($B27="","",'2-3_обработка'!K27)</f>
        <v>Отклонений нет</v>
      </c>
      <c r="O27" s="83" t="str">
        <f>IF($B27="","",'2-3_обработка'!L27)</f>
        <v>Отклонений нет</v>
      </c>
      <c r="P27" s="83" t="str">
        <f>IF($B27="","",'2-3_обработка'!M27)</f>
        <v>Отклонений нет</v>
      </c>
      <c r="Q27" s="83" t="str">
        <f>IF($B27="","",'2-3_обработка'!N27)</f>
        <v>Отклонений нет</v>
      </c>
      <c r="R27" s="83" t="str">
        <f>IF($B27="","",'2-3_обработка'!O27)</f>
        <v>Отклонений нет</v>
      </c>
      <c r="S27" s="83" t="str">
        <f>IF($B27="","",'2-3_обработка'!P27)</f>
        <v>Отклонений нет</v>
      </c>
      <c r="T27" s="83" t="str">
        <f>IF($B27="","",'2-3_обработка'!Q27)</f>
        <v>Отклонений нет</v>
      </c>
      <c r="U27" s="83" t="str">
        <f>IF($B27="","",'2-3_обработка'!R27)</f>
        <v>Отклонений нет</v>
      </c>
      <c r="V27" s="83" t="str">
        <f>IF($B27="","",'2-3_обработка'!S27)</f>
        <v>Отклонений нет</v>
      </c>
      <c r="W27" s="83" t="str">
        <f>IF($B27="","",'2-3_обработка'!T27)</f>
        <v>Отклонений нет</v>
      </c>
      <c r="X27" s="83" t="str">
        <f>IF($B27="","",'2-3_обработка'!U27)</f>
        <v>Отклонений нет</v>
      </c>
      <c r="Y27" s="85" t="str">
        <f>IF($B27="","",'2-3_обработка'!V27)</f>
        <v>Отклонений нет</v>
      </c>
      <c r="Z27" s="85" t="str">
        <f>IF($B27="","",'2-3_обработка'!W27)</f>
        <v>Отклонений нет</v>
      </c>
      <c r="AA27" s="85" t="str">
        <f>IF($B27="","",'2-3_обработка'!X27)</f>
        <v>Отклонений нет</v>
      </c>
      <c r="AB27" s="83" t="s">
        <v>134</v>
      </c>
      <c r="AC27" s="83"/>
    </row>
    <row r="28" spans="1:29" ht="18" customHeight="1">
      <c r="A28" s="80">
        <v>27</v>
      </c>
      <c r="B28" s="87" t="e">
        <f>IF(ЦТО!#REF!="","",ЦТО!#REF!)</f>
        <v>#REF!</v>
      </c>
      <c r="C28" s="80" t="e">
        <f>IF(ЦТО!#REF!="","",ЦТО!#REF!)</f>
        <v>#REF!</v>
      </c>
      <c r="D28" s="82" t="e">
        <f>IF(ЦТО!#REF!="","",ЦТО!#REF!)</f>
        <v>#REF!</v>
      </c>
      <c r="E28" s="80" t="e">
        <f>IF($B28="","",'1_обработка CО,ВК,ЭК'!F30)</f>
        <v>#REF!</v>
      </c>
      <c r="F28" s="80" t="e">
        <f>IF($B28="","",'1_обработка CО,ВК,ЭК'!H29)</f>
        <v>#REF!</v>
      </c>
      <c r="G28" s="80" t="e">
        <f>IF($B28="","",'1_обработка CО,ВК,ЭК'!I29)</f>
        <v>#REF!</v>
      </c>
      <c r="H28" s="80" t="e">
        <f>IF($B28="","",'2-3_обработка'!E28)</f>
        <v>#REF!</v>
      </c>
      <c r="I28" s="80" t="e">
        <f>IF($B28="","",'2-3_обработка'!F28)</f>
        <v>#REF!</v>
      </c>
      <c r="J28" s="80" t="e">
        <f>IF($B28="","",'2-3_обработка'!G28)</f>
        <v>#REF!</v>
      </c>
      <c r="K28" s="80" t="e">
        <f>IF($B28="","",'2-3_обработка'!H28)</f>
        <v>#REF!</v>
      </c>
      <c r="L28" s="80" t="e">
        <f>IF($B28="","",'2-3_обработка'!I28)</f>
        <v>#REF!</v>
      </c>
      <c r="M28" s="80" t="e">
        <f>IF($B28="","",'2-3_обработка'!J28)</f>
        <v>#REF!</v>
      </c>
      <c r="N28" s="80" t="e">
        <f>IF($B28="","",'2-3_обработка'!K28)</f>
        <v>#REF!</v>
      </c>
      <c r="O28" s="80" t="e">
        <f>IF($B28="","",'2-3_обработка'!L28)</f>
        <v>#REF!</v>
      </c>
      <c r="P28" s="80" t="e">
        <f>IF($B28="","",'2-3_обработка'!M28)</f>
        <v>#REF!</v>
      </c>
      <c r="Q28" s="80" t="e">
        <f>IF($B28="","",'2-3_обработка'!N28)</f>
        <v>#REF!</v>
      </c>
      <c r="R28" s="80" t="e">
        <f>IF($B28="","",'2-3_обработка'!O28)</f>
        <v>#REF!</v>
      </c>
      <c r="S28" s="80" t="e">
        <f>IF($B28="","",'2-3_обработка'!P28)</f>
        <v>#REF!</v>
      </c>
      <c r="T28" s="80" t="e">
        <f>IF($B28="","",'2-3_обработка'!Q28)</f>
        <v>#REF!</v>
      </c>
      <c r="U28" s="80" t="e">
        <f>IF($B28="","",'2-3_обработка'!R28)</f>
        <v>#REF!</v>
      </c>
      <c r="V28" s="80" t="e">
        <f>IF($B28="","",'2-3_обработка'!S28)</f>
        <v>#REF!</v>
      </c>
      <c r="W28" s="80" t="e">
        <f>IF($B28="","",'2-3_обработка'!T28)</f>
        <v>#REF!</v>
      </c>
      <c r="X28" s="80" t="e">
        <f>IF($B28="","",'2-3_обработка'!U28)</f>
        <v>#REF!</v>
      </c>
      <c r="Y28" s="81" t="e">
        <f>IF($B28="","",'2-3_обработка'!V28)</f>
        <v>#REF!</v>
      </c>
      <c r="Z28" s="81" t="e">
        <f>IF($B28="","",'2-3_обработка'!W28)</f>
        <v>#REF!</v>
      </c>
      <c r="AA28" s="81" t="e">
        <f>IF($B28="","",'2-3_обработка'!X28)</f>
        <v>#REF!</v>
      </c>
      <c r="AB28" s="80" t="s">
        <v>134</v>
      </c>
    </row>
    <row r="29" spans="1:29" ht="18" customHeight="1">
      <c r="A29" s="80">
        <v>28</v>
      </c>
      <c r="B29" s="87" t="e">
        <f>IF(ЦТО!#REF!="","",ЦТО!#REF!)</f>
        <v>#REF!</v>
      </c>
      <c r="C29" s="80" t="e">
        <f>IF(ЦТО!#REF!="","",ЦТО!#REF!)</f>
        <v>#REF!</v>
      </c>
      <c r="D29" s="82" t="e">
        <f>IF(ЦТО!#REF!="","",ЦТО!#REF!)</f>
        <v>#REF!</v>
      </c>
      <c r="E29" s="80" t="e">
        <f>IF($B29="","",'1_обработка CО,ВК,ЭК'!F31)</f>
        <v>#REF!</v>
      </c>
      <c r="F29" s="80" t="e">
        <f>IF($B29="","",'1_обработка CО,ВК,ЭК'!H30)</f>
        <v>#REF!</v>
      </c>
      <c r="G29" s="80" t="e">
        <f>IF($B29="","",'1_обработка CО,ВК,ЭК'!I30)</f>
        <v>#REF!</v>
      </c>
      <c r="H29" s="80" t="e">
        <f>IF($B29="","",'2-3_обработка'!E29)</f>
        <v>#REF!</v>
      </c>
      <c r="I29" s="80" t="e">
        <f>IF($B29="","",'2-3_обработка'!F29)</f>
        <v>#REF!</v>
      </c>
      <c r="J29" s="80" t="e">
        <f>IF($B29="","",'2-3_обработка'!G29)</f>
        <v>#REF!</v>
      </c>
      <c r="K29" s="80" t="e">
        <f>IF($B29="","",'2-3_обработка'!H29)</f>
        <v>#REF!</v>
      </c>
      <c r="L29" s="80" t="e">
        <f>IF($B29="","",'2-3_обработка'!I29)</f>
        <v>#REF!</v>
      </c>
      <c r="M29" s="80" t="e">
        <f>IF($B29="","",'2-3_обработка'!J29)</f>
        <v>#REF!</v>
      </c>
      <c r="N29" s="80" t="e">
        <f>IF($B29="","",'2-3_обработка'!K29)</f>
        <v>#REF!</v>
      </c>
      <c r="O29" s="80" t="e">
        <f>IF($B29="","",'2-3_обработка'!L29)</f>
        <v>#REF!</v>
      </c>
      <c r="P29" s="80" t="e">
        <f>IF($B29="","",'2-3_обработка'!M29)</f>
        <v>#REF!</v>
      </c>
      <c r="Q29" s="80" t="e">
        <f>IF($B29="","",'2-3_обработка'!N29)</f>
        <v>#REF!</v>
      </c>
      <c r="R29" s="80" t="e">
        <f>IF($B29="","",'2-3_обработка'!O29)</f>
        <v>#REF!</v>
      </c>
      <c r="S29" s="80" t="e">
        <f>IF($B29="","",'2-3_обработка'!P29)</f>
        <v>#REF!</v>
      </c>
      <c r="T29" s="80" t="e">
        <f>IF($B29="","",'2-3_обработка'!Q29)</f>
        <v>#REF!</v>
      </c>
      <c r="U29" s="80" t="e">
        <f>IF($B29="","",'2-3_обработка'!R29)</f>
        <v>#REF!</v>
      </c>
      <c r="V29" s="80" t="e">
        <f>IF($B29="","",'2-3_обработка'!S29)</f>
        <v>#REF!</v>
      </c>
      <c r="W29" s="80" t="e">
        <f>IF($B29="","",'2-3_обработка'!T29)</f>
        <v>#REF!</v>
      </c>
      <c r="X29" s="80" t="e">
        <f>IF($B29="","",'2-3_обработка'!U29)</f>
        <v>#REF!</v>
      </c>
      <c r="Y29" s="81" t="e">
        <f>IF($B29="","",'2-3_обработка'!V29)</f>
        <v>#REF!</v>
      </c>
      <c r="Z29" s="81" t="e">
        <f>IF($B29="","",'2-3_обработка'!W29)</f>
        <v>#REF!</v>
      </c>
      <c r="AA29" s="81" t="e">
        <f>IF($B29="","",'2-3_обработка'!X29)</f>
        <v>#REF!</v>
      </c>
      <c r="AB29" s="80" t="s">
        <v>134</v>
      </c>
    </row>
    <row r="30" spans="1:29" ht="18" customHeight="1">
      <c r="A30" s="80">
        <v>29</v>
      </c>
      <c r="B30" s="87" t="e">
        <f>IF(ЦТО!#REF!="","",ЦТО!#REF!)</f>
        <v>#REF!</v>
      </c>
      <c r="C30" s="80" t="e">
        <f>IF(ЦТО!#REF!="","",ЦТО!#REF!)</f>
        <v>#REF!</v>
      </c>
      <c r="D30" s="82" t="e">
        <f>IF(ЦТО!#REF!="","",ЦТО!#REF!)</f>
        <v>#REF!</v>
      </c>
      <c r="E30" s="80" t="e">
        <f>IF($B30="","",'1_обработка CО,ВК,ЭК'!F32)</f>
        <v>#REF!</v>
      </c>
      <c r="F30" s="80" t="e">
        <f>IF($B30="","",'1_обработка CО,ВК,ЭК'!H31)</f>
        <v>#REF!</v>
      </c>
      <c r="G30" s="80" t="e">
        <f>IF($B30="","",'1_обработка CО,ВК,ЭК'!I31)</f>
        <v>#REF!</v>
      </c>
      <c r="H30" s="80" t="e">
        <f>IF($B30="","",'2-3_обработка'!E30)</f>
        <v>#REF!</v>
      </c>
      <c r="I30" s="80" t="e">
        <f>IF($B30="","",'2-3_обработка'!F30)</f>
        <v>#REF!</v>
      </c>
      <c r="J30" s="80" t="e">
        <f>IF($B30="","",'2-3_обработка'!G30)</f>
        <v>#REF!</v>
      </c>
      <c r="K30" s="80" t="e">
        <f>IF($B30="","",'2-3_обработка'!H30)</f>
        <v>#REF!</v>
      </c>
      <c r="L30" s="80" t="e">
        <f>IF($B30="","",'2-3_обработка'!I30)</f>
        <v>#REF!</v>
      </c>
      <c r="M30" s="80" t="e">
        <f>IF($B30="","",'2-3_обработка'!J30)</f>
        <v>#REF!</v>
      </c>
      <c r="N30" s="80" t="e">
        <f>IF($B30="","",'2-3_обработка'!K30)</f>
        <v>#REF!</v>
      </c>
      <c r="O30" s="80" t="e">
        <f>IF($B30="","",'2-3_обработка'!L30)</f>
        <v>#REF!</v>
      </c>
      <c r="P30" s="80" t="e">
        <f>IF($B30="","",'2-3_обработка'!M30)</f>
        <v>#REF!</v>
      </c>
      <c r="Q30" s="80" t="e">
        <f>IF($B30="","",'2-3_обработка'!N30)</f>
        <v>#REF!</v>
      </c>
      <c r="R30" s="80" t="e">
        <f>IF($B30="","",'2-3_обработка'!O30)</f>
        <v>#REF!</v>
      </c>
      <c r="S30" s="80" t="e">
        <f>IF($B30="","",'2-3_обработка'!P30)</f>
        <v>#REF!</v>
      </c>
      <c r="T30" s="80" t="e">
        <f>IF($B30="","",'2-3_обработка'!Q30)</f>
        <v>#REF!</v>
      </c>
      <c r="U30" s="80" t="e">
        <f>IF($B30="","",'2-3_обработка'!R30)</f>
        <v>#REF!</v>
      </c>
      <c r="V30" s="80" t="e">
        <f>IF($B30="","",'2-3_обработка'!S30)</f>
        <v>#REF!</v>
      </c>
      <c r="W30" s="80" t="e">
        <f>IF($B30="","",'2-3_обработка'!T30)</f>
        <v>#REF!</v>
      </c>
      <c r="X30" s="80" t="e">
        <f>IF($B30="","",'2-3_обработка'!U30)</f>
        <v>#REF!</v>
      </c>
      <c r="Y30" s="81" t="e">
        <f>IF($B30="","",'2-3_обработка'!V30)</f>
        <v>#REF!</v>
      </c>
      <c r="Z30" s="81" t="e">
        <f>IF($B30="","",'2-3_обработка'!W30)</f>
        <v>#REF!</v>
      </c>
      <c r="AA30" s="81" t="e">
        <f>IF($B30="","",'2-3_обработка'!X30)</f>
        <v>#REF!</v>
      </c>
      <c r="AB30" s="80" t="s">
        <v>134</v>
      </c>
    </row>
    <row r="31" spans="1:29" ht="18" customHeight="1">
      <c r="A31" s="80">
        <v>30</v>
      </c>
      <c r="B31" s="87" t="e">
        <f>IF(ЦТО!#REF!="","",ЦТО!#REF!)</f>
        <v>#REF!</v>
      </c>
      <c r="C31" s="80" t="e">
        <f>IF(ЦТО!#REF!="","",ЦТО!#REF!)</f>
        <v>#REF!</v>
      </c>
      <c r="D31" s="82" t="e">
        <f>IF(ЦТО!#REF!="","",ЦТО!#REF!)</f>
        <v>#REF!</v>
      </c>
      <c r="E31" s="80" t="e">
        <f>IF($B31="","",'1_обработка CО,ВК,ЭК'!F33)</f>
        <v>#REF!</v>
      </c>
      <c r="F31" s="80" t="e">
        <f>IF($B31="","",'1_обработка CО,ВК,ЭК'!H32)</f>
        <v>#REF!</v>
      </c>
      <c r="G31" s="80" t="e">
        <f>IF($B31="","",'1_обработка CО,ВК,ЭК'!I32)</f>
        <v>#REF!</v>
      </c>
      <c r="H31" s="80" t="e">
        <f>IF($B31="","",'2-3_обработка'!E31)</f>
        <v>#REF!</v>
      </c>
      <c r="I31" s="80" t="e">
        <f>IF($B31="","",'2-3_обработка'!F31)</f>
        <v>#REF!</v>
      </c>
      <c r="J31" s="80" t="e">
        <f>IF($B31="","",'2-3_обработка'!G31)</f>
        <v>#REF!</v>
      </c>
      <c r="K31" s="80" t="e">
        <f>IF($B31="","",'2-3_обработка'!H31)</f>
        <v>#REF!</v>
      </c>
      <c r="L31" s="80" t="e">
        <f>IF($B31="","",'2-3_обработка'!I31)</f>
        <v>#REF!</v>
      </c>
      <c r="M31" s="80" t="e">
        <f>IF($B31="","",'2-3_обработка'!J31)</f>
        <v>#REF!</v>
      </c>
      <c r="N31" s="80" t="e">
        <f>IF($B31="","",'2-3_обработка'!K31)</f>
        <v>#REF!</v>
      </c>
      <c r="O31" s="80" t="e">
        <f>IF($B31="","",'2-3_обработка'!L31)</f>
        <v>#REF!</v>
      </c>
      <c r="P31" s="80" t="e">
        <f>IF($B31="","",'2-3_обработка'!M31)</f>
        <v>#REF!</v>
      </c>
      <c r="Q31" s="80" t="e">
        <f>IF($B31="","",'2-3_обработка'!N31)</f>
        <v>#REF!</v>
      </c>
      <c r="R31" s="80" t="e">
        <f>IF($B31="","",'2-3_обработка'!O31)</f>
        <v>#REF!</v>
      </c>
      <c r="S31" s="80" t="e">
        <f>IF($B31="","",'2-3_обработка'!P31)</f>
        <v>#REF!</v>
      </c>
      <c r="T31" s="80" t="e">
        <f>IF($B31="","",'2-3_обработка'!Q31)</f>
        <v>#REF!</v>
      </c>
      <c r="U31" s="80" t="e">
        <f>IF($B31="","",'2-3_обработка'!R31)</f>
        <v>#REF!</v>
      </c>
      <c r="V31" s="80" t="e">
        <f>IF($B31="","",'2-3_обработка'!S31)</f>
        <v>#REF!</v>
      </c>
      <c r="W31" s="80" t="e">
        <f>IF($B31="","",'2-3_обработка'!T31)</f>
        <v>#REF!</v>
      </c>
      <c r="X31" s="80" t="e">
        <f>IF($B31="","",'2-3_обработка'!U31)</f>
        <v>#REF!</v>
      </c>
      <c r="Y31" s="81" t="e">
        <f>IF($B31="","",'2-3_обработка'!V31)</f>
        <v>#REF!</v>
      </c>
      <c r="Z31" s="81" t="e">
        <f>IF($B31="","",'2-3_обработка'!W31)</f>
        <v>#REF!</v>
      </c>
      <c r="AA31" s="81" t="e">
        <f>IF($B31="","",'2-3_обработка'!X31)</f>
        <v>#REF!</v>
      </c>
      <c r="AB31" s="80" t="s">
        <v>132</v>
      </c>
    </row>
    <row r="32" spans="1:29" s="86" customFormat="1" ht="18" customHeight="1">
      <c r="A32" s="83">
        <v>31</v>
      </c>
      <c r="B32" s="88" t="e">
        <f>IF(ЦТО!#REF!="","",ЦТО!#REF!)</f>
        <v>#REF!</v>
      </c>
      <c r="C32" s="83" t="e">
        <f>IF(ЦТО!#REF!="","",ЦТО!#REF!)</f>
        <v>#REF!</v>
      </c>
      <c r="D32" s="84" t="e">
        <f>IF(ЦТО!#REF!="","",ЦТО!#REF!)</f>
        <v>#REF!</v>
      </c>
      <c r="E32" s="80" t="e">
        <f>IF($B32="","",'1_обработка CО,ВК,ЭК'!F34)</f>
        <v>#REF!</v>
      </c>
      <c r="F32" s="80" t="e">
        <f>IF($B32="","",'1_обработка CО,ВК,ЭК'!H33)</f>
        <v>#REF!</v>
      </c>
      <c r="G32" s="80" t="e">
        <f>IF($B32="","",'1_обработка CО,ВК,ЭК'!I33)</f>
        <v>#REF!</v>
      </c>
      <c r="H32" s="83" t="e">
        <f>IF($B32="","",'2-3_обработка'!E32)</f>
        <v>#REF!</v>
      </c>
      <c r="I32" s="83" t="e">
        <f>IF($B32="","",'2-3_обработка'!F32)</f>
        <v>#REF!</v>
      </c>
      <c r="J32" s="83" t="e">
        <f>IF($B32="","",'2-3_обработка'!G32)</f>
        <v>#REF!</v>
      </c>
      <c r="K32" s="83" t="e">
        <f>IF($B32="","",'2-3_обработка'!H32)</f>
        <v>#REF!</v>
      </c>
      <c r="L32" s="83" t="e">
        <f>IF($B32="","",'2-3_обработка'!I32)</f>
        <v>#REF!</v>
      </c>
      <c r="M32" s="83" t="e">
        <f>IF($B32="","",'2-3_обработка'!J32)</f>
        <v>#REF!</v>
      </c>
      <c r="N32" s="83" t="e">
        <f>IF($B32="","",'2-3_обработка'!K32)</f>
        <v>#REF!</v>
      </c>
      <c r="O32" s="83" t="e">
        <f>IF($B32="","",'2-3_обработка'!L32)</f>
        <v>#REF!</v>
      </c>
      <c r="P32" s="83" t="e">
        <f>IF($B32="","",'2-3_обработка'!M32)</f>
        <v>#REF!</v>
      </c>
      <c r="Q32" s="83" t="e">
        <f>IF($B32="","",'2-3_обработка'!N32)</f>
        <v>#REF!</v>
      </c>
      <c r="R32" s="83" t="e">
        <f>IF($B32="","",'2-3_обработка'!O32)</f>
        <v>#REF!</v>
      </c>
      <c r="S32" s="83" t="e">
        <f>IF($B32="","",'2-3_обработка'!P32)</f>
        <v>#REF!</v>
      </c>
      <c r="T32" s="83" t="e">
        <f>IF($B32="","",'2-3_обработка'!Q32)</f>
        <v>#REF!</v>
      </c>
      <c r="U32" s="83" t="e">
        <f>IF($B32="","",'2-3_обработка'!R32)</f>
        <v>#REF!</v>
      </c>
      <c r="V32" s="83" t="e">
        <f>IF($B32="","",'2-3_обработка'!S32)</f>
        <v>#REF!</v>
      </c>
      <c r="W32" s="83" t="e">
        <f>IF($B32="","",'2-3_обработка'!T32)</f>
        <v>#REF!</v>
      </c>
      <c r="X32" s="83" t="e">
        <f>IF($B32="","",'2-3_обработка'!U32)</f>
        <v>#REF!</v>
      </c>
      <c r="Y32" s="85" t="e">
        <f>IF($B32="","",'2-3_обработка'!V32)</f>
        <v>#REF!</v>
      </c>
      <c r="Z32" s="85" t="e">
        <f>IF($B32="","",'2-3_обработка'!W32)</f>
        <v>#REF!</v>
      </c>
      <c r="AA32" s="85" t="e">
        <f>IF($B32="","",'2-3_обработка'!X32)</f>
        <v>#REF!</v>
      </c>
      <c r="AB32" s="83" t="s">
        <v>134</v>
      </c>
      <c r="AC32" s="83"/>
    </row>
    <row r="33" spans="1:29" ht="18" customHeight="1">
      <c r="A33" s="80">
        <v>32</v>
      </c>
      <c r="B33" s="87" t="e">
        <f>IF(ЦТО!#REF!="","",ЦТО!#REF!)</f>
        <v>#REF!</v>
      </c>
      <c r="C33" s="80" t="e">
        <f>IF(ЦТО!#REF!="","",ЦТО!#REF!)</f>
        <v>#REF!</v>
      </c>
      <c r="D33" s="82" t="e">
        <f>IF(ЦТО!#REF!="","",ЦТО!#REF!)</f>
        <v>#REF!</v>
      </c>
      <c r="E33" s="80" t="e">
        <f>IF($B33="","",'1_обработка CО,ВК,ЭК'!F35)</f>
        <v>#REF!</v>
      </c>
      <c r="F33" s="80" t="e">
        <f>IF($B33="","",'1_обработка CО,ВК,ЭК'!H34)</f>
        <v>#REF!</v>
      </c>
      <c r="G33" s="80" t="e">
        <f>IF($B33="","",'1_обработка CО,ВК,ЭК'!I34)</f>
        <v>#REF!</v>
      </c>
      <c r="H33" s="80" t="e">
        <f>IF($B33="","",'2-3_обработка'!E33)</f>
        <v>#REF!</v>
      </c>
      <c r="I33" s="80" t="e">
        <f>IF($B33="","",'2-3_обработка'!F33)</f>
        <v>#REF!</v>
      </c>
      <c r="J33" s="80" t="e">
        <f>IF($B33="","",'2-3_обработка'!G33)</f>
        <v>#REF!</v>
      </c>
      <c r="K33" s="80" t="e">
        <f>IF($B33="","",'2-3_обработка'!H33)</f>
        <v>#REF!</v>
      </c>
      <c r="L33" s="80" t="e">
        <f>IF($B33="","",'2-3_обработка'!I33)</f>
        <v>#REF!</v>
      </c>
      <c r="M33" s="80" t="e">
        <f>IF($B33="","",'2-3_обработка'!J33)</f>
        <v>#REF!</v>
      </c>
      <c r="N33" s="80" t="e">
        <f>IF($B33="","",'2-3_обработка'!K33)</f>
        <v>#REF!</v>
      </c>
      <c r="O33" s="80" t="e">
        <f>IF($B33="","",'2-3_обработка'!L33)</f>
        <v>#REF!</v>
      </c>
      <c r="P33" s="80" t="e">
        <f>IF($B33="","",'2-3_обработка'!M33)</f>
        <v>#REF!</v>
      </c>
      <c r="Q33" s="80" t="e">
        <f>IF($B33="","",'2-3_обработка'!N33)</f>
        <v>#REF!</v>
      </c>
      <c r="R33" s="80" t="e">
        <f>IF($B33="","",'2-3_обработка'!O33)</f>
        <v>#REF!</v>
      </c>
      <c r="S33" s="80" t="e">
        <f>IF($B33="","",'2-3_обработка'!P33)</f>
        <v>#REF!</v>
      </c>
      <c r="T33" s="80" t="e">
        <f>IF($B33="","",'2-3_обработка'!Q33)</f>
        <v>#REF!</v>
      </c>
      <c r="U33" s="80" t="e">
        <f>IF($B33="","",'2-3_обработка'!R33)</f>
        <v>#REF!</v>
      </c>
      <c r="V33" s="80" t="e">
        <f>IF($B33="","",'2-3_обработка'!S33)</f>
        <v>#REF!</v>
      </c>
      <c r="W33" s="80" t="e">
        <f>IF($B33="","",'2-3_обработка'!T33)</f>
        <v>#REF!</v>
      </c>
      <c r="X33" s="80" t="e">
        <f>IF($B33="","",'2-3_обработка'!U33)</f>
        <v>#REF!</v>
      </c>
      <c r="Y33" s="81" t="e">
        <f>IF($B33="","",'2-3_обработка'!V33)</f>
        <v>#REF!</v>
      </c>
      <c r="Z33" s="81" t="e">
        <f>IF($B33="","",'2-3_обработка'!W33)</f>
        <v>#REF!</v>
      </c>
      <c r="AA33" s="81" t="e">
        <f>IF($B33="","",'2-3_обработка'!X33)</f>
        <v>#REF!</v>
      </c>
      <c r="AB33" s="80" t="s">
        <v>134</v>
      </c>
    </row>
    <row r="34" spans="1:29" ht="18" customHeight="1">
      <c r="A34" s="80">
        <v>33</v>
      </c>
      <c r="B34" s="87" t="e">
        <f>IF(ЦТО!#REF!="","",ЦТО!#REF!)</f>
        <v>#REF!</v>
      </c>
      <c r="C34" s="80" t="e">
        <f>IF(ЦТО!#REF!="","",ЦТО!#REF!)</f>
        <v>#REF!</v>
      </c>
      <c r="D34" s="82" t="e">
        <f>IF(ЦТО!#REF!="","",ЦТО!#REF!)</f>
        <v>#REF!</v>
      </c>
      <c r="E34" s="80" t="e">
        <f>IF($B34="","",'1_обработка CО,ВК,ЭК'!F36)</f>
        <v>#REF!</v>
      </c>
      <c r="F34" s="80" t="e">
        <f>IF($B34="","",'1_обработка CО,ВК,ЭК'!H35)</f>
        <v>#REF!</v>
      </c>
      <c r="G34" s="80" t="e">
        <f>IF($B34="","",'1_обработка CО,ВК,ЭК'!I35)</f>
        <v>#REF!</v>
      </c>
      <c r="H34" s="80" t="e">
        <f>IF($B34="","",'2-3_обработка'!E34)</f>
        <v>#REF!</v>
      </c>
      <c r="I34" s="80" t="e">
        <f>IF($B34="","",'2-3_обработка'!F34)</f>
        <v>#REF!</v>
      </c>
      <c r="J34" s="80" t="e">
        <f>IF($B34="","",'2-3_обработка'!G34)</f>
        <v>#REF!</v>
      </c>
      <c r="K34" s="80" t="e">
        <f>IF($B34="","",'2-3_обработка'!H34)</f>
        <v>#REF!</v>
      </c>
      <c r="L34" s="80" t="e">
        <f>IF($B34="","",'2-3_обработка'!I34)</f>
        <v>#REF!</v>
      </c>
      <c r="M34" s="80" t="e">
        <f>IF($B34="","",'2-3_обработка'!J34)</f>
        <v>#REF!</v>
      </c>
      <c r="N34" s="80" t="e">
        <f>IF($B34="","",'2-3_обработка'!K34)</f>
        <v>#REF!</v>
      </c>
      <c r="O34" s="80" t="e">
        <f>IF($B34="","",'2-3_обработка'!L34)</f>
        <v>#REF!</v>
      </c>
      <c r="P34" s="80" t="e">
        <f>IF($B34="","",'2-3_обработка'!M34)</f>
        <v>#REF!</v>
      </c>
      <c r="Q34" s="80" t="e">
        <f>IF($B34="","",'2-3_обработка'!N34)</f>
        <v>#REF!</v>
      </c>
      <c r="R34" s="80" t="e">
        <f>IF($B34="","",'2-3_обработка'!O34)</f>
        <v>#REF!</v>
      </c>
      <c r="S34" s="80" t="e">
        <f>IF($B34="","",'2-3_обработка'!P34)</f>
        <v>#REF!</v>
      </c>
      <c r="T34" s="80" t="e">
        <f>IF($B34="","",'2-3_обработка'!Q34)</f>
        <v>#REF!</v>
      </c>
      <c r="U34" s="80" t="e">
        <f>IF($B34="","",'2-3_обработка'!R34)</f>
        <v>#REF!</v>
      </c>
      <c r="V34" s="80" t="e">
        <f>IF($B34="","",'2-3_обработка'!S34)</f>
        <v>#REF!</v>
      </c>
      <c r="W34" s="80" t="e">
        <f>IF($B34="","",'2-3_обработка'!T34)</f>
        <v>#REF!</v>
      </c>
      <c r="X34" s="80" t="e">
        <f>IF($B34="","",'2-3_обработка'!U34)</f>
        <v>#REF!</v>
      </c>
      <c r="Y34" s="81" t="e">
        <f>IF($B34="","",'2-3_обработка'!V34)</f>
        <v>#REF!</v>
      </c>
      <c r="Z34" s="81" t="e">
        <f>IF($B34="","",'2-3_обработка'!W34)</f>
        <v>#REF!</v>
      </c>
      <c r="AA34" s="81" t="e">
        <f>IF($B34="","",'2-3_обработка'!X34)</f>
        <v>#REF!</v>
      </c>
      <c r="AB34" s="80" t="s">
        <v>134</v>
      </c>
    </row>
    <row r="35" spans="1:29" ht="18" customHeight="1">
      <c r="A35" s="80">
        <v>34</v>
      </c>
      <c r="B35" s="87" t="e">
        <f>IF(ЦТО!#REF!="","",ЦТО!#REF!)</f>
        <v>#REF!</v>
      </c>
      <c r="C35" s="80" t="e">
        <f>IF(ЦТО!#REF!="","",ЦТО!#REF!)</f>
        <v>#REF!</v>
      </c>
      <c r="D35" s="82" t="e">
        <f>IF(ЦТО!#REF!="","",ЦТО!#REF!)</f>
        <v>#REF!</v>
      </c>
      <c r="E35" s="80" t="e">
        <f>IF($B35="","",'1_обработка CО,ВК,ЭК'!F37)</f>
        <v>#REF!</v>
      </c>
      <c r="F35" s="80" t="e">
        <f>IF($B35="","",'1_обработка CО,ВК,ЭК'!H36)</f>
        <v>#REF!</v>
      </c>
      <c r="G35" s="80" t="e">
        <f>IF($B35="","",'1_обработка CО,ВК,ЭК'!I36)</f>
        <v>#REF!</v>
      </c>
      <c r="H35" s="80" t="e">
        <f>IF($B35="","",'2-3_обработка'!E35)</f>
        <v>#REF!</v>
      </c>
      <c r="I35" s="80" t="e">
        <f>IF($B35="","",'2-3_обработка'!F35)</f>
        <v>#REF!</v>
      </c>
      <c r="J35" s="80" t="e">
        <f>IF($B35="","",'2-3_обработка'!G35)</f>
        <v>#REF!</v>
      </c>
      <c r="K35" s="80" t="e">
        <f>IF($B35="","",'2-3_обработка'!H35)</f>
        <v>#REF!</v>
      </c>
      <c r="L35" s="80" t="e">
        <f>IF($B35="","",'2-3_обработка'!I35)</f>
        <v>#REF!</v>
      </c>
      <c r="M35" s="80" t="e">
        <f>IF($B35="","",'2-3_обработка'!J35)</f>
        <v>#REF!</v>
      </c>
      <c r="N35" s="80" t="e">
        <f>IF($B35="","",'2-3_обработка'!K35)</f>
        <v>#REF!</v>
      </c>
      <c r="O35" s="80" t="e">
        <f>IF($B35="","",'2-3_обработка'!L35)</f>
        <v>#REF!</v>
      </c>
      <c r="P35" s="80" t="e">
        <f>IF($B35="","",'2-3_обработка'!M35)</f>
        <v>#REF!</v>
      </c>
      <c r="Q35" s="80" t="e">
        <f>IF($B35="","",'2-3_обработка'!N35)</f>
        <v>#REF!</v>
      </c>
      <c r="R35" s="80" t="e">
        <f>IF($B35="","",'2-3_обработка'!O35)</f>
        <v>#REF!</v>
      </c>
      <c r="S35" s="80" t="e">
        <f>IF($B35="","",'2-3_обработка'!P35)</f>
        <v>#REF!</v>
      </c>
      <c r="T35" s="80" t="e">
        <f>IF($B35="","",'2-3_обработка'!Q35)</f>
        <v>#REF!</v>
      </c>
      <c r="U35" s="80" t="e">
        <f>IF($B35="","",'2-3_обработка'!R35)</f>
        <v>#REF!</v>
      </c>
      <c r="V35" s="80" t="e">
        <f>IF($B35="","",'2-3_обработка'!S35)</f>
        <v>#REF!</v>
      </c>
      <c r="W35" s="80" t="e">
        <f>IF($B35="","",'2-3_обработка'!T35)</f>
        <v>#REF!</v>
      </c>
      <c r="X35" s="80" t="e">
        <f>IF($B35="","",'2-3_обработка'!U35)</f>
        <v>#REF!</v>
      </c>
      <c r="Y35" s="81" t="e">
        <f>IF($B35="","",'2-3_обработка'!V35)</f>
        <v>#REF!</v>
      </c>
      <c r="Z35" s="81" t="e">
        <f>IF($B35="","",'2-3_обработка'!W35)</f>
        <v>#REF!</v>
      </c>
      <c r="AA35" s="81" t="e">
        <f>IF($B35="","",'2-3_обработка'!X35)</f>
        <v>#REF!</v>
      </c>
      <c r="AB35" s="80" t="s">
        <v>134</v>
      </c>
    </row>
    <row r="36" spans="1:29" ht="18" customHeight="1">
      <c r="A36" s="80">
        <v>35</v>
      </c>
      <c r="B36" s="87" t="e">
        <f>IF(ЦТО!#REF!="","",ЦТО!#REF!)</f>
        <v>#REF!</v>
      </c>
      <c r="C36" s="80" t="e">
        <f>IF(ЦТО!#REF!="","",ЦТО!#REF!)</f>
        <v>#REF!</v>
      </c>
      <c r="D36" s="82" t="e">
        <f>IF(ЦТО!#REF!="","",ЦТО!#REF!)</f>
        <v>#REF!</v>
      </c>
      <c r="E36" s="80" t="e">
        <f>IF($B36="","",'1_обработка CО,ВК,ЭК'!F38)</f>
        <v>#REF!</v>
      </c>
      <c r="F36" s="80" t="e">
        <f>IF($B36="","",'1_обработка CО,ВК,ЭК'!H37)</f>
        <v>#REF!</v>
      </c>
      <c r="G36" s="80" t="e">
        <f>IF($B36="","",'1_обработка CО,ВК,ЭК'!I37)</f>
        <v>#REF!</v>
      </c>
      <c r="H36" s="80" t="e">
        <f>IF($B36="","",'2-3_обработка'!E36)</f>
        <v>#REF!</v>
      </c>
      <c r="I36" s="80" t="e">
        <f>IF($B36="","",'2-3_обработка'!F36)</f>
        <v>#REF!</v>
      </c>
      <c r="J36" s="80" t="e">
        <f>IF($B36="","",'2-3_обработка'!G36)</f>
        <v>#REF!</v>
      </c>
      <c r="K36" s="80" t="e">
        <f>IF($B36="","",'2-3_обработка'!H36)</f>
        <v>#REF!</v>
      </c>
      <c r="L36" s="80" t="e">
        <f>IF($B36="","",'2-3_обработка'!I36)</f>
        <v>#REF!</v>
      </c>
      <c r="M36" s="80" t="e">
        <f>IF($B36="","",'2-3_обработка'!J36)</f>
        <v>#REF!</v>
      </c>
      <c r="N36" s="80" t="e">
        <f>IF($B36="","",'2-3_обработка'!K36)</f>
        <v>#REF!</v>
      </c>
      <c r="O36" s="80" t="e">
        <f>IF($B36="","",'2-3_обработка'!L36)</f>
        <v>#REF!</v>
      </c>
      <c r="P36" s="80" t="e">
        <f>IF($B36="","",'2-3_обработка'!M36)</f>
        <v>#REF!</v>
      </c>
      <c r="Q36" s="80" t="e">
        <f>IF($B36="","",'2-3_обработка'!N36)</f>
        <v>#REF!</v>
      </c>
      <c r="R36" s="80" t="e">
        <f>IF($B36="","",'2-3_обработка'!O36)</f>
        <v>#REF!</v>
      </c>
      <c r="S36" s="80" t="e">
        <f>IF($B36="","",'2-3_обработка'!P36)</f>
        <v>#REF!</v>
      </c>
      <c r="T36" s="80" t="e">
        <f>IF($B36="","",'2-3_обработка'!Q36)</f>
        <v>#REF!</v>
      </c>
      <c r="U36" s="80" t="e">
        <f>IF($B36="","",'2-3_обработка'!R36)</f>
        <v>#REF!</v>
      </c>
      <c r="V36" s="80" t="e">
        <f>IF($B36="","",'2-3_обработка'!S36)</f>
        <v>#REF!</v>
      </c>
      <c r="W36" s="80" t="e">
        <f>IF($B36="","",'2-3_обработка'!T36)</f>
        <v>#REF!</v>
      </c>
      <c r="X36" s="80" t="e">
        <f>IF($B36="","",'2-3_обработка'!U36)</f>
        <v>#REF!</v>
      </c>
      <c r="Y36" s="81" t="e">
        <f>IF($B36="","",'2-3_обработка'!V36)</f>
        <v>#REF!</v>
      </c>
      <c r="Z36" s="81" t="e">
        <f>IF($B36="","",'2-3_обработка'!W36)</f>
        <v>#REF!</v>
      </c>
      <c r="AA36" s="81" t="e">
        <f>IF($B36="","",'2-3_обработка'!X36)</f>
        <v>#REF!</v>
      </c>
      <c r="AB36" s="80" t="s">
        <v>131</v>
      </c>
    </row>
    <row r="37" spans="1:29" ht="18" customHeight="1">
      <c r="A37" s="80">
        <v>36</v>
      </c>
      <c r="B37" s="87" t="e">
        <f>IF(ЦТО!#REF!="","",ЦТО!#REF!)</f>
        <v>#REF!</v>
      </c>
      <c r="C37" s="80" t="e">
        <f>IF(ЦТО!#REF!="","",ЦТО!#REF!)</f>
        <v>#REF!</v>
      </c>
      <c r="D37" s="82" t="e">
        <f>IF(ЦТО!#REF!="","",ЦТО!#REF!)</f>
        <v>#REF!</v>
      </c>
      <c r="E37" s="80" t="e">
        <f>IF($B37="","",'1_обработка CО,ВК,ЭК'!F39)</f>
        <v>#REF!</v>
      </c>
      <c r="F37" s="80" t="e">
        <f>IF($B37="","",'1_обработка CО,ВК,ЭК'!H38)</f>
        <v>#REF!</v>
      </c>
      <c r="G37" s="80" t="e">
        <f>IF($B37="","",'1_обработка CО,ВК,ЭК'!I38)</f>
        <v>#REF!</v>
      </c>
      <c r="H37" s="80" t="e">
        <f>IF($B37="","",'2-3_обработка'!E37)</f>
        <v>#REF!</v>
      </c>
      <c r="I37" s="80" t="e">
        <f>IF($B37="","",'2-3_обработка'!F37)</f>
        <v>#REF!</v>
      </c>
      <c r="J37" s="80" t="e">
        <f>IF($B37="","",'2-3_обработка'!G37)</f>
        <v>#REF!</v>
      </c>
      <c r="K37" s="80" t="e">
        <f>IF($B37="","",'2-3_обработка'!H37)</f>
        <v>#REF!</v>
      </c>
      <c r="L37" s="80" t="e">
        <f>IF($B37="","",'2-3_обработка'!I37)</f>
        <v>#REF!</v>
      </c>
      <c r="M37" s="80" t="e">
        <f>IF($B37="","",'2-3_обработка'!J37)</f>
        <v>#REF!</v>
      </c>
      <c r="N37" s="80" t="e">
        <f>IF($B37="","",'2-3_обработка'!K37)</f>
        <v>#REF!</v>
      </c>
      <c r="O37" s="80" t="e">
        <f>IF($B37="","",'2-3_обработка'!L37)</f>
        <v>#REF!</v>
      </c>
      <c r="P37" s="80" t="e">
        <f>IF($B37="","",'2-3_обработка'!M37)</f>
        <v>#REF!</v>
      </c>
      <c r="Q37" s="80" t="e">
        <f>IF($B37="","",'2-3_обработка'!N37)</f>
        <v>#REF!</v>
      </c>
      <c r="R37" s="80" t="e">
        <f>IF($B37="","",'2-3_обработка'!O37)</f>
        <v>#REF!</v>
      </c>
      <c r="S37" s="80" t="e">
        <f>IF($B37="","",'2-3_обработка'!P37)</f>
        <v>#REF!</v>
      </c>
      <c r="T37" s="80" t="e">
        <f>IF($B37="","",'2-3_обработка'!Q37)</f>
        <v>#REF!</v>
      </c>
      <c r="U37" s="80" t="e">
        <f>IF($B37="","",'2-3_обработка'!R37)</f>
        <v>#REF!</v>
      </c>
      <c r="V37" s="80" t="e">
        <f>IF($B37="","",'2-3_обработка'!S37)</f>
        <v>#REF!</v>
      </c>
      <c r="W37" s="80" t="e">
        <f>IF($B37="","",'2-3_обработка'!T37)</f>
        <v>#REF!</v>
      </c>
      <c r="X37" s="80" t="e">
        <f>IF($B37="","",'2-3_обработка'!U37)</f>
        <v>#REF!</v>
      </c>
      <c r="Y37" s="81" t="e">
        <f>IF($B37="","",'2-3_обработка'!V37)</f>
        <v>#REF!</v>
      </c>
      <c r="Z37" s="81" t="e">
        <f>IF($B37="","",'2-3_обработка'!W37)</f>
        <v>#REF!</v>
      </c>
      <c r="AA37" s="81" t="e">
        <f>IF($B37="","",'2-3_обработка'!X37)</f>
        <v>#REF!</v>
      </c>
      <c r="AB37" s="80" t="s">
        <v>133</v>
      </c>
    </row>
    <row r="38" spans="1:29" ht="18" customHeight="1">
      <c r="A38" s="80">
        <v>37</v>
      </c>
      <c r="B38" s="87" t="e">
        <f>IF(ЦТО!#REF!="","",ЦТО!#REF!)</f>
        <v>#REF!</v>
      </c>
      <c r="C38" s="80" t="e">
        <f>IF(ЦТО!#REF!="","",ЦТО!#REF!)</f>
        <v>#REF!</v>
      </c>
      <c r="D38" s="82" t="e">
        <f>IF(ЦТО!#REF!="","",ЦТО!#REF!)</f>
        <v>#REF!</v>
      </c>
      <c r="E38" s="80" t="e">
        <f>IF($B38="","",'1_обработка CО,ВК,ЭК'!F40)</f>
        <v>#REF!</v>
      </c>
      <c r="F38" s="80" t="e">
        <f>IF($B38="","",'1_обработка CО,ВК,ЭК'!H39)</f>
        <v>#REF!</v>
      </c>
      <c r="G38" s="80" t="e">
        <f>IF($B38="","",'1_обработка CО,ВК,ЭК'!I39)</f>
        <v>#REF!</v>
      </c>
      <c r="H38" s="80" t="e">
        <f>IF($B38="","",'2-3_обработка'!E38)</f>
        <v>#REF!</v>
      </c>
      <c r="I38" s="80" t="e">
        <f>IF($B38="","",'2-3_обработка'!F38)</f>
        <v>#REF!</v>
      </c>
      <c r="J38" s="80" t="e">
        <f>IF($B38="","",'2-3_обработка'!G38)</f>
        <v>#REF!</v>
      </c>
      <c r="K38" s="80" t="e">
        <f>IF($B38="","",'2-3_обработка'!H38)</f>
        <v>#REF!</v>
      </c>
      <c r="L38" s="80" t="e">
        <f>IF($B38="","",'2-3_обработка'!I38)</f>
        <v>#REF!</v>
      </c>
      <c r="M38" s="80" t="e">
        <f>IF($B38="","",'2-3_обработка'!J38)</f>
        <v>#REF!</v>
      </c>
      <c r="N38" s="80" t="e">
        <f>IF($B38="","",'2-3_обработка'!K38)</f>
        <v>#REF!</v>
      </c>
      <c r="O38" s="80" t="e">
        <f>IF($B38="","",'2-3_обработка'!L38)</f>
        <v>#REF!</v>
      </c>
      <c r="P38" s="80" t="e">
        <f>IF($B38="","",'2-3_обработка'!M38)</f>
        <v>#REF!</v>
      </c>
      <c r="Q38" s="80" t="e">
        <f>IF($B38="","",'2-3_обработка'!N38)</f>
        <v>#REF!</v>
      </c>
      <c r="R38" s="80" t="e">
        <f>IF($B38="","",'2-3_обработка'!O38)</f>
        <v>#REF!</v>
      </c>
      <c r="S38" s="80" t="e">
        <f>IF($B38="","",'2-3_обработка'!P38)</f>
        <v>#REF!</v>
      </c>
      <c r="T38" s="80" t="e">
        <f>IF($B38="","",'2-3_обработка'!Q38)</f>
        <v>#REF!</v>
      </c>
      <c r="U38" s="80" t="e">
        <f>IF($B38="","",'2-3_обработка'!R38)</f>
        <v>#REF!</v>
      </c>
      <c r="V38" s="80" t="e">
        <f>IF($B38="","",'2-3_обработка'!S38)</f>
        <v>#REF!</v>
      </c>
      <c r="W38" s="80" t="e">
        <f>IF($B38="","",'2-3_обработка'!T38)</f>
        <v>#REF!</v>
      </c>
      <c r="X38" s="80" t="e">
        <f>IF($B38="","",'2-3_обработка'!U38)</f>
        <v>#REF!</v>
      </c>
      <c r="Y38" s="81" t="e">
        <f>IF($B38="","",'2-3_обработка'!V38)</f>
        <v>#REF!</v>
      </c>
      <c r="Z38" s="81" t="e">
        <f>IF($B38="","",'2-3_обработка'!W38)</f>
        <v>#REF!</v>
      </c>
      <c r="AA38" s="81" t="e">
        <f>IF($B38="","",'2-3_обработка'!X38)</f>
        <v>#REF!</v>
      </c>
      <c r="AB38" s="80" t="s">
        <v>134</v>
      </c>
    </row>
    <row r="39" spans="1:29" ht="18" customHeight="1">
      <c r="A39" s="80">
        <v>38</v>
      </c>
      <c r="B39" s="87" t="e">
        <f>IF(ЦТО!#REF!="","",ЦТО!#REF!)</f>
        <v>#REF!</v>
      </c>
      <c r="C39" s="80" t="e">
        <f>IF(ЦТО!#REF!="","",ЦТО!#REF!)</f>
        <v>#REF!</v>
      </c>
      <c r="D39" s="82" t="e">
        <f>IF(ЦТО!#REF!="","",ЦТО!#REF!)</f>
        <v>#REF!</v>
      </c>
      <c r="E39" s="80" t="e">
        <f>IF($B39="","",'1_обработка CО,ВК,ЭК'!F41)</f>
        <v>#REF!</v>
      </c>
      <c r="F39" s="80" t="e">
        <f>IF($B39="","",'1_обработка CО,ВК,ЭК'!H40)</f>
        <v>#REF!</v>
      </c>
      <c r="G39" s="80" t="e">
        <f>IF($B39="","",'1_обработка CО,ВК,ЭК'!I40)</f>
        <v>#REF!</v>
      </c>
      <c r="H39" s="80" t="e">
        <f>IF($B39="","",'2-3_обработка'!E39)</f>
        <v>#REF!</v>
      </c>
      <c r="I39" s="80" t="e">
        <f>IF($B39="","",'2-3_обработка'!F39)</f>
        <v>#REF!</v>
      </c>
      <c r="J39" s="80" t="e">
        <f>IF($B39="","",'2-3_обработка'!G39)</f>
        <v>#REF!</v>
      </c>
      <c r="K39" s="80" t="e">
        <f>IF($B39="","",'2-3_обработка'!H39)</f>
        <v>#REF!</v>
      </c>
      <c r="L39" s="80" t="e">
        <f>IF($B39="","",'2-3_обработка'!I39)</f>
        <v>#REF!</v>
      </c>
      <c r="M39" s="80" t="e">
        <f>IF($B39="","",'2-3_обработка'!J39)</f>
        <v>#REF!</v>
      </c>
      <c r="N39" s="80" t="e">
        <f>IF($B39="","",'2-3_обработка'!K39)</f>
        <v>#REF!</v>
      </c>
      <c r="O39" s="80" t="e">
        <f>IF($B39="","",'2-3_обработка'!L39)</f>
        <v>#REF!</v>
      </c>
      <c r="P39" s="80" t="e">
        <f>IF($B39="","",'2-3_обработка'!M39)</f>
        <v>#REF!</v>
      </c>
      <c r="Q39" s="80" t="e">
        <f>IF($B39="","",'2-3_обработка'!N39)</f>
        <v>#REF!</v>
      </c>
      <c r="R39" s="80" t="e">
        <f>IF($B39="","",'2-3_обработка'!O39)</f>
        <v>#REF!</v>
      </c>
      <c r="S39" s="80" t="e">
        <f>IF($B39="","",'2-3_обработка'!P39)</f>
        <v>#REF!</v>
      </c>
      <c r="T39" s="80" t="e">
        <f>IF($B39="","",'2-3_обработка'!Q39)</f>
        <v>#REF!</v>
      </c>
      <c r="U39" s="80" t="e">
        <f>IF($B39="","",'2-3_обработка'!R39)</f>
        <v>#REF!</v>
      </c>
      <c r="V39" s="80" t="e">
        <f>IF($B39="","",'2-3_обработка'!S39)</f>
        <v>#REF!</v>
      </c>
      <c r="W39" s="80" t="e">
        <f>IF($B39="","",'2-3_обработка'!T39)</f>
        <v>#REF!</v>
      </c>
      <c r="X39" s="80" t="e">
        <f>IF($B39="","",'2-3_обработка'!U39)</f>
        <v>#REF!</v>
      </c>
      <c r="Y39" s="81" t="e">
        <f>IF($B39="","",'2-3_обработка'!V39)</f>
        <v>#REF!</v>
      </c>
      <c r="Z39" s="81" t="e">
        <f>IF($B39="","",'2-3_обработка'!W39)</f>
        <v>#REF!</v>
      </c>
      <c r="AA39" s="81" t="e">
        <f>IF($B39="","",'2-3_обработка'!X39)</f>
        <v>#REF!</v>
      </c>
      <c r="AB39" s="80" t="s">
        <v>134</v>
      </c>
    </row>
    <row r="40" spans="1:29" ht="18" customHeight="1">
      <c r="A40" s="80">
        <v>39</v>
      </c>
      <c r="B40" s="87" t="e">
        <f>IF(ЦТО!#REF!="","",ЦТО!#REF!)</f>
        <v>#REF!</v>
      </c>
      <c r="C40" s="80" t="e">
        <f>IF(ЦТО!#REF!="","",ЦТО!#REF!)</f>
        <v>#REF!</v>
      </c>
      <c r="D40" s="82" t="e">
        <f>IF(ЦТО!#REF!="","",ЦТО!#REF!)</f>
        <v>#REF!</v>
      </c>
      <c r="E40" s="80" t="e">
        <f>IF($B40="","",'1_обработка CО,ВК,ЭК'!F42)</f>
        <v>#REF!</v>
      </c>
      <c r="F40" s="80" t="e">
        <f>IF($B40="","",'1_обработка CО,ВК,ЭК'!H41)</f>
        <v>#REF!</v>
      </c>
      <c r="G40" s="80" t="e">
        <f>IF($B40="","",'1_обработка CО,ВК,ЭК'!I41)</f>
        <v>#REF!</v>
      </c>
      <c r="H40" s="80" t="e">
        <f>IF($B40="","",'2-3_обработка'!E40)</f>
        <v>#REF!</v>
      </c>
      <c r="I40" s="80" t="e">
        <f>IF($B40="","",'2-3_обработка'!F40)</f>
        <v>#REF!</v>
      </c>
      <c r="J40" s="80" t="e">
        <f>IF($B40="","",'2-3_обработка'!G40)</f>
        <v>#REF!</v>
      </c>
      <c r="K40" s="80" t="e">
        <f>IF($B40="","",'2-3_обработка'!H40)</f>
        <v>#REF!</v>
      </c>
      <c r="L40" s="80" t="e">
        <f>IF($B40="","",'2-3_обработка'!I40)</f>
        <v>#REF!</v>
      </c>
      <c r="M40" s="80" t="e">
        <f>IF($B40="","",'2-3_обработка'!J40)</f>
        <v>#REF!</v>
      </c>
      <c r="N40" s="80" t="e">
        <f>IF($B40="","",'2-3_обработка'!K40)</f>
        <v>#REF!</v>
      </c>
      <c r="O40" s="80" t="e">
        <f>IF($B40="","",'2-3_обработка'!L40)</f>
        <v>#REF!</v>
      </c>
      <c r="P40" s="80" t="e">
        <f>IF($B40="","",'2-3_обработка'!M40)</f>
        <v>#REF!</v>
      </c>
      <c r="Q40" s="80" t="e">
        <f>IF($B40="","",'2-3_обработка'!N40)</f>
        <v>#REF!</v>
      </c>
      <c r="R40" s="80" t="e">
        <f>IF($B40="","",'2-3_обработка'!O40)</f>
        <v>#REF!</v>
      </c>
      <c r="S40" s="80" t="e">
        <f>IF($B40="","",'2-3_обработка'!P40)</f>
        <v>#REF!</v>
      </c>
      <c r="T40" s="80" t="e">
        <f>IF($B40="","",'2-3_обработка'!Q40)</f>
        <v>#REF!</v>
      </c>
      <c r="U40" s="80" t="e">
        <f>IF($B40="","",'2-3_обработка'!R40)</f>
        <v>#REF!</v>
      </c>
      <c r="V40" s="80" t="e">
        <f>IF($B40="","",'2-3_обработка'!S40)</f>
        <v>#REF!</v>
      </c>
      <c r="W40" s="80" t="e">
        <f>IF($B40="","",'2-3_обработка'!T40)</f>
        <v>#REF!</v>
      </c>
      <c r="X40" s="80" t="e">
        <f>IF($B40="","",'2-3_обработка'!U40)</f>
        <v>#REF!</v>
      </c>
      <c r="Y40" s="81" t="e">
        <f>IF($B40="","",'2-3_обработка'!V40)</f>
        <v>#REF!</v>
      </c>
      <c r="Z40" s="81" t="e">
        <f>IF($B40="","",'2-3_обработка'!W40)</f>
        <v>#REF!</v>
      </c>
      <c r="AA40" s="81" t="e">
        <f>IF($B40="","",'2-3_обработка'!X40)</f>
        <v>#REF!</v>
      </c>
      <c r="AB40" s="80" t="s">
        <v>134</v>
      </c>
    </row>
    <row r="41" spans="1:29" s="86" customFormat="1" ht="18" customHeight="1">
      <c r="A41" s="83">
        <v>40</v>
      </c>
      <c r="B41" s="88" t="e">
        <f>IF(ЦТО!#REF!="","",ЦТО!#REF!)</f>
        <v>#REF!</v>
      </c>
      <c r="C41" s="83" t="e">
        <f>IF(ЦТО!#REF!="","",ЦТО!#REF!)</f>
        <v>#REF!</v>
      </c>
      <c r="D41" s="84" t="e">
        <f>IF(ЦТО!#REF!="","",ЦТО!#REF!)</f>
        <v>#REF!</v>
      </c>
      <c r="E41" s="80" t="e">
        <f>IF($B41="","",'1_обработка CО,ВК,ЭК'!F43)</f>
        <v>#REF!</v>
      </c>
      <c r="F41" s="80" t="e">
        <f>IF($B41="","",'1_обработка CО,ВК,ЭК'!H42)</f>
        <v>#REF!</v>
      </c>
      <c r="G41" s="80" t="e">
        <f>IF($B41="","",'1_обработка CО,ВК,ЭК'!I42)</f>
        <v>#REF!</v>
      </c>
      <c r="H41" s="83" t="e">
        <f>IF($B41="","",'2-3_обработка'!E41)</f>
        <v>#REF!</v>
      </c>
      <c r="I41" s="83" t="e">
        <f>IF($B41="","",'2-3_обработка'!F41)</f>
        <v>#REF!</v>
      </c>
      <c r="J41" s="83" t="e">
        <f>IF($B41="","",'2-3_обработка'!G41)</f>
        <v>#REF!</v>
      </c>
      <c r="K41" s="83" t="e">
        <f>IF($B41="","",'2-3_обработка'!H41)</f>
        <v>#REF!</v>
      </c>
      <c r="L41" s="83" t="e">
        <f>IF($B41="","",'2-3_обработка'!I41)</f>
        <v>#REF!</v>
      </c>
      <c r="M41" s="83" t="e">
        <f>IF($B41="","",'2-3_обработка'!J41)</f>
        <v>#REF!</v>
      </c>
      <c r="N41" s="83" t="e">
        <f>IF($B41="","",'2-3_обработка'!K41)</f>
        <v>#REF!</v>
      </c>
      <c r="O41" s="83" t="e">
        <f>IF($B41="","",'2-3_обработка'!L41)</f>
        <v>#REF!</v>
      </c>
      <c r="P41" s="83" t="e">
        <f>IF($B41="","",'2-3_обработка'!M41)</f>
        <v>#REF!</v>
      </c>
      <c r="Q41" s="83" t="e">
        <f>IF($B41="","",'2-3_обработка'!N41)</f>
        <v>#REF!</v>
      </c>
      <c r="R41" s="83" t="e">
        <f>IF($B41="","",'2-3_обработка'!O41)</f>
        <v>#REF!</v>
      </c>
      <c r="S41" s="83" t="e">
        <f>IF($B41="","",'2-3_обработка'!P41)</f>
        <v>#REF!</v>
      </c>
      <c r="T41" s="83" t="e">
        <f>IF($B41="","",'2-3_обработка'!Q41)</f>
        <v>#REF!</v>
      </c>
      <c r="U41" s="83" t="e">
        <f>IF($B41="","",'2-3_обработка'!R41)</f>
        <v>#REF!</v>
      </c>
      <c r="V41" s="83" t="e">
        <f>IF($B41="","",'2-3_обработка'!S41)</f>
        <v>#REF!</v>
      </c>
      <c r="W41" s="83" t="e">
        <f>IF($B41="","",'2-3_обработка'!T41)</f>
        <v>#REF!</v>
      </c>
      <c r="X41" s="83" t="e">
        <f>IF($B41="","",'2-3_обработка'!U41)</f>
        <v>#REF!</v>
      </c>
      <c r="Y41" s="85" t="e">
        <f>IF($B41="","",'2-3_обработка'!V41)</f>
        <v>#REF!</v>
      </c>
      <c r="Z41" s="85" t="e">
        <f>IF($B41="","",'2-3_обработка'!W41)</f>
        <v>#REF!</v>
      </c>
      <c r="AA41" s="85" t="e">
        <f>IF($B41="","",'2-3_обработка'!X41)</f>
        <v>#REF!</v>
      </c>
      <c r="AB41" s="83" t="s">
        <v>134</v>
      </c>
      <c r="AC41" s="83"/>
    </row>
    <row r="42" spans="1:29" ht="18" customHeight="1">
      <c r="A42" s="80">
        <v>41</v>
      </c>
      <c r="B42" s="87" t="e">
        <f>IF(ЦТО!#REF!="","",ЦТО!#REF!)</f>
        <v>#REF!</v>
      </c>
      <c r="C42" s="80" t="e">
        <f>IF(ЦТО!#REF!="","",ЦТО!#REF!)</f>
        <v>#REF!</v>
      </c>
      <c r="D42" s="82" t="e">
        <f>IF(ЦТО!#REF!="","",ЦТО!#REF!)</f>
        <v>#REF!</v>
      </c>
      <c r="E42" s="80" t="e">
        <f>IF($B42="","",'1_обработка CО,ВК,ЭК'!F44)</f>
        <v>#REF!</v>
      </c>
      <c r="F42" s="80" t="e">
        <f>IF($B42="","",'1_обработка CО,ВК,ЭК'!H43)</f>
        <v>#REF!</v>
      </c>
      <c r="G42" s="80" t="e">
        <f>IF($B42="","",'1_обработка CО,ВК,ЭК'!I43)</f>
        <v>#REF!</v>
      </c>
      <c r="H42" s="80" t="e">
        <f>IF($B42="","",'2-3_обработка'!E42)</f>
        <v>#REF!</v>
      </c>
      <c r="I42" s="80" t="e">
        <f>IF($B42="","",'2-3_обработка'!F42)</f>
        <v>#REF!</v>
      </c>
      <c r="J42" s="80" t="e">
        <f>IF($B42="","",'2-3_обработка'!G42)</f>
        <v>#REF!</v>
      </c>
      <c r="K42" s="80" t="e">
        <f>IF($B42="","",'2-3_обработка'!H42)</f>
        <v>#REF!</v>
      </c>
      <c r="L42" s="80" t="e">
        <f>IF($B42="","",'2-3_обработка'!I42)</f>
        <v>#REF!</v>
      </c>
      <c r="M42" s="80" t="e">
        <f>IF($B42="","",'2-3_обработка'!J42)</f>
        <v>#REF!</v>
      </c>
      <c r="N42" s="80" t="e">
        <f>IF($B42="","",'2-3_обработка'!K42)</f>
        <v>#REF!</v>
      </c>
      <c r="O42" s="80" t="e">
        <f>IF($B42="","",'2-3_обработка'!L42)</f>
        <v>#REF!</v>
      </c>
      <c r="P42" s="80" t="e">
        <f>IF($B42="","",'2-3_обработка'!M42)</f>
        <v>#REF!</v>
      </c>
      <c r="Q42" s="80" t="e">
        <f>IF($B42="","",'2-3_обработка'!N42)</f>
        <v>#REF!</v>
      </c>
      <c r="R42" s="80" t="e">
        <f>IF($B42="","",'2-3_обработка'!O42)</f>
        <v>#REF!</v>
      </c>
      <c r="S42" s="80" t="e">
        <f>IF($B42="","",'2-3_обработка'!P42)</f>
        <v>#REF!</v>
      </c>
      <c r="T42" s="80" t="e">
        <f>IF($B42="","",'2-3_обработка'!Q42)</f>
        <v>#REF!</v>
      </c>
      <c r="U42" s="80" t="e">
        <f>IF($B42="","",'2-3_обработка'!R42)</f>
        <v>#REF!</v>
      </c>
      <c r="V42" s="80" t="e">
        <f>IF($B42="","",'2-3_обработка'!S42)</f>
        <v>#REF!</v>
      </c>
      <c r="W42" s="80" t="e">
        <f>IF($B42="","",'2-3_обработка'!T42)</f>
        <v>#REF!</v>
      </c>
      <c r="X42" s="80" t="e">
        <f>IF($B42="","",'2-3_обработка'!U42)</f>
        <v>#REF!</v>
      </c>
      <c r="Y42" s="81" t="e">
        <f>IF($B42="","",'2-3_обработка'!V42)</f>
        <v>#REF!</v>
      </c>
      <c r="Z42" s="81" t="e">
        <f>IF($B42="","",'2-3_обработка'!W42)</f>
        <v>#REF!</v>
      </c>
      <c r="AA42" s="81" t="e">
        <f>IF($B42="","",'2-3_обработка'!X42)</f>
        <v>#REF!</v>
      </c>
      <c r="AB42" s="80" t="s">
        <v>134</v>
      </c>
    </row>
    <row r="43" spans="1:29" ht="18" customHeight="1">
      <c r="A43" s="80">
        <v>42</v>
      </c>
      <c r="B43" s="87" t="e">
        <f>IF(ЦТО!#REF!="","",ЦТО!#REF!)</f>
        <v>#REF!</v>
      </c>
      <c r="C43" s="80" t="e">
        <f>IF(ЦТО!#REF!="","",ЦТО!#REF!)</f>
        <v>#REF!</v>
      </c>
      <c r="D43" s="82" t="e">
        <f>IF(ЦТО!#REF!="","",ЦТО!#REF!)</f>
        <v>#REF!</v>
      </c>
      <c r="E43" s="80" t="e">
        <f>IF($B43="","",'1_обработка CО,ВК,ЭК'!F45)</f>
        <v>#REF!</v>
      </c>
      <c r="F43" s="80" t="e">
        <f>IF($B43="","",'1_обработка CО,ВК,ЭК'!H44)</f>
        <v>#REF!</v>
      </c>
      <c r="G43" s="80" t="e">
        <f>IF($B43="","",'1_обработка CО,ВК,ЭК'!I44)</f>
        <v>#REF!</v>
      </c>
      <c r="H43" s="80" t="e">
        <f>IF($B43="","",'2-3_обработка'!E43)</f>
        <v>#REF!</v>
      </c>
      <c r="I43" s="80" t="e">
        <f>IF($B43="","",'2-3_обработка'!F43)</f>
        <v>#REF!</v>
      </c>
      <c r="J43" s="80" t="e">
        <f>IF($B43="","",'2-3_обработка'!G43)</f>
        <v>#REF!</v>
      </c>
      <c r="K43" s="80" t="e">
        <f>IF($B43="","",'2-3_обработка'!H43)</f>
        <v>#REF!</v>
      </c>
      <c r="L43" s="80" t="e">
        <f>IF($B43="","",'2-3_обработка'!I43)</f>
        <v>#REF!</v>
      </c>
      <c r="M43" s="80" t="e">
        <f>IF($B43="","",'2-3_обработка'!J43)</f>
        <v>#REF!</v>
      </c>
      <c r="N43" s="80" t="e">
        <f>IF($B43="","",'2-3_обработка'!K43)</f>
        <v>#REF!</v>
      </c>
      <c r="O43" s="80" t="e">
        <f>IF($B43="","",'2-3_обработка'!L43)</f>
        <v>#REF!</v>
      </c>
      <c r="P43" s="80" t="e">
        <f>IF($B43="","",'2-3_обработка'!M43)</f>
        <v>#REF!</v>
      </c>
      <c r="Q43" s="80" t="e">
        <f>IF($B43="","",'2-3_обработка'!N43)</f>
        <v>#REF!</v>
      </c>
      <c r="R43" s="80" t="e">
        <f>IF($B43="","",'2-3_обработка'!O43)</f>
        <v>#REF!</v>
      </c>
      <c r="S43" s="80" t="e">
        <f>IF($B43="","",'2-3_обработка'!P43)</f>
        <v>#REF!</v>
      </c>
      <c r="T43" s="80" t="e">
        <f>IF($B43="","",'2-3_обработка'!Q43)</f>
        <v>#REF!</v>
      </c>
      <c r="U43" s="80" t="e">
        <f>IF($B43="","",'2-3_обработка'!R43)</f>
        <v>#REF!</v>
      </c>
      <c r="V43" s="80" t="e">
        <f>IF($B43="","",'2-3_обработка'!S43)</f>
        <v>#REF!</v>
      </c>
      <c r="W43" s="80" t="e">
        <f>IF($B43="","",'2-3_обработка'!T43)</f>
        <v>#REF!</v>
      </c>
      <c r="X43" s="80" t="e">
        <f>IF($B43="","",'2-3_обработка'!U43)</f>
        <v>#REF!</v>
      </c>
      <c r="Y43" s="81" t="e">
        <f>IF($B43="","",'2-3_обработка'!V43)</f>
        <v>#REF!</v>
      </c>
      <c r="Z43" s="81" t="e">
        <f>IF($B43="","",'2-3_обработка'!W43)</f>
        <v>#REF!</v>
      </c>
      <c r="AA43" s="81" t="e">
        <f>IF($B43="","",'2-3_обработка'!X43)</f>
        <v>#REF!</v>
      </c>
      <c r="AB43" s="80" t="s">
        <v>134</v>
      </c>
    </row>
    <row r="44" spans="1:29" ht="18" customHeight="1">
      <c r="A44" s="80">
        <v>43</v>
      </c>
      <c r="B44" s="87" t="e">
        <f>IF(ЦТО!#REF!="","",ЦТО!#REF!)</f>
        <v>#REF!</v>
      </c>
      <c r="C44" s="80" t="e">
        <f>IF(ЦТО!#REF!="","",ЦТО!#REF!)</f>
        <v>#REF!</v>
      </c>
      <c r="D44" s="82" t="e">
        <f>IF(ЦТО!#REF!="","",ЦТО!#REF!)</f>
        <v>#REF!</v>
      </c>
      <c r="E44" s="80" t="e">
        <f>IF($B44="","",'1_обработка CО,ВК,ЭК'!F46)</f>
        <v>#REF!</v>
      </c>
      <c r="F44" s="80" t="e">
        <f>IF($B44="","",'1_обработка CО,ВК,ЭК'!H45)</f>
        <v>#REF!</v>
      </c>
      <c r="G44" s="80" t="e">
        <f>IF($B44="","",'1_обработка CО,ВК,ЭК'!I45)</f>
        <v>#REF!</v>
      </c>
      <c r="H44" s="80" t="e">
        <f>IF($B44="","",'2-3_обработка'!E44)</f>
        <v>#REF!</v>
      </c>
      <c r="I44" s="80" t="e">
        <f>IF($B44="","",'2-3_обработка'!F44)</f>
        <v>#REF!</v>
      </c>
      <c r="J44" s="80" t="e">
        <f>IF($B44="","",'2-3_обработка'!G44)</f>
        <v>#REF!</v>
      </c>
      <c r="K44" s="80" t="e">
        <f>IF($B44="","",'2-3_обработка'!H44)</f>
        <v>#REF!</v>
      </c>
      <c r="L44" s="80" t="e">
        <f>IF($B44="","",'2-3_обработка'!I44)</f>
        <v>#REF!</v>
      </c>
      <c r="M44" s="80" t="e">
        <f>IF($B44="","",'2-3_обработка'!J44)</f>
        <v>#REF!</v>
      </c>
      <c r="N44" s="80" t="e">
        <f>IF($B44="","",'2-3_обработка'!K44)</f>
        <v>#REF!</v>
      </c>
      <c r="O44" s="80" t="e">
        <f>IF($B44="","",'2-3_обработка'!L44)</f>
        <v>#REF!</v>
      </c>
      <c r="P44" s="80" t="e">
        <f>IF($B44="","",'2-3_обработка'!M44)</f>
        <v>#REF!</v>
      </c>
      <c r="Q44" s="80" t="e">
        <f>IF($B44="","",'2-3_обработка'!N44)</f>
        <v>#REF!</v>
      </c>
      <c r="R44" s="80" t="e">
        <f>IF($B44="","",'2-3_обработка'!O44)</f>
        <v>#REF!</v>
      </c>
      <c r="S44" s="80" t="e">
        <f>IF($B44="","",'2-3_обработка'!P44)</f>
        <v>#REF!</v>
      </c>
      <c r="T44" s="80" t="e">
        <f>IF($B44="","",'2-3_обработка'!Q44)</f>
        <v>#REF!</v>
      </c>
      <c r="U44" s="80" t="e">
        <f>IF($B44="","",'2-3_обработка'!R44)</f>
        <v>#REF!</v>
      </c>
      <c r="V44" s="80" t="e">
        <f>IF($B44="","",'2-3_обработка'!S44)</f>
        <v>#REF!</v>
      </c>
      <c r="W44" s="80" t="e">
        <f>IF($B44="","",'2-3_обработка'!T44)</f>
        <v>#REF!</v>
      </c>
      <c r="X44" s="80" t="e">
        <f>IF($B44="","",'2-3_обработка'!U44)</f>
        <v>#REF!</v>
      </c>
      <c r="Y44" s="81" t="e">
        <f>IF($B44="","",'2-3_обработка'!V44)</f>
        <v>#REF!</v>
      </c>
      <c r="Z44" s="81" t="e">
        <f>IF($B44="","",'2-3_обработка'!W44)</f>
        <v>#REF!</v>
      </c>
      <c r="AA44" s="81" t="e">
        <f>IF($B44="","",'2-3_обработка'!X44)</f>
        <v>#REF!</v>
      </c>
      <c r="AB44" s="80" t="s">
        <v>134</v>
      </c>
    </row>
    <row r="45" spans="1:29" s="86" customFormat="1" ht="18" customHeight="1">
      <c r="A45" s="83">
        <v>44</v>
      </c>
      <c r="B45" s="88" t="e">
        <f>IF(ЦТО!#REF!="","",ЦТО!#REF!)</f>
        <v>#REF!</v>
      </c>
      <c r="C45" s="83" t="e">
        <f>IF(ЦТО!#REF!="","",ЦТО!#REF!)</f>
        <v>#REF!</v>
      </c>
      <c r="D45" s="84" t="e">
        <f>IF(ЦТО!#REF!="","",ЦТО!#REF!)</f>
        <v>#REF!</v>
      </c>
      <c r="E45" s="80" t="e">
        <f>IF($B45="","",'1_обработка CО,ВК,ЭК'!F47)</f>
        <v>#REF!</v>
      </c>
      <c r="F45" s="80" t="e">
        <f>IF($B45="","",'1_обработка CО,ВК,ЭК'!H46)</f>
        <v>#REF!</v>
      </c>
      <c r="G45" s="80" t="e">
        <f>IF($B45="","",'1_обработка CО,ВК,ЭК'!I46)</f>
        <v>#REF!</v>
      </c>
      <c r="H45" s="83" t="e">
        <f>IF($B45="","",'2-3_обработка'!E45)</f>
        <v>#REF!</v>
      </c>
      <c r="I45" s="83" t="e">
        <f>IF($B45="","",'2-3_обработка'!F45)</f>
        <v>#REF!</v>
      </c>
      <c r="J45" s="83" t="e">
        <f>IF($B45="","",'2-3_обработка'!G45)</f>
        <v>#REF!</v>
      </c>
      <c r="K45" s="83" t="e">
        <f>IF($B45="","",'2-3_обработка'!H45)</f>
        <v>#REF!</v>
      </c>
      <c r="L45" s="83" t="e">
        <f>IF($B45="","",'2-3_обработка'!I45)</f>
        <v>#REF!</v>
      </c>
      <c r="M45" s="83" t="e">
        <f>IF($B45="","",'2-3_обработка'!J45)</f>
        <v>#REF!</v>
      </c>
      <c r="N45" s="83" t="e">
        <f>IF($B45="","",'2-3_обработка'!K45)</f>
        <v>#REF!</v>
      </c>
      <c r="O45" s="83" t="e">
        <f>IF($B45="","",'2-3_обработка'!L45)</f>
        <v>#REF!</v>
      </c>
      <c r="P45" s="83" t="e">
        <f>IF($B45="","",'2-3_обработка'!M45)</f>
        <v>#REF!</v>
      </c>
      <c r="Q45" s="83" t="e">
        <f>IF($B45="","",'2-3_обработка'!N45)</f>
        <v>#REF!</v>
      </c>
      <c r="R45" s="83" t="e">
        <f>IF($B45="","",'2-3_обработка'!O45)</f>
        <v>#REF!</v>
      </c>
      <c r="S45" s="83" t="e">
        <f>IF($B45="","",'2-3_обработка'!P45)</f>
        <v>#REF!</v>
      </c>
      <c r="T45" s="83" t="e">
        <f>IF($B45="","",'2-3_обработка'!Q45)</f>
        <v>#REF!</v>
      </c>
      <c r="U45" s="83" t="e">
        <f>IF($B45="","",'2-3_обработка'!R45)</f>
        <v>#REF!</v>
      </c>
      <c r="V45" s="83" t="e">
        <f>IF($B45="","",'2-3_обработка'!S45)</f>
        <v>#REF!</v>
      </c>
      <c r="W45" s="83" t="e">
        <f>IF($B45="","",'2-3_обработка'!T45)</f>
        <v>#REF!</v>
      </c>
      <c r="X45" s="83" t="e">
        <f>IF($B45="","",'2-3_обработка'!U45)</f>
        <v>#REF!</v>
      </c>
      <c r="Y45" s="85" t="e">
        <f>IF($B45="","",'2-3_обработка'!V45)</f>
        <v>#REF!</v>
      </c>
      <c r="Z45" s="85" t="e">
        <f>IF($B45="","",'2-3_обработка'!W45)</f>
        <v>#REF!</v>
      </c>
      <c r="AA45" s="85" t="e">
        <f>IF($B45="","",'2-3_обработка'!X45)</f>
        <v>#REF!</v>
      </c>
      <c r="AB45" s="83" t="s">
        <v>131</v>
      </c>
      <c r="AC45" s="83"/>
    </row>
    <row r="46" spans="1:29" s="86" customFormat="1" ht="18" customHeight="1">
      <c r="A46" s="83">
        <v>45</v>
      </c>
      <c r="B46" s="88" t="e">
        <f>IF(ЦТО!#REF!="","",ЦТО!#REF!)</f>
        <v>#REF!</v>
      </c>
      <c r="C46" s="83" t="e">
        <f>IF(ЦТО!#REF!="","",ЦТО!#REF!)</f>
        <v>#REF!</v>
      </c>
      <c r="D46" s="84" t="e">
        <f>IF(ЦТО!#REF!="","",ЦТО!#REF!)</f>
        <v>#REF!</v>
      </c>
      <c r="E46" s="80" t="e">
        <f>IF($B46="","",'1_обработка CО,ВК,ЭК'!F48)</f>
        <v>#REF!</v>
      </c>
      <c r="F46" s="80" t="e">
        <f>IF($B46="","",'1_обработка CО,ВК,ЭК'!H47)</f>
        <v>#REF!</v>
      </c>
      <c r="G46" s="80" t="e">
        <f>IF($B46="","",'1_обработка CО,ВК,ЭК'!I47)</f>
        <v>#REF!</v>
      </c>
      <c r="H46" s="83" t="e">
        <f>IF($B46="","",'2-3_обработка'!E46)</f>
        <v>#REF!</v>
      </c>
      <c r="I46" s="83" t="e">
        <f>IF($B46="","",'2-3_обработка'!F46)</f>
        <v>#REF!</v>
      </c>
      <c r="J46" s="83" t="e">
        <f>IF($B46="","",'2-3_обработка'!G46)</f>
        <v>#REF!</v>
      </c>
      <c r="K46" s="83" t="e">
        <f>IF($B46="","",'2-3_обработка'!H46)</f>
        <v>#REF!</v>
      </c>
      <c r="L46" s="83" t="e">
        <f>IF($B46="","",'2-3_обработка'!I46)</f>
        <v>#REF!</v>
      </c>
      <c r="M46" s="83" t="e">
        <f>IF($B46="","",'2-3_обработка'!J46)</f>
        <v>#REF!</v>
      </c>
      <c r="N46" s="83" t="e">
        <f>IF($B46="","",'2-3_обработка'!K46)</f>
        <v>#REF!</v>
      </c>
      <c r="O46" s="83" t="e">
        <f>IF($B46="","",'2-3_обработка'!L46)</f>
        <v>#REF!</v>
      </c>
      <c r="P46" s="83" t="e">
        <f>IF($B46="","",'2-3_обработка'!M46)</f>
        <v>#REF!</v>
      </c>
      <c r="Q46" s="83" t="e">
        <f>IF($B46="","",'2-3_обработка'!N46)</f>
        <v>#REF!</v>
      </c>
      <c r="R46" s="83" t="e">
        <f>IF($B46="","",'2-3_обработка'!O46)</f>
        <v>#REF!</v>
      </c>
      <c r="S46" s="83" t="e">
        <f>IF($B46="","",'2-3_обработка'!P46)</f>
        <v>#REF!</v>
      </c>
      <c r="T46" s="83" t="e">
        <f>IF($B46="","",'2-3_обработка'!Q46)</f>
        <v>#REF!</v>
      </c>
      <c r="U46" s="83" t="e">
        <f>IF($B46="","",'2-3_обработка'!R46)</f>
        <v>#REF!</v>
      </c>
      <c r="V46" s="83" t="e">
        <f>IF($B46="","",'2-3_обработка'!S46)</f>
        <v>#REF!</v>
      </c>
      <c r="W46" s="83" t="e">
        <f>IF($B46="","",'2-3_обработка'!T46)</f>
        <v>#REF!</v>
      </c>
      <c r="X46" s="83" t="e">
        <f>IF($B46="","",'2-3_обработка'!U46)</f>
        <v>#REF!</v>
      </c>
      <c r="Y46" s="85" t="e">
        <f>IF($B46="","",'2-3_обработка'!V46)</f>
        <v>#REF!</v>
      </c>
      <c r="Z46" s="85" t="e">
        <f>IF($B46="","",'2-3_обработка'!W46)</f>
        <v>#REF!</v>
      </c>
      <c r="AA46" s="85" t="e">
        <f>IF($B46="","",'2-3_обработка'!X46)</f>
        <v>#REF!</v>
      </c>
      <c r="AB46" s="83"/>
      <c r="AC46" s="83"/>
    </row>
    <row r="47" spans="1:29" s="86" customFormat="1" ht="18" customHeight="1">
      <c r="A47" s="83">
        <v>46</v>
      </c>
      <c r="B47" s="88" t="e">
        <f>IF(ЦТО!#REF!="","",ЦТО!#REF!)</f>
        <v>#REF!</v>
      </c>
      <c r="C47" s="83" t="e">
        <f>IF(ЦТО!#REF!="","",ЦТО!#REF!)</f>
        <v>#REF!</v>
      </c>
      <c r="D47" s="84" t="e">
        <f>IF(ЦТО!#REF!="","",ЦТО!#REF!)</f>
        <v>#REF!</v>
      </c>
      <c r="E47" s="80" t="e">
        <f>IF($B47="","",'1_обработка CО,ВК,ЭК'!F49)</f>
        <v>#REF!</v>
      </c>
      <c r="F47" s="80" t="e">
        <f>IF($B47="","",'1_обработка CО,ВК,ЭК'!H48)</f>
        <v>#REF!</v>
      </c>
      <c r="G47" s="80" t="e">
        <f>IF($B47="","",'1_обработка CО,ВК,ЭК'!I48)</f>
        <v>#REF!</v>
      </c>
      <c r="H47" s="83" t="e">
        <f>IF($B47="","",'2-3_обработка'!E47)</f>
        <v>#REF!</v>
      </c>
      <c r="I47" s="83" t="e">
        <f>IF($B47="","",'2-3_обработка'!F47)</f>
        <v>#REF!</v>
      </c>
      <c r="J47" s="83" t="e">
        <f>IF($B47="","",'2-3_обработка'!G47)</f>
        <v>#REF!</v>
      </c>
      <c r="K47" s="83" t="e">
        <f>IF($B47="","",'2-3_обработка'!H47)</f>
        <v>#REF!</v>
      </c>
      <c r="L47" s="83" t="e">
        <f>IF($B47="","",'2-3_обработка'!I47)</f>
        <v>#REF!</v>
      </c>
      <c r="M47" s="83" t="e">
        <f>IF($B47="","",'2-3_обработка'!J47)</f>
        <v>#REF!</v>
      </c>
      <c r="N47" s="83" t="e">
        <f>IF($B47="","",'2-3_обработка'!K47)</f>
        <v>#REF!</v>
      </c>
      <c r="O47" s="83" t="e">
        <f>IF($B47="","",'2-3_обработка'!L47)</f>
        <v>#REF!</v>
      </c>
      <c r="P47" s="83" t="e">
        <f>IF($B47="","",'2-3_обработка'!M47)</f>
        <v>#REF!</v>
      </c>
      <c r="Q47" s="83" t="e">
        <f>IF($B47="","",'2-3_обработка'!N47)</f>
        <v>#REF!</v>
      </c>
      <c r="R47" s="83" t="e">
        <f>IF($B47="","",'2-3_обработка'!O47)</f>
        <v>#REF!</v>
      </c>
      <c r="S47" s="83" t="e">
        <f>IF($B47="","",'2-3_обработка'!P47)</f>
        <v>#REF!</v>
      </c>
      <c r="T47" s="83" t="e">
        <f>IF($B47="","",'2-3_обработка'!Q47)</f>
        <v>#REF!</v>
      </c>
      <c r="U47" s="83" t="e">
        <f>IF($B47="","",'2-3_обработка'!R47)</f>
        <v>#REF!</v>
      </c>
      <c r="V47" s="83" t="e">
        <f>IF($B47="","",'2-3_обработка'!S47)</f>
        <v>#REF!</v>
      </c>
      <c r="W47" s="83" t="e">
        <f>IF($B47="","",'2-3_обработка'!T47)</f>
        <v>#REF!</v>
      </c>
      <c r="X47" s="83" t="e">
        <f>IF($B47="","",'2-3_обработка'!U47)</f>
        <v>#REF!</v>
      </c>
      <c r="Y47" s="85" t="e">
        <f>IF($B47="","",'2-3_обработка'!V47)</f>
        <v>#REF!</v>
      </c>
      <c r="Z47" s="85" t="e">
        <f>IF($B47="","",'2-3_обработка'!W47)</f>
        <v>#REF!</v>
      </c>
      <c r="AA47" s="85" t="e">
        <f>IF($B47="","",'2-3_обработка'!X47)</f>
        <v>#REF!</v>
      </c>
      <c r="AB47" s="83"/>
      <c r="AC47" s="83"/>
    </row>
    <row r="48" spans="1:29" s="86" customFormat="1" ht="18" customHeight="1">
      <c r="A48" s="83">
        <v>47</v>
      </c>
      <c r="B48" s="88" t="e">
        <f>IF(ЦТО!#REF!="","",ЦТО!#REF!)</f>
        <v>#REF!</v>
      </c>
      <c r="C48" s="83" t="e">
        <f>IF(ЦТО!#REF!="","",ЦТО!#REF!)</f>
        <v>#REF!</v>
      </c>
      <c r="D48" s="84" t="e">
        <f>IF(ЦТО!#REF!="","",ЦТО!#REF!)</f>
        <v>#REF!</v>
      </c>
      <c r="E48" s="80" t="e">
        <f>IF($B48="","",'1_обработка CО,ВК,ЭК'!F50)</f>
        <v>#REF!</v>
      </c>
      <c r="F48" s="80" t="e">
        <f>IF($B48="","",'1_обработка CО,ВК,ЭК'!H49)</f>
        <v>#REF!</v>
      </c>
      <c r="G48" s="80" t="e">
        <f>IF($B48="","",'1_обработка CО,ВК,ЭК'!I49)</f>
        <v>#REF!</v>
      </c>
      <c r="H48" s="83" t="e">
        <f>IF($B48="","",'2-3_обработка'!E48)</f>
        <v>#REF!</v>
      </c>
      <c r="I48" s="83" t="e">
        <f>IF($B48="","",'2-3_обработка'!F48)</f>
        <v>#REF!</v>
      </c>
      <c r="J48" s="83" t="e">
        <f>IF($B48="","",'2-3_обработка'!G48)</f>
        <v>#REF!</v>
      </c>
      <c r="K48" s="83" t="e">
        <f>IF($B48="","",'2-3_обработка'!H48)</f>
        <v>#REF!</v>
      </c>
      <c r="L48" s="83" t="e">
        <f>IF($B48="","",'2-3_обработка'!I48)</f>
        <v>#REF!</v>
      </c>
      <c r="M48" s="83" t="e">
        <f>IF($B48="","",'2-3_обработка'!J48)</f>
        <v>#REF!</v>
      </c>
      <c r="N48" s="83" t="e">
        <f>IF($B48="","",'2-3_обработка'!K48)</f>
        <v>#REF!</v>
      </c>
      <c r="O48" s="83" t="e">
        <f>IF($B48="","",'2-3_обработка'!L48)</f>
        <v>#REF!</v>
      </c>
      <c r="P48" s="83" t="e">
        <f>IF($B48="","",'2-3_обработка'!M48)</f>
        <v>#REF!</v>
      </c>
      <c r="Q48" s="83" t="e">
        <f>IF($B48="","",'2-3_обработка'!N48)</f>
        <v>#REF!</v>
      </c>
      <c r="R48" s="83" t="e">
        <f>IF($B48="","",'2-3_обработка'!O48)</f>
        <v>#REF!</v>
      </c>
      <c r="S48" s="83" t="e">
        <f>IF($B48="","",'2-3_обработка'!P48)</f>
        <v>#REF!</v>
      </c>
      <c r="T48" s="83" t="e">
        <f>IF($B48="","",'2-3_обработка'!Q48)</f>
        <v>#REF!</v>
      </c>
      <c r="U48" s="83" t="e">
        <f>IF($B48="","",'2-3_обработка'!R48)</f>
        <v>#REF!</v>
      </c>
      <c r="V48" s="83" t="e">
        <f>IF($B48="","",'2-3_обработка'!S48)</f>
        <v>#REF!</v>
      </c>
      <c r="W48" s="83" t="e">
        <f>IF($B48="","",'2-3_обработка'!T48)</f>
        <v>#REF!</v>
      </c>
      <c r="X48" s="83" t="e">
        <f>IF($B48="","",'2-3_обработка'!U48)</f>
        <v>#REF!</v>
      </c>
      <c r="Y48" s="85" t="e">
        <f>IF($B48="","",'2-3_обработка'!V48)</f>
        <v>#REF!</v>
      </c>
      <c r="Z48" s="85" t="e">
        <f>IF($B48="","",'2-3_обработка'!W48)</f>
        <v>#REF!</v>
      </c>
      <c r="AA48" s="85" t="e">
        <f>IF($B48="","",'2-3_обработка'!X48)</f>
        <v>#REF!</v>
      </c>
      <c r="AB48" s="83" t="s">
        <v>132</v>
      </c>
      <c r="AC48" s="83"/>
    </row>
    <row r="49" spans="1:29" ht="18" customHeight="1">
      <c r="A49" s="80">
        <v>48</v>
      </c>
      <c r="B49" s="87" t="e">
        <f>IF(ЦТО!#REF!="","",ЦТО!#REF!)</f>
        <v>#REF!</v>
      </c>
      <c r="C49" s="80" t="e">
        <f>IF(ЦТО!#REF!="","",ЦТО!#REF!)</f>
        <v>#REF!</v>
      </c>
      <c r="D49" s="82" t="e">
        <f>IF(ЦТО!#REF!="","",ЦТО!#REF!)</f>
        <v>#REF!</v>
      </c>
      <c r="E49" s="80" t="e">
        <f>IF($B49="","",'1_обработка CО,ВК,ЭК'!F51)</f>
        <v>#REF!</v>
      </c>
      <c r="F49" s="80" t="e">
        <f>IF($B49="","",'1_обработка CО,ВК,ЭК'!H50)</f>
        <v>#REF!</v>
      </c>
      <c r="G49" s="80" t="e">
        <f>IF($B49="","",'1_обработка CО,ВК,ЭК'!I50)</f>
        <v>#REF!</v>
      </c>
      <c r="H49" s="80" t="e">
        <f>IF($B49="","",'2-3_обработка'!E49)</f>
        <v>#REF!</v>
      </c>
      <c r="I49" s="80" t="e">
        <f>IF($B49="","",'2-3_обработка'!F49)</f>
        <v>#REF!</v>
      </c>
      <c r="J49" s="80" t="e">
        <f>IF($B49="","",'2-3_обработка'!G49)</f>
        <v>#REF!</v>
      </c>
      <c r="K49" s="80" t="e">
        <f>IF($B49="","",'2-3_обработка'!H49)</f>
        <v>#REF!</v>
      </c>
      <c r="L49" s="80" t="e">
        <f>IF($B49="","",'2-3_обработка'!I49)</f>
        <v>#REF!</v>
      </c>
      <c r="M49" s="80" t="e">
        <f>IF($B49="","",'2-3_обработка'!J49)</f>
        <v>#REF!</v>
      </c>
      <c r="N49" s="80" t="e">
        <f>IF($B49="","",'2-3_обработка'!K49)</f>
        <v>#REF!</v>
      </c>
      <c r="O49" s="80" t="e">
        <f>IF($B49="","",'2-3_обработка'!L49)</f>
        <v>#REF!</v>
      </c>
      <c r="P49" s="80" t="e">
        <f>IF($B49="","",'2-3_обработка'!M49)</f>
        <v>#REF!</v>
      </c>
      <c r="Q49" s="80" t="e">
        <f>IF($B49="","",'2-3_обработка'!N49)</f>
        <v>#REF!</v>
      </c>
      <c r="R49" s="80" t="e">
        <f>IF($B49="","",'2-3_обработка'!O49)</f>
        <v>#REF!</v>
      </c>
      <c r="S49" s="80" t="e">
        <f>IF($B49="","",'2-3_обработка'!P49)</f>
        <v>#REF!</v>
      </c>
      <c r="T49" s="80" t="e">
        <f>IF($B49="","",'2-3_обработка'!Q49)</f>
        <v>#REF!</v>
      </c>
      <c r="U49" s="80" t="e">
        <f>IF($B49="","",'2-3_обработка'!R49)</f>
        <v>#REF!</v>
      </c>
      <c r="V49" s="80" t="e">
        <f>IF($B49="","",'2-3_обработка'!S49)</f>
        <v>#REF!</v>
      </c>
      <c r="W49" s="80" t="e">
        <f>IF($B49="","",'2-3_обработка'!T49)</f>
        <v>#REF!</v>
      </c>
      <c r="X49" s="80" t="e">
        <f>IF($B49="","",'2-3_обработка'!U49)</f>
        <v>#REF!</v>
      </c>
      <c r="Y49" s="81" t="e">
        <f>IF($B49="","",'2-3_обработка'!V49)</f>
        <v>#REF!</v>
      </c>
      <c r="Z49" s="81" t="e">
        <f>IF($B49="","",'2-3_обработка'!W49)</f>
        <v>#REF!</v>
      </c>
      <c r="AA49" s="81" t="e">
        <f>IF($B49="","",'2-3_обработка'!X49)</f>
        <v>#REF!</v>
      </c>
      <c r="AB49" s="80" t="s">
        <v>133</v>
      </c>
    </row>
    <row r="50" spans="1:29" s="86" customFormat="1" ht="18" customHeight="1">
      <c r="A50" s="83">
        <v>49</v>
      </c>
      <c r="B50" s="88" t="e">
        <f>IF(ЦТО!#REF!="","",ЦТО!#REF!)</f>
        <v>#REF!</v>
      </c>
      <c r="C50" s="83" t="e">
        <f>IF(ЦТО!#REF!="","",ЦТО!#REF!)</f>
        <v>#REF!</v>
      </c>
      <c r="D50" s="84" t="e">
        <f>IF(ЦТО!#REF!="","",ЦТО!#REF!)</f>
        <v>#REF!</v>
      </c>
      <c r="E50" s="80" t="e">
        <f>IF($B50="","",'1_обработка CО,ВК,ЭК'!F52)</f>
        <v>#REF!</v>
      </c>
      <c r="F50" s="80" t="e">
        <f>IF($B50="","",'1_обработка CО,ВК,ЭК'!H51)</f>
        <v>#REF!</v>
      </c>
      <c r="G50" s="80" t="e">
        <f>IF($B50="","",'1_обработка CО,ВК,ЭК'!I51)</f>
        <v>#REF!</v>
      </c>
      <c r="H50" s="83" t="e">
        <f>IF($B50="","",'2-3_обработка'!E50)</f>
        <v>#REF!</v>
      </c>
      <c r="I50" s="83" t="e">
        <f>IF($B50="","",'2-3_обработка'!F50)</f>
        <v>#REF!</v>
      </c>
      <c r="J50" s="83" t="e">
        <f>IF($B50="","",'2-3_обработка'!G50)</f>
        <v>#REF!</v>
      </c>
      <c r="K50" s="83" t="e">
        <f>IF($B50="","",'2-3_обработка'!H50)</f>
        <v>#REF!</v>
      </c>
      <c r="L50" s="83" t="e">
        <f>IF($B50="","",'2-3_обработка'!I50)</f>
        <v>#REF!</v>
      </c>
      <c r="M50" s="83" t="e">
        <f>IF($B50="","",'2-3_обработка'!J50)</f>
        <v>#REF!</v>
      </c>
      <c r="N50" s="83" t="e">
        <f>IF($B50="","",'2-3_обработка'!K50)</f>
        <v>#REF!</v>
      </c>
      <c r="O50" s="83" t="e">
        <f>IF($B50="","",'2-3_обработка'!L50)</f>
        <v>#REF!</v>
      </c>
      <c r="P50" s="83" t="e">
        <f>IF($B50="","",'2-3_обработка'!M50)</f>
        <v>#REF!</v>
      </c>
      <c r="Q50" s="83" t="e">
        <f>IF($B50="","",'2-3_обработка'!N50)</f>
        <v>#REF!</v>
      </c>
      <c r="R50" s="83" t="e">
        <f>IF($B50="","",'2-3_обработка'!O50)</f>
        <v>#REF!</v>
      </c>
      <c r="S50" s="83" t="e">
        <f>IF($B50="","",'2-3_обработка'!P50)</f>
        <v>#REF!</v>
      </c>
      <c r="T50" s="83" t="e">
        <f>IF($B50="","",'2-3_обработка'!Q50)</f>
        <v>#REF!</v>
      </c>
      <c r="U50" s="83" t="e">
        <f>IF($B50="","",'2-3_обработка'!R50)</f>
        <v>#REF!</v>
      </c>
      <c r="V50" s="83" t="e">
        <f>IF($B50="","",'2-3_обработка'!S50)</f>
        <v>#REF!</v>
      </c>
      <c r="W50" s="83" t="e">
        <f>IF($B50="","",'2-3_обработка'!T50)</f>
        <v>#REF!</v>
      </c>
      <c r="X50" s="83" t="e">
        <f>IF($B50="","",'2-3_обработка'!U50)</f>
        <v>#REF!</v>
      </c>
      <c r="Y50" s="85" t="e">
        <f>IF($B50="","",'2-3_обработка'!V50)</f>
        <v>#REF!</v>
      </c>
      <c r="Z50" s="85" t="e">
        <f>IF($B50="","",'2-3_обработка'!W50)</f>
        <v>#REF!</v>
      </c>
      <c r="AA50" s="85" t="e">
        <f>IF($B50="","",'2-3_обработка'!X50)</f>
        <v>#REF!</v>
      </c>
      <c r="AB50" s="83" t="s">
        <v>131</v>
      </c>
      <c r="AC50" s="83"/>
    </row>
    <row r="51" spans="1:29" s="86" customFormat="1" ht="18" customHeight="1">
      <c r="A51" s="83">
        <v>50</v>
      </c>
      <c r="B51" s="88" t="e">
        <f>IF(ЦТО!#REF!="","",ЦТО!#REF!)</f>
        <v>#REF!</v>
      </c>
      <c r="C51" s="83" t="e">
        <f>IF(ЦТО!#REF!="","",ЦТО!#REF!)</f>
        <v>#REF!</v>
      </c>
      <c r="D51" s="84" t="e">
        <f>IF(ЦТО!#REF!="","",ЦТО!#REF!)</f>
        <v>#REF!</v>
      </c>
      <c r="E51" s="80" t="e">
        <f>IF($B51="","",'1_обработка CО,ВК,ЭК'!F53)</f>
        <v>#REF!</v>
      </c>
      <c r="F51" s="80" t="e">
        <f>IF($B51="","",'1_обработка CО,ВК,ЭК'!H52)</f>
        <v>#REF!</v>
      </c>
      <c r="G51" s="80" t="e">
        <f>IF($B51="","",'1_обработка CО,ВК,ЭК'!I52)</f>
        <v>#REF!</v>
      </c>
      <c r="H51" s="83" t="e">
        <f>IF($B51="","",'2-3_обработка'!E51)</f>
        <v>#REF!</v>
      </c>
      <c r="I51" s="83" t="e">
        <f>IF($B51="","",'2-3_обработка'!F51)</f>
        <v>#REF!</v>
      </c>
      <c r="J51" s="83" t="e">
        <f>IF($B51="","",'2-3_обработка'!G51)</f>
        <v>#REF!</v>
      </c>
      <c r="K51" s="83" t="e">
        <f>IF($B51="","",'2-3_обработка'!H51)</f>
        <v>#REF!</v>
      </c>
      <c r="L51" s="83" t="e">
        <f>IF($B51="","",'2-3_обработка'!I51)</f>
        <v>#REF!</v>
      </c>
      <c r="M51" s="83" t="e">
        <f>IF($B51="","",'2-3_обработка'!J51)</f>
        <v>#REF!</v>
      </c>
      <c r="N51" s="83" t="e">
        <f>IF($B51="","",'2-3_обработка'!K51)</f>
        <v>#REF!</v>
      </c>
      <c r="O51" s="83" t="e">
        <f>IF($B51="","",'2-3_обработка'!L51)</f>
        <v>#REF!</v>
      </c>
      <c r="P51" s="83" t="e">
        <f>IF($B51="","",'2-3_обработка'!M51)</f>
        <v>#REF!</v>
      </c>
      <c r="Q51" s="83" t="e">
        <f>IF($B51="","",'2-3_обработка'!N51)</f>
        <v>#REF!</v>
      </c>
      <c r="R51" s="83" t="e">
        <f>IF($B51="","",'2-3_обработка'!O51)</f>
        <v>#REF!</v>
      </c>
      <c r="S51" s="83" t="e">
        <f>IF($B51="","",'2-3_обработка'!P51)</f>
        <v>#REF!</v>
      </c>
      <c r="T51" s="83" t="e">
        <f>IF($B51="","",'2-3_обработка'!Q51)</f>
        <v>#REF!</v>
      </c>
      <c r="U51" s="83" t="e">
        <f>IF($B51="","",'2-3_обработка'!R51)</f>
        <v>#REF!</v>
      </c>
      <c r="V51" s="83" t="e">
        <f>IF($B51="","",'2-3_обработка'!S51)</f>
        <v>#REF!</v>
      </c>
      <c r="W51" s="83" t="e">
        <f>IF($B51="","",'2-3_обработка'!T51)</f>
        <v>#REF!</v>
      </c>
      <c r="X51" s="83" t="e">
        <f>IF($B51="","",'2-3_обработка'!U51)</f>
        <v>#REF!</v>
      </c>
      <c r="Y51" s="85" t="e">
        <f>IF($B51="","",'2-3_обработка'!V51)</f>
        <v>#REF!</v>
      </c>
      <c r="Z51" s="85" t="e">
        <f>IF($B51="","",'2-3_обработка'!W51)</f>
        <v>#REF!</v>
      </c>
      <c r="AA51" s="85" t="e">
        <f>IF($B51="","",'2-3_обработка'!X51)</f>
        <v>#REF!</v>
      </c>
      <c r="AB51" s="83" t="s">
        <v>135</v>
      </c>
      <c r="AC51" s="83"/>
    </row>
    <row r="52" spans="1:29" ht="18" customHeight="1">
      <c r="A52" s="80">
        <v>51</v>
      </c>
      <c r="B52" s="87" t="e">
        <f>IF(ЦТО!#REF!="","",ЦТО!#REF!)</f>
        <v>#REF!</v>
      </c>
      <c r="C52" s="80" t="e">
        <f>IF(ЦТО!#REF!="","",ЦТО!#REF!)</f>
        <v>#REF!</v>
      </c>
      <c r="D52" s="82" t="e">
        <f>IF(ЦТО!#REF!="","",ЦТО!#REF!)</f>
        <v>#REF!</v>
      </c>
      <c r="E52" s="80" t="e">
        <f>IF($B52="","",'1_обработка CО,ВК,ЭК'!F54)</f>
        <v>#REF!</v>
      </c>
      <c r="F52" s="80" t="e">
        <f>IF($B52="","",'1_обработка CО,ВК,ЭК'!H53)</f>
        <v>#REF!</v>
      </c>
      <c r="G52" s="80" t="e">
        <f>IF($B52="","",'1_обработка CО,ВК,ЭК'!I53)</f>
        <v>#REF!</v>
      </c>
      <c r="H52" s="80" t="e">
        <f>IF($B52="","",'2-3_обработка'!E52)</f>
        <v>#REF!</v>
      </c>
      <c r="I52" s="80" t="e">
        <f>IF($B52="","",'2-3_обработка'!F52)</f>
        <v>#REF!</v>
      </c>
      <c r="J52" s="80" t="e">
        <f>IF($B52="","",'2-3_обработка'!G52)</f>
        <v>#REF!</v>
      </c>
      <c r="K52" s="80" t="e">
        <f>IF($B52="","",'2-3_обработка'!H52)</f>
        <v>#REF!</v>
      </c>
      <c r="L52" s="80" t="e">
        <f>IF($B52="","",'2-3_обработка'!I52)</f>
        <v>#REF!</v>
      </c>
      <c r="M52" s="80" t="e">
        <f>IF($B52="","",'2-3_обработка'!J52)</f>
        <v>#REF!</v>
      </c>
      <c r="N52" s="80" t="e">
        <f>IF($B52="","",'2-3_обработка'!K52)</f>
        <v>#REF!</v>
      </c>
      <c r="O52" s="80" t="e">
        <f>IF($B52="","",'2-3_обработка'!L52)</f>
        <v>#REF!</v>
      </c>
      <c r="P52" s="80" t="e">
        <f>IF($B52="","",'2-3_обработка'!M52)</f>
        <v>#REF!</v>
      </c>
      <c r="Q52" s="80" t="e">
        <f>IF($B52="","",'2-3_обработка'!N52)</f>
        <v>#REF!</v>
      </c>
      <c r="R52" s="80" t="e">
        <f>IF($B52="","",'2-3_обработка'!O52)</f>
        <v>#REF!</v>
      </c>
      <c r="S52" s="80" t="e">
        <f>IF($B52="","",'2-3_обработка'!P52)</f>
        <v>#REF!</v>
      </c>
      <c r="T52" s="80" t="e">
        <f>IF($B52="","",'2-3_обработка'!Q52)</f>
        <v>#REF!</v>
      </c>
      <c r="U52" s="80" t="e">
        <f>IF($B52="","",'2-3_обработка'!R52)</f>
        <v>#REF!</v>
      </c>
      <c r="V52" s="80" t="e">
        <f>IF($B52="","",'2-3_обработка'!S52)</f>
        <v>#REF!</v>
      </c>
      <c r="W52" s="80" t="e">
        <f>IF($B52="","",'2-3_обработка'!T52)</f>
        <v>#REF!</v>
      </c>
      <c r="X52" s="80" t="e">
        <f>IF($B52="","",'2-3_обработка'!U52)</f>
        <v>#REF!</v>
      </c>
      <c r="Y52" s="81" t="e">
        <f>IF($B52="","",'2-3_обработка'!V52)</f>
        <v>#REF!</v>
      </c>
      <c r="Z52" s="81" t="e">
        <f>IF($B52="","",'2-3_обработка'!W52)</f>
        <v>#REF!</v>
      </c>
      <c r="AA52" s="81" t="e">
        <f>IF($B52="","",'2-3_обработка'!X52)</f>
        <v>#REF!</v>
      </c>
      <c r="AB52" s="80" t="s">
        <v>135</v>
      </c>
    </row>
    <row r="53" spans="1:29" ht="18" customHeight="1">
      <c r="A53" s="80">
        <v>52</v>
      </c>
      <c r="B53" s="87" t="e">
        <f>IF(ЦТО!#REF!="","",ЦТО!#REF!)</f>
        <v>#REF!</v>
      </c>
      <c r="C53" s="80" t="e">
        <f>IF(ЦТО!#REF!="","",ЦТО!#REF!)</f>
        <v>#REF!</v>
      </c>
      <c r="D53" s="82" t="e">
        <f>IF(ЦТО!#REF!="","",ЦТО!#REF!)</f>
        <v>#REF!</v>
      </c>
      <c r="E53" s="80" t="e">
        <f>IF($B53="","",'1_обработка CО,ВК,ЭК'!F55)</f>
        <v>#REF!</v>
      </c>
      <c r="F53" s="80" t="e">
        <f>IF($B53="","",'1_обработка CО,ВК,ЭК'!H54)</f>
        <v>#REF!</v>
      </c>
      <c r="G53" s="80" t="e">
        <f>IF($B53="","",'1_обработка CО,ВК,ЭК'!I54)</f>
        <v>#REF!</v>
      </c>
      <c r="H53" s="80" t="e">
        <f>IF($B53="","",'2-3_обработка'!E53)</f>
        <v>#REF!</v>
      </c>
      <c r="I53" s="80" t="e">
        <f>IF($B53="","",'2-3_обработка'!F53)</f>
        <v>#REF!</v>
      </c>
      <c r="J53" s="80" t="e">
        <f>IF($B53="","",'2-3_обработка'!G53)</f>
        <v>#REF!</v>
      </c>
      <c r="K53" s="80" t="e">
        <f>IF($B53="","",'2-3_обработка'!H53)</f>
        <v>#REF!</v>
      </c>
      <c r="L53" s="80" t="e">
        <f>IF($B53="","",'2-3_обработка'!I53)</f>
        <v>#REF!</v>
      </c>
      <c r="M53" s="80" t="e">
        <f>IF($B53="","",'2-3_обработка'!J53)</f>
        <v>#REF!</v>
      </c>
      <c r="N53" s="80" t="e">
        <f>IF($B53="","",'2-3_обработка'!K53)</f>
        <v>#REF!</v>
      </c>
      <c r="O53" s="80" t="e">
        <f>IF($B53="","",'2-3_обработка'!L53)</f>
        <v>#REF!</v>
      </c>
      <c r="P53" s="80" t="e">
        <f>IF($B53="","",'2-3_обработка'!M53)</f>
        <v>#REF!</v>
      </c>
      <c r="Q53" s="80" t="e">
        <f>IF($B53="","",'2-3_обработка'!N53)</f>
        <v>#REF!</v>
      </c>
      <c r="R53" s="80" t="e">
        <f>IF($B53="","",'2-3_обработка'!O53)</f>
        <v>#REF!</v>
      </c>
      <c r="S53" s="80" t="e">
        <f>IF($B53="","",'2-3_обработка'!P53)</f>
        <v>#REF!</v>
      </c>
      <c r="T53" s="80" t="e">
        <f>IF($B53="","",'2-3_обработка'!Q53)</f>
        <v>#REF!</v>
      </c>
      <c r="U53" s="80" t="e">
        <f>IF($B53="","",'2-3_обработка'!R53)</f>
        <v>#REF!</v>
      </c>
      <c r="V53" s="80" t="e">
        <f>IF($B53="","",'2-3_обработка'!S53)</f>
        <v>#REF!</v>
      </c>
      <c r="W53" s="80" t="e">
        <f>IF($B53="","",'2-3_обработка'!T53)</f>
        <v>#REF!</v>
      </c>
      <c r="X53" s="80" t="e">
        <f>IF($B53="","",'2-3_обработка'!U53)</f>
        <v>#REF!</v>
      </c>
      <c r="Y53" s="81" t="e">
        <f>IF($B53="","",'2-3_обработка'!V53)</f>
        <v>#REF!</v>
      </c>
      <c r="Z53" s="81" t="e">
        <f>IF($B53="","",'2-3_обработка'!W53)</f>
        <v>#REF!</v>
      </c>
      <c r="AA53" s="81" t="e">
        <f>IF($B53="","",'2-3_обработка'!X53)</f>
        <v>#REF!</v>
      </c>
      <c r="AB53" s="80" t="s">
        <v>131</v>
      </c>
    </row>
    <row r="54" spans="1:29" s="86" customFormat="1" ht="18" customHeight="1">
      <c r="A54" s="83">
        <v>53</v>
      </c>
      <c r="B54" s="88" t="e">
        <f>IF(ЦТО!#REF!="","",ЦТО!#REF!)</f>
        <v>#REF!</v>
      </c>
      <c r="C54" s="83" t="e">
        <f>IF(ЦТО!#REF!="","",ЦТО!#REF!)</f>
        <v>#REF!</v>
      </c>
      <c r="D54" s="84" t="e">
        <f>IF(ЦТО!#REF!="","",ЦТО!#REF!)</f>
        <v>#REF!</v>
      </c>
      <c r="E54" s="80" t="e">
        <f>IF($B54="","",'1_обработка CО,ВК,ЭК'!F56)</f>
        <v>#REF!</v>
      </c>
      <c r="F54" s="80" t="e">
        <f>IF($B54="","",'1_обработка CО,ВК,ЭК'!H55)</f>
        <v>#REF!</v>
      </c>
      <c r="G54" s="80" t="e">
        <f>IF($B54="","",'1_обработка CО,ВК,ЭК'!I55)</f>
        <v>#REF!</v>
      </c>
      <c r="H54" s="83" t="e">
        <f>IF($B54="","",'2-3_обработка'!E54)</f>
        <v>#REF!</v>
      </c>
      <c r="I54" s="83" t="e">
        <f>IF($B54="","",'2-3_обработка'!F54)</f>
        <v>#REF!</v>
      </c>
      <c r="J54" s="83" t="e">
        <f>IF($B54="","",'2-3_обработка'!G54)</f>
        <v>#REF!</v>
      </c>
      <c r="K54" s="83" t="e">
        <f>IF($B54="","",'2-3_обработка'!H54)</f>
        <v>#REF!</v>
      </c>
      <c r="L54" s="83" t="e">
        <f>IF($B54="","",'2-3_обработка'!I54)</f>
        <v>#REF!</v>
      </c>
      <c r="M54" s="83" t="e">
        <f>IF($B54="","",'2-3_обработка'!J54)</f>
        <v>#REF!</v>
      </c>
      <c r="N54" s="83" t="e">
        <f>IF($B54="","",'2-3_обработка'!K54)</f>
        <v>#REF!</v>
      </c>
      <c r="O54" s="83" t="e">
        <f>IF($B54="","",'2-3_обработка'!L54)</f>
        <v>#REF!</v>
      </c>
      <c r="P54" s="83" t="e">
        <f>IF($B54="","",'2-3_обработка'!M54)</f>
        <v>#REF!</v>
      </c>
      <c r="Q54" s="83" t="e">
        <f>IF($B54="","",'2-3_обработка'!N54)</f>
        <v>#REF!</v>
      </c>
      <c r="R54" s="83" t="e">
        <f>IF($B54="","",'2-3_обработка'!O54)</f>
        <v>#REF!</v>
      </c>
      <c r="S54" s="83" t="e">
        <f>IF($B54="","",'2-3_обработка'!P54)</f>
        <v>#REF!</v>
      </c>
      <c r="T54" s="83" t="e">
        <f>IF($B54="","",'2-3_обработка'!Q54)</f>
        <v>#REF!</v>
      </c>
      <c r="U54" s="83" t="e">
        <f>IF($B54="","",'2-3_обработка'!R54)</f>
        <v>#REF!</v>
      </c>
      <c r="V54" s="83" t="e">
        <f>IF($B54="","",'2-3_обработка'!S54)</f>
        <v>#REF!</v>
      </c>
      <c r="W54" s="83" t="e">
        <f>IF($B54="","",'2-3_обработка'!T54)</f>
        <v>#REF!</v>
      </c>
      <c r="X54" s="83" t="e">
        <f>IF($B54="","",'2-3_обработка'!U54)</f>
        <v>#REF!</v>
      </c>
      <c r="Y54" s="85" t="e">
        <f>IF($B54="","",'2-3_обработка'!V54)</f>
        <v>#REF!</v>
      </c>
      <c r="Z54" s="85" t="e">
        <f>IF($B54="","",'2-3_обработка'!W54)</f>
        <v>#REF!</v>
      </c>
      <c r="AA54" s="85" t="e">
        <f>IF($B54="","",'2-3_обработка'!X54)</f>
        <v>#REF!</v>
      </c>
      <c r="AB54" s="83" t="s">
        <v>134</v>
      </c>
      <c r="AC54" s="83"/>
    </row>
    <row r="55" spans="1:29" ht="18" customHeight="1">
      <c r="A55" s="80">
        <v>54</v>
      </c>
      <c r="B55" s="87" t="e">
        <f>IF(ЦТО!#REF!="","",ЦТО!#REF!)</f>
        <v>#REF!</v>
      </c>
      <c r="C55" s="80" t="e">
        <f>IF(ЦТО!#REF!="","",ЦТО!#REF!)</f>
        <v>#REF!</v>
      </c>
      <c r="D55" s="82" t="e">
        <f>IF(ЦТО!#REF!="","",ЦТО!#REF!)</f>
        <v>#REF!</v>
      </c>
      <c r="E55" s="80" t="e">
        <f>IF($B55="","",'1_обработка CО,ВК,ЭК'!F57)</f>
        <v>#REF!</v>
      </c>
      <c r="F55" s="80" t="e">
        <f>IF($B55="","",'1_обработка CО,ВК,ЭК'!H56)</f>
        <v>#REF!</v>
      </c>
      <c r="G55" s="80" t="e">
        <f>IF($B55="","",'1_обработка CО,ВК,ЭК'!I56)</f>
        <v>#REF!</v>
      </c>
      <c r="H55" s="80" t="e">
        <f>IF($B55="","",'2-3_обработка'!E55)</f>
        <v>#REF!</v>
      </c>
      <c r="I55" s="80" t="e">
        <f>IF($B55="","",'2-3_обработка'!F55)</f>
        <v>#REF!</v>
      </c>
      <c r="J55" s="80" t="e">
        <f>IF($B55="","",'2-3_обработка'!G55)</f>
        <v>#REF!</v>
      </c>
      <c r="K55" s="80" t="e">
        <f>IF($B55="","",'2-3_обработка'!H55)</f>
        <v>#REF!</v>
      </c>
      <c r="L55" s="80" t="e">
        <f>IF($B55="","",'2-3_обработка'!I55)</f>
        <v>#REF!</v>
      </c>
      <c r="M55" s="80" t="e">
        <f>IF($B55="","",'2-3_обработка'!J55)</f>
        <v>#REF!</v>
      </c>
      <c r="N55" s="80" t="e">
        <f>IF($B55="","",'2-3_обработка'!K55)</f>
        <v>#REF!</v>
      </c>
      <c r="O55" s="80" t="e">
        <f>IF($B55="","",'2-3_обработка'!L55)</f>
        <v>#REF!</v>
      </c>
      <c r="P55" s="80" t="e">
        <f>IF($B55="","",'2-3_обработка'!M55)</f>
        <v>#REF!</v>
      </c>
      <c r="Q55" s="80" t="e">
        <f>IF($B55="","",'2-3_обработка'!N55)</f>
        <v>#REF!</v>
      </c>
      <c r="R55" s="80" t="e">
        <f>IF($B55="","",'2-3_обработка'!O55)</f>
        <v>#REF!</v>
      </c>
      <c r="S55" s="80" t="e">
        <f>IF($B55="","",'2-3_обработка'!P55)</f>
        <v>#REF!</v>
      </c>
      <c r="T55" s="80" t="e">
        <f>IF($B55="","",'2-3_обработка'!Q55)</f>
        <v>#REF!</v>
      </c>
      <c r="U55" s="80" t="e">
        <f>IF($B55="","",'2-3_обработка'!R55)</f>
        <v>#REF!</v>
      </c>
      <c r="V55" s="80" t="e">
        <f>IF($B55="","",'2-3_обработка'!S55)</f>
        <v>#REF!</v>
      </c>
      <c r="W55" s="80" t="e">
        <f>IF($B55="","",'2-3_обработка'!T55)</f>
        <v>#REF!</v>
      </c>
      <c r="X55" s="80" t="e">
        <f>IF($B55="","",'2-3_обработка'!U55)</f>
        <v>#REF!</v>
      </c>
      <c r="Y55" s="81" t="e">
        <f>IF($B55="","",'2-3_обработка'!V55)</f>
        <v>#REF!</v>
      </c>
      <c r="Z55" s="81" t="e">
        <f>IF($B55="","",'2-3_обработка'!W55)</f>
        <v>#REF!</v>
      </c>
      <c r="AA55" s="81" t="e">
        <f>IF($B55="","",'2-3_обработка'!X55)</f>
        <v>#REF!</v>
      </c>
      <c r="AB55" s="80" t="s">
        <v>131</v>
      </c>
    </row>
    <row r="56" spans="1:29" ht="18" customHeight="1">
      <c r="A56" s="80">
        <v>55</v>
      </c>
      <c r="B56" s="87" t="e">
        <f>IF(ЦТО!#REF!="","",ЦТО!#REF!)</f>
        <v>#REF!</v>
      </c>
      <c r="C56" s="80" t="e">
        <f>IF(ЦТО!#REF!="","",ЦТО!#REF!)</f>
        <v>#REF!</v>
      </c>
      <c r="D56" s="82" t="e">
        <f>IF(ЦТО!#REF!="","",ЦТО!#REF!)</f>
        <v>#REF!</v>
      </c>
      <c r="E56" s="80" t="e">
        <f>IF($B56="","",'1_обработка CО,ВК,ЭК'!F58)</f>
        <v>#REF!</v>
      </c>
      <c r="F56" s="80" t="e">
        <f>IF($B56="","",'1_обработка CО,ВК,ЭК'!H57)</f>
        <v>#REF!</v>
      </c>
      <c r="G56" s="80" t="e">
        <f>IF($B56="","",'1_обработка CО,ВК,ЭК'!I57)</f>
        <v>#REF!</v>
      </c>
      <c r="H56" s="80" t="e">
        <f>IF($B56="","",'2-3_обработка'!E56)</f>
        <v>#REF!</v>
      </c>
      <c r="I56" s="80" t="e">
        <f>IF($B56="","",'2-3_обработка'!F56)</f>
        <v>#REF!</v>
      </c>
      <c r="J56" s="80" t="e">
        <f>IF($B56="","",'2-3_обработка'!G56)</f>
        <v>#REF!</v>
      </c>
      <c r="K56" s="80" t="e">
        <f>IF($B56="","",'2-3_обработка'!H56)</f>
        <v>#REF!</v>
      </c>
      <c r="L56" s="80" t="e">
        <f>IF($B56="","",'2-3_обработка'!I56)</f>
        <v>#REF!</v>
      </c>
      <c r="M56" s="80" t="e">
        <f>IF($B56="","",'2-3_обработка'!J56)</f>
        <v>#REF!</v>
      </c>
      <c r="N56" s="80" t="e">
        <f>IF($B56="","",'2-3_обработка'!K56)</f>
        <v>#REF!</v>
      </c>
      <c r="O56" s="80" t="e">
        <f>IF($B56="","",'2-3_обработка'!L56)</f>
        <v>#REF!</v>
      </c>
      <c r="P56" s="80" t="e">
        <f>IF($B56="","",'2-3_обработка'!M56)</f>
        <v>#REF!</v>
      </c>
      <c r="Q56" s="80" t="e">
        <f>IF($B56="","",'2-3_обработка'!N56)</f>
        <v>#REF!</v>
      </c>
      <c r="R56" s="80" t="e">
        <f>IF($B56="","",'2-3_обработка'!O56)</f>
        <v>#REF!</v>
      </c>
      <c r="S56" s="80" t="e">
        <f>IF($B56="","",'2-3_обработка'!P56)</f>
        <v>#REF!</v>
      </c>
      <c r="T56" s="80" t="e">
        <f>IF($B56="","",'2-3_обработка'!Q56)</f>
        <v>#REF!</v>
      </c>
      <c r="U56" s="80" t="e">
        <f>IF($B56="","",'2-3_обработка'!R56)</f>
        <v>#REF!</v>
      </c>
      <c r="V56" s="80" t="e">
        <f>IF($B56="","",'2-3_обработка'!S56)</f>
        <v>#REF!</v>
      </c>
      <c r="W56" s="80" t="e">
        <f>IF($B56="","",'2-3_обработка'!T56)</f>
        <v>#REF!</v>
      </c>
      <c r="X56" s="80" t="e">
        <f>IF($B56="","",'2-3_обработка'!U56)</f>
        <v>#REF!</v>
      </c>
      <c r="Y56" s="81" t="e">
        <f>IF($B56="","",'2-3_обработка'!V56)</f>
        <v>#REF!</v>
      </c>
      <c r="Z56" s="81" t="e">
        <f>IF($B56="","",'2-3_обработка'!W56)</f>
        <v>#REF!</v>
      </c>
      <c r="AA56" s="81" t="e">
        <f>IF($B56="","",'2-3_обработка'!X56)</f>
        <v>#REF!</v>
      </c>
      <c r="AB56" s="80" t="s">
        <v>134</v>
      </c>
    </row>
    <row r="57" spans="1:29" s="86" customFormat="1" ht="18" customHeight="1">
      <c r="A57" s="83">
        <v>56</v>
      </c>
      <c r="B57" s="88" t="e">
        <f>IF(ЦТО!#REF!="","",ЦТО!#REF!)</f>
        <v>#REF!</v>
      </c>
      <c r="C57" s="83" t="e">
        <f>IF(ЦТО!#REF!="","",ЦТО!#REF!)</f>
        <v>#REF!</v>
      </c>
      <c r="D57" s="84" t="e">
        <f>IF(ЦТО!#REF!="","",ЦТО!#REF!)</f>
        <v>#REF!</v>
      </c>
      <c r="E57" s="80" t="e">
        <f>IF($B57="","",'1_обработка CО,ВК,ЭК'!F59)</f>
        <v>#REF!</v>
      </c>
      <c r="F57" s="80" t="e">
        <f>IF($B57="","",'1_обработка CО,ВК,ЭК'!H58)</f>
        <v>#REF!</v>
      </c>
      <c r="G57" s="80" t="e">
        <f>IF($B57="","",'1_обработка CО,ВК,ЭК'!I58)</f>
        <v>#REF!</v>
      </c>
      <c r="H57" s="83" t="e">
        <f>IF($B57="","",'2-3_обработка'!E57)</f>
        <v>#REF!</v>
      </c>
      <c r="I57" s="83" t="e">
        <f>IF($B57="","",'2-3_обработка'!F57)</f>
        <v>#REF!</v>
      </c>
      <c r="J57" s="83" t="e">
        <f>IF($B57="","",'2-3_обработка'!G57)</f>
        <v>#REF!</v>
      </c>
      <c r="K57" s="83" t="e">
        <f>IF($B57="","",'2-3_обработка'!H57)</f>
        <v>#REF!</v>
      </c>
      <c r="L57" s="83" t="e">
        <f>IF($B57="","",'2-3_обработка'!I57)</f>
        <v>#REF!</v>
      </c>
      <c r="M57" s="83" t="e">
        <f>IF($B57="","",'2-3_обработка'!J57)</f>
        <v>#REF!</v>
      </c>
      <c r="N57" s="83" t="e">
        <f>IF($B57="","",'2-3_обработка'!K57)</f>
        <v>#REF!</v>
      </c>
      <c r="O57" s="83" t="e">
        <f>IF($B57="","",'2-3_обработка'!L57)</f>
        <v>#REF!</v>
      </c>
      <c r="P57" s="83" t="e">
        <f>IF($B57="","",'2-3_обработка'!M57)</f>
        <v>#REF!</v>
      </c>
      <c r="Q57" s="83" t="e">
        <f>IF($B57="","",'2-3_обработка'!N57)</f>
        <v>#REF!</v>
      </c>
      <c r="R57" s="83" t="e">
        <f>IF($B57="","",'2-3_обработка'!O57)</f>
        <v>#REF!</v>
      </c>
      <c r="S57" s="83" t="e">
        <f>IF($B57="","",'2-3_обработка'!P57)</f>
        <v>#REF!</v>
      </c>
      <c r="T57" s="83" t="e">
        <f>IF($B57="","",'2-3_обработка'!Q57)</f>
        <v>#REF!</v>
      </c>
      <c r="U57" s="83" t="e">
        <f>IF($B57="","",'2-3_обработка'!R57)</f>
        <v>#REF!</v>
      </c>
      <c r="V57" s="83" t="e">
        <f>IF($B57="","",'2-3_обработка'!S57)</f>
        <v>#REF!</v>
      </c>
      <c r="W57" s="83" t="e">
        <f>IF($B57="","",'2-3_обработка'!T57)</f>
        <v>#REF!</v>
      </c>
      <c r="X57" s="83" t="e">
        <f>IF($B57="","",'2-3_обработка'!U57)</f>
        <v>#REF!</v>
      </c>
      <c r="Y57" s="85" t="e">
        <f>IF($B57="","",'2-3_обработка'!V57)</f>
        <v>#REF!</v>
      </c>
      <c r="Z57" s="85" t="e">
        <f>IF($B57="","",'2-3_обработка'!W57)</f>
        <v>#REF!</v>
      </c>
      <c r="AA57" s="85" t="e">
        <f>IF($B57="","",'2-3_обработка'!X57)</f>
        <v>#REF!</v>
      </c>
      <c r="AB57" s="83" t="s">
        <v>132</v>
      </c>
      <c r="AC57" s="83"/>
    </row>
    <row r="58" spans="1:29" ht="18" customHeight="1">
      <c r="A58" s="80">
        <v>57</v>
      </c>
      <c r="B58" s="87" t="e">
        <f>IF(ЦТО!#REF!="","",ЦТО!#REF!)</f>
        <v>#REF!</v>
      </c>
      <c r="C58" s="80" t="e">
        <f>IF(ЦТО!#REF!="","",ЦТО!#REF!)</f>
        <v>#REF!</v>
      </c>
      <c r="D58" s="82" t="e">
        <f>IF(ЦТО!#REF!="","",ЦТО!#REF!)</f>
        <v>#REF!</v>
      </c>
      <c r="E58" s="80" t="e">
        <f>IF($B58="","",'1_обработка CО,ВК,ЭК'!F60)</f>
        <v>#REF!</v>
      </c>
      <c r="F58" s="80" t="e">
        <f>IF($B58="","",'1_обработка CО,ВК,ЭК'!H59)</f>
        <v>#REF!</v>
      </c>
      <c r="G58" s="80" t="e">
        <f>IF($B58="","",'1_обработка CО,ВК,ЭК'!I59)</f>
        <v>#REF!</v>
      </c>
      <c r="H58" s="80" t="e">
        <f>IF($B58="","",'2-3_обработка'!E58)</f>
        <v>#REF!</v>
      </c>
      <c r="I58" s="80" t="e">
        <f>IF($B58="","",'2-3_обработка'!F58)</f>
        <v>#REF!</v>
      </c>
      <c r="J58" s="80" t="e">
        <f>IF($B58="","",'2-3_обработка'!G58)</f>
        <v>#REF!</v>
      </c>
      <c r="K58" s="80" t="e">
        <f>IF($B58="","",'2-3_обработка'!H58)</f>
        <v>#REF!</v>
      </c>
      <c r="L58" s="80" t="e">
        <f>IF($B58="","",'2-3_обработка'!I58)</f>
        <v>#REF!</v>
      </c>
      <c r="M58" s="80" t="e">
        <f>IF($B58="","",'2-3_обработка'!J58)</f>
        <v>#REF!</v>
      </c>
      <c r="N58" s="80" t="e">
        <f>IF($B58="","",'2-3_обработка'!K58)</f>
        <v>#REF!</v>
      </c>
      <c r="O58" s="80" t="e">
        <f>IF($B58="","",'2-3_обработка'!L58)</f>
        <v>#REF!</v>
      </c>
      <c r="P58" s="80" t="e">
        <f>IF($B58="","",'2-3_обработка'!M58)</f>
        <v>#REF!</v>
      </c>
      <c r="Q58" s="80" t="e">
        <f>IF($B58="","",'2-3_обработка'!N58)</f>
        <v>#REF!</v>
      </c>
      <c r="R58" s="80" t="e">
        <f>IF($B58="","",'2-3_обработка'!O58)</f>
        <v>#REF!</v>
      </c>
      <c r="S58" s="80" t="e">
        <f>IF($B58="","",'2-3_обработка'!P58)</f>
        <v>#REF!</v>
      </c>
      <c r="T58" s="80" t="e">
        <f>IF($B58="","",'2-3_обработка'!Q58)</f>
        <v>#REF!</v>
      </c>
      <c r="U58" s="80" t="e">
        <f>IF($B58="","",'2-3_обработка'!R58)</f>
        <v>#REF!</v>
      </c>
      <c r="V58" s="80" t="e">
        <f>IF($B58="","",'2-3_обработка'!S58)</f>
        <v>#REF!</v>
      </c>
      <c r="W58" s="80" t="e">
        <f>IF($B58="","",'2-3_обработка'!T58)</f>
        <v>#REF!</v>
      </c>
      <c r="X58" s="80" t="e">
        <f>IF($B58="","",'2-3_обработка'!U58)</f>
        <v>#REF!</v>
      </c>
      <c r="Y58" s="81" t="e">
        <f>IF($B58="","",'2-3_обработка'!V58)</f>
        <v>#REF!</v>
      </c>
      <c r="Z58" s="81" t="e">
        <f>IF($B58="","",'2-3_обработка'!W58)</f>
        <v>#REF!</v>
      </c>
      <c r="AA58" s="81" t="e">
        <f>IF($B58="","",'2-3_обработка'!X58)</f>
        <v>#REF!</v>
      </c>
      <c r="AB58" s="80" t="s">
        <v>131</v>
      </c>
    </row>
    <row r="59" spans="1:29" ht="18" customHeight="1">
      <c r="A59" s="80">
        <v>58</v>
      </c>
      <c r="B59" s="87" t="e">
        <f>IF(ЦТО!#REF!="","",ЦТО!#REF!)</f>
        <v>#REF!</v>
      </c>
      <c r="C59" s="80" t="e">
        <f>IF(ЦТО!#REF!="","",ЦТО!#REF!)</f>
        <v>#REF!</v>
      </c>
      <c r="D59" s="82" t="e">
        <f>IF(ЦТО!#REF!="","",ЦТО!#REF!)</f>
        <v>#REF!</v>
      </c>
      <c r="E59" s="80" t="e">
        <f>IF($B59="","",'1_обработка CО,ВК,ЭК'!F61)</f>
        <v>#REF!</v>
      </c>
      <c r="F59" s="80" t="e">
        <f>IF($B59="","",'1_обработка CО,ВК,ЭК'!H60)</f>
        <v>#REF!</v>
      </c>
      <c r="G59" s="80" t="e">
        <f>IF($B59="","",'1_обработка CО,ВК,ЭК'!I60)</f>
        <v>#REF!</v>
      </c>
      <c r="H59" s="80" t="e">
        <f>IF($B59="","",'2-3_обработка'!E59)</f>
        <v>#REF!</v>
      </c>
      <c r="I59" s="80" t="e">
        <f>IF($B59="","",'2-3_обработка'!F59)</f>
        <v>#REF!</v>
      </c>
      <c r="J59" s="80" t="e">
        <f>IF($B59="","",'2-3_обработка'!G59)</f>
        <v>#REF!</v>
      </c>
      <c r="K59" s="80" t="e">
        <f>IF($B59="","",'2-3_обработка'!H59)</f>
        <v>#REF!</v>
      </c>
      <c r="L59" s="80" t="e">
        <f>IF($B59="","",'2-3_обработка'!I59)</f>
        <v>#REF!</v>
      </c>
      <c r="M59" s="80" t="e">
        <f>IF($B59="","",'2-3_обработка'!J59)</f>
        <v>#REF!</v>
      </c>
      <c r="N59" s="80" t="e">
        <f>IF($B59="","",'2-3_обработка'!K59)</f>
        <v>#REF!</v>
      </c>
      <c r="O59" s="80" t="e">
        <f>IF($B59="","",'2-3_обработка'!L59)</f>
        <v>#REF!</v>
      </c>
      <c r="P59" s="80" t="e">
        <f>IF($B59="","",'2-3_обработка'!M59)</f>
        <v>#REF!</v>
      </c>
      <c r="Q59" s="80" t="e">
        <f>IF($B59="","",'2-3_обработка'!N59)</f>
        <v>#REF!</v>
      </c>
      <c r="R59" s="80" t="e">
        <f>IF($B59="","",'2-3_обработка'!O59)</f>
        <v>#REF!</v>
      </c>
      <c r="S59" s="80" t="e">
        <f>IF($B59="","",'2-3_обработка'!P59)</f>
        <v>#REF!</v>
      </c>
      <c r="T59" s="80" t="e">
        <f>IF($B59="","",'2-3_обработка'!Q59)</f>
        <v>#REF!</v>
      </c>
      <c r="U59" s="80" t="e">
        <f>IF($B59="","",'2-3_обработка'!R59)</f>
        <v>#REF!</v>
      </c>
      <c r="V59" s="80" t="e">
        <f>IF($B59="","",'2-3_обработка'!S59)</f>
        <v>#REF!</v>
      </c>
      <c r="W59" s="80" t="e">
        <f>IF($B59="","",'2-3_обработка'!T59)</f>
        <v>#REF!</v>
      </c>
      <c r="X59" s="80" t="e">
        <f>IF($B59="","",'2-3_обработка'!U59)</f>
        <v>#REF!</v>
      </c>
      <c r="Y59" s="81" t="e">
        <f>IF($B59="","",'2-3_обработка'!V59)</f>
        <v>#REF!</v>
      </c>
      <c r="Z59" s="81" t="e">
        <f>IF($B59="","",'2-3_обработка'!W59)</f>
        <v>#REF!</v>
      </c>
      <c r="AA59" s="81" t="e">
        <f>IF($B59="","",'2-3_обработка'!X59)</f>
        <v>#REF!</v>
      </c>
      <c r="AB59" s="80" t="s">
        <v>131</v>
      </c>
    </row>
    <row r="60" spans="1:29" s="86" customFormat="1" ht="18" customHeight="1">
      <c r="A60" s="83">
        <v>59</v>
      </c>
      <c r="B60" s="88" t="e">
        <f>IF(ЦТО!#REF!="","",ЦТО!#REF!)</f>
        <v>#REF!</v>
      </c>
      <c r="C60" s="83" t="e">
        <f>IF(ЦТО!#REF!="","",ЦТО!#REF!)</f>
        <v>#REF!</v>
      </c>
      <c r="D60" s="84" t="e">
        <f>IF(ЦТО!#REF!="","",ЦТО!#REF!)</f>
        <v>#REF!</v>
      </c>
      <c r="E60" s="80" t="e">
        <f>IF($B60="","",'1_обработка CО,ВК,ЭК'!F62)</f>
        <v>#REF!</v>
      </c>
      <c r="F60" s="80" t="e">
        <f>IF($B60="","",'1_обработка CО,ВК,ЭК'!H61)</f>
        <v>#REF!</v>
      </c>
      <c r="G60" s="80" t="e">
        <f>IF($B60="","",'1_обработка CО,ВК,ЭК'!I61)</f>
        <v>#REF!</v>
      </c>
      <c r="H60" s="83" t="e">
        <f>IF($B60="","",'2-3_обработка'!E60)</f>
        <v>#REF!</v>
      </c>
      <c r="I60" s="83" t="e">
        <f>IF($B60="","",'2-3_обработка'!F60)</f>
        <v>#REF!</v>
      </c>
      <c r="J60" s="83" t="e">
        <f>IF($B60="","",'2-3_обработка'!G60)</f>
        <v>#REF!</v>
      </c>
      <c r="K60" s="83" t="e">
        <f>IF($B60="","",'2-3_обработка'!H60)</f>
        <v>#REF!</v>
      </c>
      <c r="L60" s="83" t="e">
        <f>IF($B60="","",'2-3_обработка'!I60)</f>
        <v>#REF!</v>
      </c>
      <c r="M60" s="83" t="e">
        <f>IF($B60="","",'2-3_обработка'!J60)</f>
        <v>#REF!</v>
      </c>
      <c r="N60" s="83" t="e">
        <f>IF($B60="","",'2-3_обработка'!K60)</f>
        <v>#REF!</v>
      </c>
      <c r="O60" s="83" t="e">
        <f>IF($B60="","",'2-3_обработка'!L60)</f>
        <v>#REF!</v>
      </c>
      <c r="P60" s="83" t="e">
        <f>IF($B60="","",'2-3_обработка'!M60)</f>
        <v>#REF!</v>
      </c>
      <c r="Q60" s="83" t="e">
        <f>IF($B60="","",'2-3_обработка'!N60)</f>
        <v>#REF!</v>
      </c>
      <c r="R60" s="83" t="e">
        <f>IF($B60="","",'2-3_обработка'!O60)</f>
        <v>#REF!</v>
      </c>
      <c r="S60" s="83" t="e">
        <f>IF($B60="","",'2-3_обработка'!P60)</f>
        <v>#REF!</v>
      </c>
      <c r="T60" s="83" t="e">
        <f>IF($B60="","",'2-3_обработка'!Q60)</f>
        <v>#REF!</v>
      </c>
      <c r="U60" s="83" t="e">
        <f>IF($B60="","",'2-3_обработка'!R60)</f>
        <v>#REF!</v>
      </c>
      <c r="V60" s="83" t="e">
        <f>IF($B60="","",'2-3_обработка'!S60)</f>
        <v>#REF!</v>
      </c>
      <c r="W60" s="83" t="e">
        <f>IF($B60="","",'2-3_обработка'!T60)</f>
        <v>#REF!</v>
      </c>
      <c r="X60" s="83" t="e">
        <f>IF($B60="","",'2-3_обработка'!U60)</f>
        <v>#REF!</v>
      </c>
      <c r="Y60" s="85" t="e">
        <f>IF($B60="","",'2-3_обработка'!V60)</f>
        <v>#REF!</v>
      </c>
      <c r="Z60" s="85" t="e">
        <f>IF($B60="","",'2-3_обработка'!W60)</f>
        <v>#REF!</v>
      </c>
      <c r="AA60" s="85" t="e">
        <f>IF($B60="","",'2-3_обработка'!X60)</f>
        <v>#REF!</v>
      </c>
      <c r="AB60" s="83" t="s">
        <v>133</v>
      </c>
      <c r="AC60" s="83"/>
    </row>
    <row r="61" spans="1:29" ht="18" customHeight="1">
      <c r="A61" s="80">
        <v>60</v>
      </c>
      <c r="B61" s="87" t="e">
        <f>IF(ЦТО!#REF!="","",ЦТО!#REF!)</f>
        <v>#REF!</v>
      </c>
      <c r="C61" s="80" t="e">
        <f>IF(ЦТО!#REF!="","",ЦТО!#REF!)</f>
        <v>#REF!</v>
      </c>
      <c r="D61" s="82" t="e">
        <f>IF(ЦТО!#REF!="","",ЦТО!#REF!)</f>
        <v>#REF!</v>
      </c>
      <c r="E61" s="80" t="e">
        <f>IF($B61="","",'1_обработка CО,ВК,ЭК'!F63)</f>
        <v>#REF!</v>
      </c>
      <c r="F61" s="80" t="e">
        <f>IF($B61="","",'1_обработка CО,ВК,ЭК'!H62)</f>
        <v>#REF!</v>
      </c>
      <c r="G61" s="80" t="e">
        <f>IF($B61="","",'1_обработка CО,ВК,ЭК'!I62)</f>
        <v>#REF!</v>
      </c>
      <c r="H61" s="80" t="e">
        <f>IF($B61="","",'2-3_обработка'!E61)</f>
        <v>#REF!</v>
      </c>
      <c r="I61" s="80" t="e">
        <f>IF($B61="","",'2-3_обработка'!F61)</f>
        <v>#REF!</v>
      </c>
      <c r="J61" s="80" t="e">
        <f>IF($B61="","",'2-3_обработка'!G61)</f>
        <v>#REF!</v>
      </c>
      <c r="K61" s="80" t="e">
        <f>IF($B61="","",'2-3_обработка'!H61)</f>
        <v>#REF!</v>
      </c>
      <c r="L61" s="80" t="e">
        <f>IF($B61="","",'2-3_обработка'!I61)</f>
        <v>#REF!</v>
      </c>
      <c r="M61" s="80" t="e">
        <f>IF($B61="","",'2-3_обработка'!J61)</f>
        <v>#REF!</v>
      </c>
      <c r="N61" s="80" t="e">
        <f>IF($B61="","",'2-3_обработка'!K61)</f>
        <v>#REF!</v>
      </c>
      <c r="O61" s="80" t="e">
        <f>IF($B61="","",'2-3_обработка'!L61)</f>
        <v>#REF!</v>
      </c>
      <c r="P61" s="80" t="e">
        <f>IF($B61="","",'2-3_обработка'!M61)</f>
        <v>#REF!</v>
      </c>
      <c r="Q61" s="80" t="e">
        <f>IF($B61="","",'2-3_обработка'!N61)</f>
        <v>#REF!</v>
      </c>
      <c r="R61" s="80" t="e">
        <f>IF($B61="","",'2-3_обработка'!O61)</f>
        <v>#REF!</v>
      </c>
      <c r="S61" s="80" t="e">
        <f>IF($B61="","",'2-3_обработка'!P61)</f>
        <v>#REF!</v>
      </c>
      <c r="T61" s="80" t="e">
        <f>IF($B61="","",'2-3_обработка'!Q61)</f>
        <v>#REF!</v>
      </c>
      <c r="U61" s="80" t="e">
        <f>IF($B61="","",'2-3_обработка'!R61)</f>
        <v>#REF!</v>
      </c>
      <c r="V61" s="80" t="e">
        <f>IF($B61="","",'2-3_обработка'!S61)</f>
        <v>#REF!</v>
      </c>
      <c r="W61" s="80" t="e">
        <f>IF($B61="","",'2-3_обработка'!T61)</f>
        <v>#REF!</v>
      </c>
      <c r="X61" s="80" t="e">
        <f>IF($B61="","",'2-3_обработка'!U61)</f>
        <v>#REF!</v>
      </c>
      <c r="Y61" s="81" t="e">
        <f>IF($B61="","",'2-3_обработка'!V61)</f>
        <v>#REF!</v>
      </c>
      <c r="Z61" s="81" t="e">
        <f>IF($B61="","",'2-3_обработка'!W61)</f>
        <v>#REF!</v>
      </c>
      <c r="AA61" s="81" t="e">
        <f>IF($B61="","",'2-3_обработка'!X61)</f>
        <v>#REF!</v>
      </c>
      <c r="AB61" s="80" t="s">
        <v>131</v>
      </c>
    </row>
    <row r="62" spans="1:29" ht="18" customHeight="1">
      <c r="A62" s="80">
        <v>61</v>
      </c>
      <c r="B62" s="87" t="e">
        <f>IF(ЦТО!#REF!="","",ЦТО!#REF!)</f>
        <v>#REF!</v>
      </c>
      <c r="C62" s="80" t="e">
        <f>IF(ЦТО!#REF!="","",ЦТО!#REF!)</f>
        <v>#REF!</v>
      </c>
      <c r="D62" s="82" t="e">
        <f>IF(ЦТО!#REF!="","",ЦТО!#REF!)</f>
        <v>#REF!</v>
      </c>
      <c r="E62" s="80" t="e">
        <f>IF($B62="","",'1_обработка CО,ВК,ЭК'!F64)</f>
        <v>#REF!</v>
      </c>
      <c r="F62" s="80" t="e">
        <f>IF($B62="","",'1_обработка CО,ВК,ЭК'!H63)</f>
        <v>#REF!</v>
      </c>
      <c r="G62" s="80" t="e">
        <f>IF($B62="","",'1_обработка CО,ВК,ЭК'!I63)</f>
        <v>#REF!</v>
      </c>
      <c r="H62" s="80" t="e">
        <f>IF($B62="","",'2-3_обработка'!E62)</f>
        <v>#REF!</v>
      </c>
      <c r="I62" s="80" t="e">
        <f>IF($B62="","",'2-3_обработка'!F62)</f>
        <v>#REF!</v>
      </c>
      <c r="J62" s="80" t="e">
        <f>IF($B62="","",'2-3_обработка'!G62)</f>
        <v>#REF!</v>
      </c>
      <c r="K62" s="80" t="e">
        <f>IF($B62="","",'2-3_обработка'!H62)</f>
        <v>#REF!</v>
      </c>
      <c r="L62" s="80" t="e">
        <f>IF($B62="","",'2-3_обработка'!I62)</f>
        <v>#REF!</v>
      </c>
      <c r="M62" s="80" t="e">
        <f>IF($B62="","",'2-3_обработка'!J62)</f>
        <v>#REF!</v>
      </c>
      <c r="N62" s="80" t="e">
        <f>IF($B62="","",'2-3_обработка'!K62)</f>
        <v>#REF!</v>
      </c>
      <c r="O62" s="80" t="e">
        <f>IF($B62="","",'2-3_обработка'!L62)</f>
        <v>#REF!</v>
      </c>
      <c r="P62" s="80" t="e">
        <f>IF($B62="","",'2-3_обработка'!M62)</f>
        <v>#REF!</v>
      </c>
      <c r="Q62" s="80" t="e">
        <f>IF($B62="","",'2-3_обработка'!N62)</f>
        <v>#REF!</v>
      </c>
      <c r="R62" s="80" t="e">
        <f>IF($B62="","",'2-3_обработка'!O62)</f>
        <v>#REF!</v>
      </c>
      <c r="S62" s="80" t="e">
        <f>IF($B62="","",'2-3_обработка'!P62)</f>
        <v>#REF!</v>
      </c>
      <c r="T62" s="80" t="e">
        <f>IF($B62="","",'2-3_обработка'!Q62)</f>
        <v>#REF!</v>
      </c>
      <c r="U62" s="80" t="e">
        <f>IF($B62="","",'2-3_обработка'!R62)</f>
        <v>#REF!</v>
      </c>
      <c r="V62" s="80" t="e">
        <f>IF($B62="","",'2-3_обработка'!S62)</f>
        <v>#REF!</v>
      </c>
      <c r="W62" s="80" t="e">
        <f>IF($B62="","",'2-3_обработка'!T62)</f>
        <v>#REF!</v>
      </c>
      <c r="X62" s="80" t="e">
        <f>IF($B62="","",'2-3_обработка'!U62)</f>
        <v>#REF!</v>
      </c>
      <c r="Y62" s="81" t="e">
        <f>IF($B62="","",'2-3_обработка'!V62)</f>
        <v>#REF!</v>
      </c>
      <c r="Z62" s="81" t="e">
        <f>IF($B62="","",'2-3_обработка'!W62)</f>
        <v>#REF!</v>
      </c>
      <c r="AA62" s="81" t="e">
        <f>IF($B62="","",'2-3_обработка'!X62)</f>
        <v>#REF!</v>
      </c>
      <c r="AB62" s="80" t="s">
        <v>134</v>
      </c>
    </row>
    <row r="63" spans="1:29" ht="18" customHeight="1">
      <c r="A63" s="80">
        <v>62</v>
      </c>
      <c r="B63" s="87" t="e">
        <f>IF(ЦТО!#REF!="","",ЦТО!#REF!)</f>
        <v>#REF!</v>
      </c>
      <c r="C63" s="80" t="e">
        <f>IF(ЦТО!#REF!="","",ЦТО!#REF!)</f>
        <v>#REF!</v>
      </c>
      <c r="D63" s="82" t="e">
        <f>IF(ЦТО!#REF!="","",ЦТО!#REF!)</f>
        <v>#REF!</v>
      </c>
      <c r="E63" s="80" t="e">
        <f>IF($B63="","",'1_обработка CО,ВК,ЭК'!F65)</f>
        <v>#REF!</v>
      </c>
      <c r="F63" s="80" t="e">
        <f>IF($B63="","",'1_обработка CО,ВК,ЭК'!H64)</f>
        <v>#REF!</v>
      </c>
      <c r="G63" s="80" t="e">
        <f>IF($B63="","",'1_обработка CО,ВК,ЭК'!I64)</f>
        <v>#REF!</v>
      </c>
      <c r="H63" s="80" t="e">
        <f>IF($B63="","",'2-3_обработка'!E63)</f>
        <v>#REF!</v>
      </c>
      <c r="I63" s="80" t="e">
        <f>IF($B63="","",'2-3_обработка'!F63)</f>
        <v>#REF!</v>
      </c>
      <c r="J63" s="80" t="e">
        <f>IF($B63="","",'2-3_обработка'!G63)</f>
        <v>#REF!</v>
      </c>
      <c r="K63" s="80" t="e">
        <f>IF($B63="","",'2-3_обработка'!H63)</f>
        <v>#REF!</v>
      </c>
      <c r="L63" s="80" t="e">
        <f>IF($B63="","",'2-3_обработка'!I63)</f>
        <v>#REF!</v>
      </c>
      <c r="M63" s="80" t="e">
        <f>IF($B63="","",'2-3_обработка'!J63)</f>
        <v>#REF!</v>
      </c>
      <c r="N63" s="80" t="e">
        <f>IF($B63="","",'2-3_обработка'!K63)</f>
        <v>#REF!</v>
      </c>
      <c r="O63" s="80" t="e">
        <f>IF($B63="","",'2-3_обработка'!L63)</f>
        <v>#REF!</v>
      </c>
      <c r="P63" s="80" t="e">
        <f>IF($B63="","",'2-3_обработка'!M63)</f>
        <v>#REF!</v>
      </c>
      <c r="Q63" s="80" t="e">
        <f>IF($B63="","",'2-3_обработка'!N63)</f>
        <v>#REF!</v>
      </c>
      <c r="R63" s="80" t="e">
        <f>IF($B63="","",'2-3_обработка'!O63)</f>
        <v>#REF!</v>
      </c>
      <c r="S63" s="80" t="e">
        <f>IF($B63="","",'2-3_обработка'!P63)</f>
        <v>#REF!</v>
      </c>
      <c r="T63" s="80" t="e">
        <f>IF($B63="","",'2-3_обработка'!Q63)</f>
        <v>#REF!</v>
      </c>
      <c r="U63" s="80" t="e">
        <f>IF($B63="","",'2-3_обработка'!R63)</f>
        <v>#REF!</v>
      </c>
      <c r="V63" s="80" t="e">
        <f>IF($B63="","",'2-3_обработка'!S63)</f>
        <v>#REF!</v>
      </c>
      <c r="W63" s="80" t="e">
        <f>IF($B63="","",'2-3_обработка'!T63)</f>
        <v>#REF!</v>
      </c>
      <c r="X63" s="80" t="e">
        <f>IF($B63="","",'2-3_обработка'!U63)</f>
        <v>#REF!</v>
      </c>
      <c r="Y63" s="81" t="e">
        <f>IF($B63="","",'2-3_обработка'!V63)</f>
        <v>#REF!</v>
      </c>
      <c r="Z63" s="81" t="e">
        <f>IF($B63="","",'2-3_обработка'!W63)</f>
        <v>#REF!</v>
      </c>
      <c r="AA63" s="81" t="e">
        <f>IF($B63="","",'2-3_обработка'!X63)</f>
        <v>#REF!</v>
      </c>
      <c r="AB63" s="80" t="s">
        <v>135</v>
      </c>
    </row>
    <row r="64" spans="1:29" s="86" customFormat="1" ht="18" customHeight="1">
      <c r="A64" s="83">
        <v>63</v>
      </c>
      <c r="B64" s="88" t="e">
        <f>IF(ЦТО!#REF!="","",ЦТО!#REF!)</f>
        <v>#REF!</v>
      </c>
      <c r="C64" s="83" t="e">
        <f>IF(ЦТО!#REF!="","",ЦТО!#REF!)</f>
        <v>#REF!</v>
      </c>
      <c r="D64" s="84" t="e">
        <f>IF(ЦТО!#REF!="","",ЦТО!#REF!)</f>
        <v>#REF!</v>
      </c>
      <c r="E64" s="80" t="e">
        <f>IF($B64="","",'1_обработка CО,ВК,ЭК'!F66)</f>
        <v>#REF!</v>
      </c>
      <c r="F64" s="80" t="e">
        <f>IF($B64="","",'1_обработка CО,ВК,ЭК'!H65)</f>
        <v>#REF!</v>
      </c>
      <c r="G64" s="80" t="e">
        <f>IF($B64="","",'1_обработка CО,ВК,ЭК'!I65)</f>
        <v>#REF!</v>
      </c>
      <c r="H64" s="83" t="e">
        <f>IF($B64="","",'2-3_обработка'!E64)</f>
        <v>#REF!</v>
      </c>
      <c r="I64" s="83" t="e">
        <f>IF($B64="","",'2-3_обработка'!F64)</f>
        <v>#REF!</v>
      </c>
      <c r="J64" s="83" t="e">
        <f>IF($B64="","",'2-3_обработка'!G64)</f>
        <v>#REF!</v>
      </c>
      <c r="K64" s="83" t="e">
        <f>IF($B64="","",'2-3_обработка'!H64)</f>
        <v>#REF!</v>
      </c>
      <c r="L64" s="83" t="e">
        <f>IF($B64="","",'2-3_обработка'!I64)</f>
        <v>#REF!</v>
      </c>
      <c r="M64" s="83" t="e">
        <f>IF($B64="","",'2-3_обработка'!J64)</f>
        <v>#REF!</v>
      </c>
      <c r="N64" s="83" t="e">
        <f>IF($B64="","",'2-3_обработка'!K64)</f>
        <v>#REF!</v>
      </c>
      <c r="O64" s="83" t="e">
        <f>IF($B64="","",'2-3_обработка'!L64)</f>
        <v>#REF!</v>
      </c>
      <c r="P64" s="83" t="e">
        <f>IF($B64="","",'2-3_обработка'!M64)</f>
        <v>#REF!</v>
      </c>
      <c r="Q64" s="83" t="e">
        <f>IF($B64="","",'2-3_обработка'!N64)</f>
        <v>#REF!</v>
      </c>
      <c r="R64" s="83" t="e">
        <f>IF($B64="","",'2-3_обработка'!O64)</f>
        <v>#REF!</v>
      </c>
      <c r="S64" s="83" t="e">
        <f>IF($B64="","",'2-3_обработка'!P64)</f>
        <v>#REF!</v>
      </c>
      <c r="T64" s="83" t="e">
        <f>IF($B64="","",'2-3_обработка'!Q64)</f>
        <v>#REF!</v>
      </c>
      <c r="U64" s="83" t="e">
        <f>IF($B64="","",'2-3_обработка'!R64)</f>
        <v>#REF!</v>
      </c>
      <c r="V64" s="83" t="e">
        <f>IF($B64="","",'2-3_обработка'!S64)</f>
        <v>#REF!</v>
      </c>
      <c r="W64" s="83" t="e">
        <f>IF($B64="","",'2-3_обработка'!T64)</f>
        <v>#REF!</v>
      </c>
      <c r="X64" s="83" t="e">
        <f>IF($B64="","",'2-3_обработка'!U64)</f>
        <v>#REF!</v>
      </c>
      <c r="Y64" s="85" t="e">
        <f>IF($B64="","",'2-3_обработка'!V64)</f>
        <v>#REF!</v>
      </c>
      <c r="Z64" s="85" t="e">
        <f>IF($B64="","",'2-3_обработка'!W64)</f>
        <v>#REF!</v>
      </c>
      <c r="AA64" s="85" t="e">
        <f>IF($B64="","",'2-3_обработка'!X64)</f>
        <v>#REF!</v>
      </c>
      <c r="AB64" s="83" t="s">
        <v>132</v>
      </c>
      <c r="AC64" s="83"/>
    </row>
    <row r="65" spans="1:29" ht="18" customHeight="1">
      <c r="A65" s="80">
        <v>64</v>
      </c>
      <c r="B65" s="87" t="e">
        <f>IF(ЦТО!#REF!="","",ЦТО!#REF!)</f>
        <v>#REF!</v>
      </c>
      <c r="C65" s="80" t="e">
        <f>IF(ЦТО!#REF!="","",ЦТО!#REF!)</f>
        <v>#REF!</v>
      </c>
      <c r="D65" s="82" t="e">
        <f>IF(ЦТО!#REF!="","",ЦТО!#REF!)</f>
        <v>#REF!</v>
      </c>
      <c r="E65" s="80" t="e">
        <f>IF($B65="","",'1_обработка CО,ВК,ЭК'!F67)</f>
        <v>#REF!</v>
      </c>
      <c r="F65" s="80" t="e">
        <f>IF($B65="","",'1_обработка CО,ВК,ЭК'!H66)</f>
        <v>#REF!</v>
      </c>
      <c r="G65" s="80" t="e">
        <f>IF($B65="","",'1_обработка CО,ВК,ЭК'!I66)</f>
        <v>#REF!</v>
      </c>
      <c r="H65" s="80" t="e">
        <f>IF($B65="","",'2-3_обработка'!E65)</f>
        <v>#REF!</v>
      </c>
      <c r="I65" s="80" t="e">
        <f>IF($B65="","",'2-3_обработка'!F65)</f>
        <v>#REF!</v>
      </c>
      <c r="J65" s="80" t="e">
        <f>IF($B65="","",'2-3_обработка'!G65)</f>
        <v>#REF!</v>
      </c>
      <c r="K65" s="80" t="e">
        <f>IF($B65="","",'2-3_обработка'!H65)</f>
        <v>#REF!</v>
      </c>
      <c r="L65" s="80" t="e">
        <f>IF($B65="","",'2-3_обработка'!I65)</f>
        <v>#REF!</v>
      </c>
      <c r="M65" s="80" t="e">
        <f>IF($B65="","",'2-3_обработка'!J65)</f>
        <v>#REF!</v>
      </c>
      <c r="N65" s="80" t="e">
        <f>IF($B65="","",'2-3_обработка'!K65)</f>
        <v>#REF!</v>
      </c>
      <c r="O65" s="80" t="e">
        <f>IF($B65="","",'2-3_обработка'!L65)</f>
        <v>#REF!</v>
      </c>
      <c r="P65" s="80" t="e">
        <f>IF($B65="","",'2-3_обработка'!M65)</f>
        <v>#REF!</v>
      </c>
      <c r="Q65" s="80" t="e">
        <f>IF($B65="","",'2-3_обработка'!N65)</f>
        <v>#REF!</v>
      </c>
      <c r="R65" s="80" t="e">
        <f>IF($B65="","",'2-3_обработка'!O65)</f>
        <v>#REF!</v>
      </c>
      <c r="S65" s="80" t="e">
        <f>IF($B65="","",'2-3_обработка'!P65)</f>
        <v>#REF!</v>
      </c>
      <c r="T65" s="80" t="e">
        <f>IF($B65="","",'2-3_обработка'!Q65)</f>
        <v>#REF!</v>
      </c>
      <c r="U65" s="80" t="e">
        <f>IF($B65="","",'2-3_обработка'!R65)</f>
        <v>#REF!</v>
      </c>
      <c r="V65" s="80" t="e">
        <f>IF($B65="","",'2-3_обработка'!S65)</f>
        <v>#REF!</v>
      </c>
      <c r="W65" s="80" t="e">
        <f>IF($B65="","",'2-3_обработка'!T65)</f>
        <v>#REF!</v>
      </c>
      <c r="X65" s="80" t="e">
        <f>IF($B65="","",'2-3_обработка'!U65)</f>
        <v>#REF!</v>
      </c>
      <c r="Y65" s="81" t="e">
        <f>IF($B65="","",'2-3_обработка'!V65)</f>
        <v>#REF!</v>
      </c>
      <c r="Z65" s="81" t="e">
        <f>IF($B65="","",'2-3_обработка'!W65)</f>
        <v>#REF!</v>
      </c>
      <c r="AA65" s="81" t="e">
        <f>IF($B65="","",'2-3_обработка'!X65)</f>
        <v>#REF!</v>
      </c>
      <c r="AB65" s="80" t="s">
        <v>131</v>
      </c>
    </row>
    <row r="66" spans="1:29" ht="18" customHeight="1">
      <c r="A66" s="80">
        <v>65</v>
      </c>
      <c r="B66" s="87" t="e">
        <f>IF(ЦТО!#REF!="","",ЦТО!#REF!)</f>
        <v>#REF!</v>
      </c>
      <c r="C66" s="80" t="e">
        <f>IF(ЦТО!#REF!="","",ЦТО!#REF!)</f>
        <v>#REF!</v>
      </c>
      <c r="D66" s="82" t="e">
        <f>IF(ЦТО!#REF!="","",ЦТО!#REF!)</f>
        <v>#REF!</v>
      </c>
      <c r="E66" s="80" t="e">
        <f>IF($B66="","",'1_обработка CО,ВК,ЭК'!F68)</f>
        <v>#REF!</v>
      </c>
      <c r="F66" s="80" t="e">
        <f>IF($B66="","",'1_обработка CО,ВК,ЭК'!H67)</f>
        <v>#REF!</v>
      </c>
      <c r="G66" s="80" t="e">
        <f>IF($B66="","",'1_обработка CО,ВК,ЭК'!I67)</f>
        <v>#REF!</v>
      </c>
      <c r="H66" s="80" t="e">
        <f>IF($B66="","",'2-3_обработка'!E66)</f>
        <v>#REF!</v>
      </c>
      <c r="I66" s="80" t="e">
        <f>IF($B66="","",'2-3_обработка'!F66)</f>
        <v>#REF!</v>
      </c>
      <c r="J66" s="80" t="e">
        <f>IF($B66="","",'2-3_обработка'!G66)</f>
        <v>#REF!</v>
      </c>
      <c r="K66" s="80" t="e">
        <f>IF($B66="","",'2-3_обработка'!H66)</f>
        <v>#REF!</v>
      </c>
      <c r="L66" s="80" t="e">
        <f>IF($B66="","",'2-3_обработка'!I66)</f>
        <v>#REF!</v>
      </c>
      <c r="M66" s="80" t="e">
        <f>IF($B66="","",'2-3_обработка'!J66)</f>
        <v>#REF!</v>
      </c>
      <c r="N66" s="80" t="e">
        <f>IF($B66="","",'2-3_обработка'!K66)</f>
        <v>#REF!</v>
      </c>
      <c r="O66" s="80" t="e">
        <f>IF($B66="","",'2-3_обработка'!L66)</f>
        <v>#REF!</v>
      </c>
      <c r="P66" s="80" t="e">
        <f>IF($B66="","",'2-3_обработка'!M66)</f>
        <v>#REF!</v>
      </c>
      <c r="Q66" s="80" t="e">
        <f>IF($B66="","",'2-3_обработка'!N66)</f>
        <v>#REF!</v>
      </c>
      <c r="R66" s="80" t="e">
        <f>IF($B66="","",'2-3_обработка'!O66)</f>
        <v>#REF!</v>
      </c>
      <c r="S66" s="80" t="e">
        <f>IF($B66="","",'2-3_обработка'!P66)</f>
        <v>#REF!</v>
      </c>
      <c r="T66" s="80" t="e">
        <f>IF($B66="","",'2-3_обработка'!Q66)</f>
        <v>#REF!</v>
      </c>
      <c r="U66" s="80" t="e">
        <f>IF($B66="","",'2-3_обработка'!R66)</f>
        <v>#REF!</v>
      </c>
      <c r="V66" s="80" t="e">
        <f>IF($B66="","",'2-3_обработка'!S66)</f>
        <v>#REF!</v>
      </c>
      <c r="W66" s="80" t="e">
        <f>IF($B66="","",'2-3_обработка'!T66)</f>
        <v>#REF!</v>
      </c>
      <c r="X66" s="80" t="e">
        <f>IF($B66="","",'2-3_обработка'!U66)</f>
        <v>#REF!</v>
      </c>
      <c r="Y66" s="81" t="e">
        <f>IF($B66="","",'2-3_обработка'!V66)</f>
        <v>#REF!</v>
      </c>
      <c r="Z66" s="81" t="e">
        <f>IF($B66="","",'2-3_обработка'!W66)</f>
        <v>#REF!</v>
      </c>
      <c r="AA66" s="81" t="e">
        <f>IF($B66="","",'2-3_обработка'!X66)</f>
        <v>#REF!</v>
      </c>
      <c r="AB66" s="80" t="s">
        <v>134</v>
      </c>
    </row>
    <row r="67" spans="1:29" ht="18" customHeight="1">
      <c r="A67" s="80">
        <v>66</v>
      </c>
      <c r="B67" s="87" t="e">
        <f>IF(ЦТО!#REF!="","",ЦТО!#REF!)</f>
        <v>#REF!</v>
      </c>
      <c r="C67" s="80" t="e">
        <f>IF(ЦТО!#REF!="","",ЦТО!#REF!)</f>
        <v>#REF!</v>
      </c>
      <c r="D67" s="82" t="e">
        <f>IF(ЦТО!#REF!="","",ЦТО!#REF!)</f>
        <v>#REF!</v>
      </c>
      <c r="E67" s="80" t="e">
        <f>IF($B67="","",'1_обработка CО,ВК,ЭК'!F69)</f>
        <v>#REF!</v>
      </c>
      <c r="F67" s="80" t="e">
        <f>IF($B67="","",'1_обработка CО,ВК,ЭК'!H68)</f>
        <v>#REF!</v>
      </c>
      <c r="G67" s="80" t="e">
        <f>IF($B67="","",'1_обработка CО,ВК,ЭК'!I68)</f>
        <v>#REF!</v>
      </c>
      <c r="H67" s="80" t="e">
        <f>IF($B67="","",'2-3_обработка'!E67)</f>
        <v>#REF!</v>
      </c>
      <c r="I67" s="80" t="e">
        <f>IF($B67="","",'2-3_обработка'!F67)</f>
        <v>#REF!</v>
      </c>
      <c r="J67" s="80" t="e">
        <f>IF($B67="","",'2-3_обработка'!G67)</f>
        <v>#REF!</v>
      </c>
      <c r="K67" s="80" t="e">
        <f>IF($B67="","",'2-3_обработка'!H67)</f>
        <v>#REF!</v>
      </c>
      <c r="L67" s="80" t="e">
        <f>IF($B67="","",'2-3_обработка'!I67)</f>
        <v>#REF!</v>
      </c>
      <c r="M67" s="80" t="e">
        <f>IF($B67="","",'2-3_обработка'!J67)</f>
        <v>#REF!</v>
      </c>
      <c r="N67" s="80" t="e">
        <f>IF($B67="","",'2-3_обработка'!K67)</f>
        <v>#REF!</v>
      </c>
      <c r="O67" s="80" t="e">
        <f>IF($B67="","",'2-3_обработка'!L67)</f>
        <v>#REF!</v>
      </c>
      <c r="P67" s="80" t="e">
        <f>IF($B67="","",'2-3_обработка'!M67)</f>
        <v>#REF!</v>
      </c>
      <c r="Q67" s="80" t="e">
        <f>IF($B67="","",'2-3_обработка'!N67)</f>
        <v>#REF!</v>
      </c>
      <c r="R67" s="80" t="e">
        <f>IF($B67="","",'2-3_обработка'!O67)</f>
        <v>#REF!</v>
      </c>
      <c r="S67" s="80" t="e">
        <f>IF($B67="","",'2-3_обработка'!P67)</f>
        <v>#REF!</v>
      </c>
      <c r="T67" s="80" t="e">
        <f>IF($B67="","",'2-3_обработка'!Q67)</f>
        <v>#REF!</v>
      </c>
      <c r="U67" s="80" t="e">
        <f>IF($B67="","",'2-3_обработка'!R67)</f>
        <v>#REF!</v>
      </c>
      <c r="V67" s="80" t="e">
        <f>IF($B67="","",'2-3_обработка'!S67)</f>
        <v>#REF!</v>
      </c>
      <c r="W67" s="80" t="e">
        <f>IF($B67="","",'2-3_обработка'!T67)</f>
        <v>#REF!</v>
      </c>
      <c r="X67" s="80" t="e">
        <f>IF($B67="","",'2-3_обработка'!U67)</f>
        <v>#REF!</v>
      </c>
      <c r="Y67" s="81" t="e">
        <f>IF($B67="","",'2-3_обработка'!V67)</f>
        <v>#REF!</v>
      </c>
      <c r="Z67" s="81" t="e">
        <f>IF($B67="","",'2-3_обработка'!W67)</f>
        <v>#REF!</v>
      </c>
      <c r="AA67" s="81" t="e">
        <f>IF($B67="","",'2-3_обработка'!X67)</f>
        <v>#REF!</v>
      </c>
      <c r="AB67" s="80" t="s">
        <v>134</v>
      </c>
    </row>
    <row r="68" spans="1:29" s="86" customFormat="1" ht="18" customHeight="1">
      <c r="A68" s="83">
        <v>67</v>
      </c>
      <c r="B68" s="88" t="e">
        <f>IF(ЦТО!#REF!="","",ЦТО!#REF!)</f>
        <v>#REF!</v>
      </c>
      <c r="C68" s="83" t="e">
        <f>IF(ЦТО!#REF!="","",ЦТО!#REF!)</f>
        <v>#REF!</v>
      </c>
      <c r="D68" s="84" t="e">
        <f>IF(ЦТО!#REF!="","",ЦТО!#REF!)</f>
        <v>#REF!</v>
      </c>
      <c r="E68" s="80" t="e">
        <f>IF($B68="","",'1_обработка CО,ВК,ЭК'!F70)</f>
        <v>#REF!</v>
      </c>
      <c r="F68" s="80" t="e">
        <f>IF($B68="","",'1_обработка CО,ВК,ЭК'!H69)</f>
        <v>#REF!</v>
      </c>
      <c r="G68" s="80" t="e">
        <f>IF($B68="","",'1_обработка CО,ВК,ЭК'!I69)</f>
        <v>#REF!</v>
      </c>
      <c r="H68" s="83" t="e">
        <f>IF($B68="","",'2-3_обработка'!E68)</f>
        <v>#REF!</v>
      </c>
      <c r="I68" s="83" t="e">
        <f>IF($B68="","",'2-3_обработка'!F68)</f>
        <v>#REF!</v>
      </c>
      <c r="J68" s="83" t="e">
        <f>IF($B68="","",'2-3_обработка'!G68)</f>
        <v>#REF!</v>
      </c>
      <c r="K68" s="83" t="e">
        <f>IF($B68="","",'2-3_обработка'!H68)</f>
        <v>#REF!</v>
      </c>
      <c r="L68" s="83" t="e">
        <f>IF($B68="","",'2-3_обработка'!I68)</f>
        <v>#REF!</v>
      </c>
      <c r="M68" s="83" t="e">
        <f>IF($B68="","",'2-3_обработка'!J68)</f>
        <v>#REF!</v>
      </c>
      <c r="N68" s="83" t="e">
        <f>IF($B68="","",'2-3_обработка'!K68)</f>
        <v>#REF!</v>
      </c>
      <c r="O68" s="83" t="e">
        <f>IF($B68="","",'2-3_обработка'!L68)</f>
        <v>#REF!</v>
      </c>
      <c r="P68" s="83" t="e">
        <f>IF($B68="","",'2-3_обработка'!M68)</f>
        <v>#REF!</v>
      </c>
      <c r="Q68" s="83" t="e">
        <f>IF($B68="","",'2-3_обработка'!N68)</f>
        <v>#REF!</v>
      </c>
      <c r="R68" s="83" t="e">
        <f>IF($B68="","",'2-3_обработка'!O68)</f>
        <v>#REF!</v>
      </c>
      <c r="S68" s="83" t="e">
        <f>IF($B68="","",'2-3_обработка'!P68)</f>
        <v>#REF!</v>
      </c>
      <c r="T68" s="83" t="e">
        <f>IF($B68="","",'2-3_обработка'!Q68)</f>
        <v>#REF!</v>
      </c>
      <c r="U68" s="83" t="e">
        <f>IF($B68="","",'2-3_обработка'!R68)</f>
        <v>#REF!</v>
      </c>
      <c r="V68" s="83" t="e">
        <f>IF($B68="","",'2-3_обработка'!S68)</f>
        <v>#REF!</v>
      </c>
      <c r="W68" s="83" t="e">
        <f>IF($B68="","",'2-3_обработка'!T68)</f>
        <v>#REF!</v>
      </c>
      <c r="X68" s="83" t="e">
        <f>IF($B68="","",'2-3_обработка'!U68)</f>
        <v>#REF!</v>
      </c>
      <c r="Y68" s="85" t="e">
        <f>IF($B68="","",'2-3_обработка'!V68)</f>
        <v>#REF!</v>
      </c>
      <c r="Z68" s="85" t="e">
        <f>IF($B68="","",'2-3_обработка'!W68)</f>
        <v>#REF!</v>
      </c>
      <c r="AA68" s="85" t="e">
        <f>IF($B68="","",'2-3_обработка'!X68)</f>
        <v>#REF!</v>
      </c>
      <c r="AB68" s="83" t="s">
        <v>131</v>
      </c>
      <c r="AC68" s="83"/>
    </row>
    <row r="69" spans="1:29" ht="18" customHeight="1">
      <c r="A69" s="80">
        <v>68</v>
      </c>
      <c r="B69" s="87" t="e">
        <f>IF(ЦТО!#REF!="","",ЦТО!#REF!)</f>
        <v>#REF!</v>
      </c>
      <c r="C69" s="80" t="e">
        <f>IF(ЦТО!#REF!="","",ЦТО!#REF!)</f>
        <v>#REF!</v>
      </c>
      <c r="D69" s="82" t="e">
        <f>IF(ЦТО!#REF!="","",ЦТО!#REF!)</f>
        <v>#REF!</v>
      </c>
      <c r="E69" s="80" t="e">
        <f>IF($B69="","",'1_обработка CО,ВК,ЭК'!F71)</f>
        <v>#REF!</v>
      </c>
      <c r="F69" s="80" t="e">
        <f>IF($B69="","",'1_обработка CО,ВК,ЭК'!H70)</f>
        <v>#REF!</v>
      </c>
      <c r="G69" s="80" t="e">
        <f>IF($B69="","",'1_обработка CО,ВК,ЭК'!I70)</f>
        <v>#REF!</v>
      </c>
      <c r="H69" s="80" t="e">
        <f>IF($B69="","",'2-3_обработка'!E69)</f>
        <v>#REF!</v>
      </c>
      <c r="I69" s="80" t="e">
        <f>IF($B69="","",'2-3_обработка'!F69)</f>
        <v>#REF!</v>
      </c>
      <c r="J69" s="80" t="e">
        <f>IF($B69="","",'2-3_обработка'!G69)</f>
        <v>#REF!</v>
      </c>
      <c r="K69" s="80" t="e">
        <f>IF($B69="","",'2-3_обработка'!H69)</f>
        <v>#REF!</v>
      </c>
      <c r="L69" s="80" t="e">
        <f>IF($B69="","",'2-3_обработка'!I69)</f>
        <v>#REF!</v>
      </c>
      <c r="M69" s="80" t="e">
        <f>IF($B69="","",'2-3_обработка'!J69)</f>
        <v>#REF!</v>
      </c>
      <c r="N69" s="80" t="e">
        <f>IF($B69="","",'2-3_обработка'!K69)</f>
        <v>#REF!</v>
      </c>
      <c r="O69" s="80" t="e">
        <f>IF($B69="","",'2-3_обработка'!L69)</f>
        <v>#REF!</v>
      </c>
      <c r="P69" s="80" t="e">
        <f>IF($B69="","",'2-3_обработка'!M69)</f>
        <v>#REF!</v>
      </c>
      <c r="Q69" s="80" t="e">
        <f>IF($B69="","",'2-3_обработка'!N69)</f>
        <v>#REF!</v>
      </c>
      <c r="R69" s="80" t="e">
        <f>IF($B69="","",'2-3_обработка'!O69)</f>
        <v>#REF!</v>
      </c>
      <c r="S69" s="80" t="e">
        <f>IF($B69="","",'2-3_обработка'!P69)</f>
        <v>#REF!</v>
      </c>
      <c r="T69" s="80" t="e">
        <f>IF($B69="","",'2-3_обработка'!Q69)</f>
        <v>#REF!</v>
      </c>
      <c r="U69" s="80" t="e">
        <f>IF($B69="","",'2-3_обработка'!R69)</f>
        <v>#REF!</v>
      </c>
      <c r="V69" s="80" t="e">
        <f>IF($B69="","",'2-3_обработка'!S69)</f>
        <v>#REF!</v>
      </c>
      <c r="W69" s="80" t="e">
        <f>IF($B69="","",'2-3_обработка'!T69)</f>
        <v>#REF!</v>
      </c>
      <c r="X69" s="80" t="e">
        <f>IF($B69="","",'2-3_обработка'!U69)</f>
        <v>#REF!</v>
      </c>
      <c r="Y69" s="81" t="e">
        <f>IF($B69="","",'2-3_обработка'!V69)</f>
        <v>#REF!</v>
      </c>
      <c r="Z69" s="81" t="e">
        <f>IF($B69="","",'2-3_обработка'!W69)</f>
        <v>#REF!</v>
      </c>
      <c r="AA69" s="81" t="e">
        <f>IF($B69="","",'2-3_обработка'!X69)</f>
        <v>#REF!</v>
      </c>
    </row>
    <row r="70" spans="1:29" ht="18" customHeight="1">
      <c r="A70" s="80">
        <v>69</v>
      </c>
      <c r="B70" s="87" t="e">
        <f>IF(ЦТО!#REF!="","",ЦТО!#REF!)</f>
        <v>#REF!</v>
      </c>
      <c r="C70" s="80" t="e">
        <f>IF(ЦТО!#REF!="","",ЦТО!#REF!)</f>
        <v>#REF!</v>
      </c>
      <c r="D70" s="82" t="e">
        <f>IF(ЦТО!#REF!="","",ЦТО!#REF!)</f>
        <v>#REF!</v>
      </c>
      <c r="E70" s="80" t="e">
        <f>IF($B70="","",'1_обработка CО,ВК,ЭК'!F72)</f>
        <v>#REF!</v>
      </c>
      <c r="F70" s="80" t="e">
        <f>IF($B70="","",'1_обработка CО,ВК,ЭК'!H71)</f>
        <v>#REF!</v>
      </c>
      <c r="G70" s="80" t="e">
        <f>IF($B70="","",'1_обработка CО,ВК,ЭК'!I71)</f>
        <v>#REF!</v>
      </c>
      <c r="H70" s="80" t="e">
        <f>IF($B70="","",'2-3_обработка'!E70)</f>
        <v>#REF!</v>
      </c>
      <c r="I70" s="80" t="e">
        <f>IF($B70="","",'2-3_обработка'!F70)</f>
        <v>#REF!</v>
      </c>
      <c r="J70" s="80" t="e">
        <f>IF($B70="","",'2-3_обработка'!G70)</f>
        <v>#REF!</v>
      </c>
      <c r="K70" s="80" t="e">
        <f>IF($B70="","",'2-3_обработка'!H70)</f>
        <v>#REF!</v>
      </c>
      <c r="L70" s="80" t="e">
        <f>IF($B70="","",'2-3_обработка'!I70)</f>
        <v>#REF!</v>
      </c>
      <c r="M70" s="80" t="e">
        <f>IF($B70="","",'2-3_обработка'!J70)</f>
        <v>#REF!</v>
      </c>
      <c r="N70" s="80" t="e">
        <f>IF($B70="","",'2-3_обработка'!K70)</f>
        <v>#REF!</v>
      </c>
      <c r="O70" s="80" t="e">
        <f>IF($B70="","",'2-3_обработка'!L70)</f>
        <v>#REF!</v>
      </c>
      <c r="P70" s="80" t="e">
        <f>IF($B70="","",'2-3_обработка'!M70)</f>
        <v>#REF!</v>
      </c>
      <c r="Q70" s="80" t="e">
        <f>IF($B70="","",'2-3_обработка'!N70)</f>
        <v>#REF!</v>
      </c>
      <c r="R70" s="80" t="e">
        <f>IF($B70="","",'2-3_обработка'!O70)</f>
        <v>#REF!</v>
      </c>
      <c r="S70" s="80" t="e">
        <f>IF($B70="","",'2-3_обработка'!P70)</f>
        <v>#REF!</v>
      </c>
      <c r="T70" s="80" t="e">
        <f>IF($B70="","",'2-3_обработка'!Q70)</f>
        <v>#REF!</v>
      </c>
      <c r="U70" s="80" t="e">
        <f>IF($B70="","",'2-3_обработка'!R70)</f>
        <v>#REF!</v>
      </c>
      <c r="V70" s="80" t="e">
        <f>IF($B70="","",'2-3_обработка'!S70)</f>
        <v>#REF!</v>
      </c>
      <c r="W70" s="80" t="e">
        <f>IF($B70="","",'2-3_обработка'!T70)</f>
        <v>#REF!</v>
      </c>
      <c r="X70" s="80" t="e">
        <f>IF($B70="","",'2-3_обработка'!U70)</f>
        <v>#REF!</v>
      </c>
      <c r="Y70" s="81" t="e">
        <f>IF($B70="","",'2-3_обработка'!V70)</f>
        <v>#REF!</v>
      </c>
      <c r="Z70" s="81" t="e">
        <f>IF($B70="","",'2-3_обработка'!W70)</f>
        <v>#REF!</v>
      </c>
      <c r="AA70" s="81" t="e">
        <f>IF($B70="","",'2-3_обработка'!X70)</f>
        <v>#REF!</v>
      </c>
      <c r="AB70" s="80" t="s">
        <v>133</v>
      </c>
    </row>
    <row r="71" spans="1:29" ht="18" customHeight="1">
      <c r="A71" s="80">
        <v>70</v>
      </c>
      <c r="B71" s="87" t="e">
        <f>IF(ЦТО!#REF!="","",ЦТО!#REF!)</f>
        <v>#REF!</v>
      </c>
      <c r="C71" s="80" t="e">
        <f>IF(ЦТО!#REF!="","",ЦТО!#REF!)</f>
        <v>#REF!</v>
      </c>
      <c r="D71" s="82" t="e">
        <f>IF(ЦТО!#REF!="","",ЦТО!#REF!)</f>
        <v>#REF!</v>
      </c>
      <c r="E71" s="80" t="e">
        <f>IF($B71="","",'1_обработка CО,ВК,ЭК'!F73)</f>
        <v>#REF!</v>
      </c>
      <c r="F71" s="80" t="e">
        <f>IF($B71="","",'1_обработка CО,ВК,ЭК'!H72)</f>
        <v>#REF!</v>
      </c>
      <c r="G71" s="80" t="e">
        <f>IF($B71="","",'1_обработка CО,ВК,ЭК'!I72)</f>
        <v>#REF!</v>
      </c>
      <c r="H71" s="80" t="e">
        <f>IF($B71="","",'2-3_обработка'!E71)</f>
        <v>#REF!</v>
      </c>
      <c r="I71" s="80" t="e">
        <f>IF($B71="","",'2-3_обработка'!F71)</f>
        <v>#REF!</v>
      </c>
      <c r="J71" s="80" t="e">
        <f>IF($B71="","",'2-3_обработка'!G71)</f>
        <v>#REF!</v>
      </c>
      <c r="K71" s="80" t="e">
        <f>IF($B71="","",'2-3_обработка'!H71)</f>
        <v>#REF!</v>
      </c>
      <c r="L71" s="80" t="e">
        <f>IF($B71="","",'2-3_обработка'!I71)</f>
        <v>#REF!</v>
      </c>
      <c r="M71" s="80" t="e">
        <f>IF($B71="","",'2-3_обработка'!J71)</f>
        <v>#REF!</v>
      </c>
      <c r="N71" s="80" t="e">
        <f>IF($B71="","",'2-3_обработка'!K71)</f>
        <v>#REF!</v>
      </c>
      <c r="O71" s="80" t="e">
        <f>IF($B71="","",'2-3_обработка'!L71)</f>
        <v>#REF!</v>
      </c>
      <c r="P71" s="80" t="e">
        <f>IF($B71="","",'2-3_обработка'!M71)</f>
        <v>#REF!</v>
      </c>
      <c r="Q71" s="80" t="e">
        <f>IF($B71="","",'2-3_обработка'!N71)</f>
        <v>#REF!</v>
      </c>
      <c r="R71" s="80" t="e">
        <f>IF($B71="","",'2-3_обработка'!O71)</f>
        <v>#REF!</v>
      </c>
      <c r="S71" s="80" t="e">
        <f>IF($B71="","",'2-3_обработка'!P71)</f>
        <v>#REF!</v>
      </c>
      <c r="T71" s="80" t="e">
        <f>IF($B71="","",'2-3_обработка'!Q71)</f>
        <v>#REF!</v>
      </c>
      <c r="U71" s="80" t="e">
        <f>IF($B71="","",'2-3_обработка'!R71)</f>
        <v>#REF!</v>
      </c>
      <c r="V71" s="80" t="e">
        <f>IF($B71="","",'2-3_обработка'!S71)</f>
        <v>#REF!</v>
      </c>
      <c r="W71" s="80" t="e">
        <f>IF($B71="","",'2-3_обработка'!T71)</f>
        <v>#REF!</v>
      </c>
      <c r="X71" s="80" t="e">
        <f>IF($B71="","",'2-3_обработка'!U71)</f>
        <v>#REF!</v>
      </c>
      <c r="Y71" s="81" t="e">
        <f>IF($B71="","",'2-3_обработка'!V71)</f>
        <v>#REF!</v>
      </c>
      <c r="Z71" s="81" t="e">
        <f>IF($B71="","",'2-3_обработка'!W71)</f>
        <v>#REF!</v>
      </c>
      <c r="AA71" s="81" t="e">
        <f>IF($B71="","",'2-3_обработка'!X71)</f>
        <v>#REF!</v>
      </c>
      <c r="AB71" s="80" t="s">
        <v>131</v>
      </c>
    </row>
    <row r="72" spans="1:29" ht="18" customHeight="1">
      <c r="A72" s="80">
        <v>71</v>
      </c>
      <c r="B72" s="87" t="e">
        <f>IF(ЦТО!#REF!="","",ЦТО!#REF!)</f>
        <v>#REF!</v>
      </c>
      <c r="C72" s="80" t="e">
        <f>IF(ЦТО!#REF!="","",ЦТО!#REF!)</f>
        <v>#REF!</v>
      </c>
      <c r="D72" s="82" t="e">
        <f>IF(ЦТО!#REF!="","",ЦТО!#REF!)</f>
        <v>#REF!</v>
      </c>
      <c r="E72" s="80" t="e">
        <f>IF($B72="","",'1_обработка CО,ВК,ЭК'!F74)</f>
        <v>#REF!</v>
      </c>
      <c r="F72" s="80" t="e">
        <f>IF($B72="","",'1_обработка CО,ВК,ЭК'!H73)</f>
        <v>#REF!</v>
      </c>
      <c r="G72" s="80" t="e">
        <f>IF($B72="","",'1_обработка CО,ВК,ЭК'!I73)</f>
        <v>#REF!</v>
      </c>
      <c r="H72" s="80" t="e">
        <f>IF($B72="","",'2-3_обработка'!E72)</f>
        <v>#REF!</v>
      </c>
      <c r="I72" s="80" t="e">
        <f>IF($B72="","",'2-3_обработка'!F72)</f>
        <v>#REF!</v>
      </c>
      <c r="J72" s="80" t="e">
        <f>IF($B72="","",'2-3_обработка'!G72)</f>
        <v>#REF!</v>
      </c>
      <c r="K72" s="80" t="e">
        <f>IF($B72="","",'2-3_обработка'!H72)</f>
        <v>#REF!</v>
      </c>
      <c r="L72" s="80" t="e">
        <f>IF($B72="","",'2-3_обработка'!I72)</f>
        <v>#REF!</v>
      </c>
      <c r="M72" s="80" t="e">
        <f>IF($B72="","",'2-3_обработка'!J72)</f>
        <v>#REF!</v>
      </c>
      <c r="N72" s="80" t="e">
        <f>IF($B72="","",'2-3_обработка'!K72)</f>
        <v>#REF!</v>
      </c>
      <c r="O72" s="80" t="e">
        <f>IF($B72="","",'2-3_обработка'!L72)</f>
        <v>#REF!</v>
      </c>
      <c r="P72" s="80" t="e">
        <f>IF($B72="","",'2-3_обработка'!M72)</f>
        <v>#REF!</v>
      </c>
      <c r="Q72" s="80" t="e">
        <f>IF($B72="","",'2-3_обработка'!N72)</f>
        <v>#REF!</v>
      </c>
      <c r="R72" s="80" t="e">
        <f>IF($B72="","",'2-3_обработка'!O72)</f>
        <v>#REF!</v>
      </c>
      <c r="S72" s="80" t="e">
        <f>IF($B72="","",'2-3_обработка'!P72)</f>
        <v>#REF!</v>
      </c>
      <c r="T72" s="80" t="e">
        <f>IF($B72="","",'2-3_обработка'!Q72)</f>
        <v>#REF!</v>
      </c>
      <c r="U72" s="80" t="e">
        <f>IF($B72="","",'2-3_обработка'!R72)</f>
        <v>#REF!</v>
      </c>
      <c r="V72" s="80" t="e">
        <f>IF($B72="","",'2-3_обработка'!S72)</f>
        <v>#REF!</v>
      </c>
      <c r="W72" s="80" t="e">
        <f>IF($B72="","",'2-3_обработка'!T72)</f>
        <v>#REF!</v>
      </c>
      <c r="X72" s="80" t="e">
        <f>IF($B72="","",'2-3_обработка'!U72)</f>
        <v>#REF!</v>
      </c>
      <c r="Y72" s="81" t="e">
        <f>IF($B72="","",'2-3_обработка'!V72)</f>
        <v>#REF!</v>
      </c>
      <c r="Z72" s="81" t="e">
        <f>IF($B72="","",'2-3_обработка'!W72)</f>
        <v>#REF!</v>
      </c>
      <c r="AA72" s="81" t="e">
        <f>IF($B72="","",'2-3_обработка'!X72)</f>
        <v>#REF!</v>
      </c>
      <c r="AB72" s="80" t="s">
        <v>134</v>
      </c>
    </row>
    <row r="73" spans="1:29" ht="18" customHeight="1">
      <c r="A73" s="80">
        <v>72</v>
      </c>
      <c r="B73" s="87" t="e">
        <f>IF(ЦТО!#REF!="","",ЦТО!#REF!)</f>
        <v>#REF!</v>
      </c>
      <c r="C73" s="80" t="e">
        <f>IF(ЦТО!#REF!="","",ЦТО!#REF!)</f>
        <v>#REF!</v>
      </c>
      <c r="D73" s="82" t="e">
        <f>IF(ЦТО!#REF!="","",ЦТО!#REF!)</f>
        <v>#REF!</v>
      </c>
      <c r="E73" s="80" t="e">
        <f>IF($B73="","",'1_обработка CО,ВК,ЭК'!F75)</f>
        <v>#REF!</v>
      </c>
      <c r="F73" s="80" t="e">
        <f>IF($B73="","",'1_обработка CО,ВК,ЭК'!H74)</f>
        <v>#REF!</v>
      </c>
      <c r="G73" s="80" t="e">
        <f>IF($B73="","",'1_обработка CО,ВК,ЭК'!I74)</f>
        <v>#REF!</v>
      </c>
      <c r="H73" s="80" t="e">
        <f>IF($B73="","",'2-3_обработка'!E73)</f>
        <v>#REF!</v>
      </c>
      <c r="I73" s="80" t="e">
        <f>IF($B73="","",'2-3_обработка'!F73)</f>
        <v>#REF!</v>
      </c>
      <c r="J73" s="80" t="e">
        <f>IF($B73="","",'2-3_обработка'!G73)</f>
        <v>#REF!</v>
      </c>
      <c r="K73" s="80" t="e">
        <f>IF($B73="","",'2-3_обработка'!H73)</f>
        <v>#REF!</v>
      </c>
      <c r="L73" s="80" t="e">
        <f>IF($B73="","",'2-3_обработка'!I73)</f>
        <v>#REF!</v>
      </c>
      <c r="M73" s="80" t="e">
        <f>IF($B73="","",'2-3_обработка'!J73)</f>
        <v>#REF!</v>
      </c>
      <c r="N73" s="80" t="e">
        <f>IF($B73="","",'2-3_обработка'!K73)</f>
        <v>#REF!</v>
      </c>
      <c r="O73" s="80" t="e">
        <f>IF($B73="","",'2-3_обработка'!L73)</f>
        <v>#REF!</v>
      </c>
      <c r="P73" s="80" t="e">
        <f>IF($B73="","",'2-3_обработка'!M73)</f>
        <v>#REF!</v>
      </c>
      <c r="Q73" s="80" t="e">
        <f>IF($B73="","",'2-3_обработка'!N73)</f>
        <v>#REF!</v>
      </c>
      <c r="R73" s="80" t="e">
        <f>IF($B73="","",'2-3_обработка'!O73)</f>
        <v>#REF!</v>
      </c>
      <c r="S73" s="80" t="e">
        <f>IF($B73="","",'2-3_обработка'!P73)</f>
        <v>#REF!</v>
      </c>
      <c r="T73" s="80" t="e">
        <f>IF($B73="","",'2-3_обработка'!Q73)</f>
        <v>#REF!</v>
      </c>
      <c r="U73" s="80" t="e">
        <f>IF($B73="","",'2-3_обработка'!R73)</f>
        <v>#REF!</v>
      </c>
      <c r="V73" s="80" t="e">
        <f>IF($B73="","",'2-3_обработка'!S73)</f>
        <v>#REF!</v>
      </c>
      <c r="W73" s="80" t="e">
        <f>IF($B73="","",'2-3_обработка'!T73)</f>
        <v>#REF!</v>
      </c>
      <c r="X73" s="80" t="e">
        <f>IF($B73="","",'2-3_обработка'!U73)</f>
        <v>#REF!</v>
      </c>
      <c r="Y73" s="81" t="e">
        <f>IF($B73="","",'2-3_обработка'!V73)</f>
        <v>#REF!</v>
      </c>
      <c r="Z73" s="81" t="e">
        <f>IF($B73="","",'2-3_обработка'!W73)</f>
        <v>#REF!</v>
      </c>
      <c r="AA73" s="81" t="e">
        <f>IF($B73="","",'2-3_обработка'!X73)</f>
        <v>#REF!</v>
      </c>
      <c r="AB73" s="80" t="s">
        <v>133</v>
      </c>
    </row>
    <row r="74" spans="1:29" ht="18" customHeight="1">
      <c r="A74" s="80">
        <v>73</v>
      </c>
      <c r="B74" s="87" t="e">
        <f>IF(ЦТО!#REF!="","",ЦТО!#REF!)</f>
        <v>#REF!</v>
      </c>
      <c r="C74" s="80" t="e">
        <f>IF(ЦТО!#REF!="","",ЦТО!#REF!)</f>
        <v>#REF!</v>
      </c>
      <c r="D74" s="82" t="e">
        <f>IF(ЦТО!#REF!="","",ЦТО!#REF!)</f>
        <v>#REF!</v>
      </c>
      <c r="E74" s="80" t="e">
        <f>IF($B74="","",'1_обработка CО,ВК,ЭК'!F76)</f>
        <v>#REF!</v>
      </c>
      <c r="F74" s="80" t="e">
        <f>IF($B74="","",'1_обработка CО,ВК,ЭК'!H75)</f>
        <v>#REF!</v>
      </c>
      <c r="G74" s="80" t="e">
        <f>IF($B74="","",'1_обработка CО,ВК,ЭК'!I75)</f>
        <v>#REF!</v>
      </c>
      <c r="H74" s="80" t="e">
        <f>IF($B74="","",'2-3_обработка'!E74)</f>
        <v>#REF!</v>
      </c>
      <c r="I74" s="80" t="e">
        <f>IF($B74="","",'2-3_обработка'!F74)</f>
        <v>#REF!</v>
      </c>
      <c r="J74" s="80" t="e">
        <f>IF($B74="","",'2-3_обработка'!G74)</f>
        <v>#REF!</v>
      </c>
      <c r="K74" s="80" t="e">
        <f>IF($B74="","",'2-3_обработка'!H74)</f>
        <v>#REF!</v>
      </c>
      <c r="L74" s="80" t="e">
        <f>IF($B74="","",'2-3_обработка'!I74)</f>
        <v>#REF!</v>
      </c>
      <c r="M74" s="80" t="e">
        <f>IF($B74="","",'2-3_обработка'!J74)</f>
        <v>#REF!</v>
      </c>
      <c r="N74" s="80" t="e">
        <f>IF($B74="","",'2-3_обработка'!K74)</f>
        <v>#REF!</v>
      </c>
      <c r="O74" s="80" t="e">
        <f>IF($B74="","",'2-3_обработка'!L74)</f>
        <v>#REF!</v>
      </c>
      <c r="P74" s="80" t="e">
        <f>IF($B74="","",'2-3_обработка'!M74)</f>
        <v>#REF!</v>
      </c>
      <c r="Q74" s="80" t="e">
        <f>IF($B74="","",'2-3_обработка'!N74)</f>
        <v>#REF!</v>
      </c>
      <c r="R74" s="80" t="e">
        <f>IF($B74="","",'2-3_обработка'!O74)</f>
        <v>#REF!</v>
      </c>
      <c r="S74" s="80" t="e">
        <f>IF($B74="","",'2-3_обработка'!P74)</f>
        <v>#REF!</v>
      </c>
      <c r="T74" s="80" t="e">
        <f>IF($B74="","",'2-3_обработка'!Q74)</f>
        <v>#REF!</v>
      </c>
      <c r="U74" s="80" t="e">
        <f>IF($B74="","",'2-3_обработка'!R74)</f>
        <v>#REF!</v>
      </c>
      <c r="V74" s="80" t="e">
        <f>IF($B74="","",'2-3_обработка'!S74)</f>
        <v>#REF!</v>
      </c>
      <c r="W74" s="80" t="e">
        <f>IF($B74="","",'2-3_обработка'!T74)</f>
        <v>#REF!</v>
      </c>
      <c r="X74" s="80" t="e">
        <f>IF($B74="","",'2-3_обработка'!U74)</f>
        <v>#REF!</v>
      </c>
      <c r="Y74" s="81" t="e">
        <f>IF($B74="","",'2-3_обработка'!V74)</f>
        <v>#REF!</v>
      </c>
      <c r="Z74" s="81" t="e">
        <f>IF($B74="","",'2-3_обработка'!W74)</f>
        <v>#REF!</v>
      </c>
      <c r="AA74" s="81" t="e">
        <f>IF($B74="","",'2-3_обработка'!X74)</f>
        <v>#REF!</v>
      </c>
      <c r="AB74" s="80" t="s">
        <v>133</v>
      </c>
    </row>
    <row r="75" spans="1:29" s="86" customFormat="1" ht="18" customHeight="1">
      <c r="A75" s="83">
        <v>74</v>
      </c>
      <c r="B75" s="88" t="e">
        <f>IF(ЦТО!#REF!="","",ЦТО!#REF!)</f>
        <v>#REF!</v>
      </c>
      <c r="C75" s="83" t="e">
        <f>IF(ЦТО!#REF!="","",ЦТО!#REF!)</f>
        <v>#REF!</v>
      </c>
      <c r="D75" s="84" t="e">
        <f>IF(ЦТО!#REF!="","",ЦТО!#REF!)</f>
        <v>#REF!</v>
      </c>
      <c r="E75" s="80" t="e">
        <f>IF($B75="","",'1_обработка CО,ВК,ЭК'!F77)</f>
        <v>#REF!</v>
      </c>
      <c r="F75" s="80" t="e">
        <f>IF($B75="","",'1_обработка CО,ВК,ЭК'!H76)</f>
        <v>#REF!</v>
      </c>
      <c r="G75" s="80" t="e">
        <f>IF($B75="","",'1_обработка CО,ВК,ЭК'!I76)</f>
        <v>#REF!</v>
      </c>
      <c r="H75" s="83" t="e">
        <f>IF($B75="","",'2-3_обработка'!E75)</f>
        <v>#REF!</v>
      </c>
      <c r="I75" s="83" t="e">
        <f>IF($B75="","",'2-3_обработка'!F75)</f>
        <v>#REF!</v>
      </c>
      <c r="J75" s="83" t="e">
        <f>IF($B75="","",'2-3_обработка'!G75)</f>
        <v>#REF!</v>
      </c>
      <c r="K75" s="83" t="e">
        <f>IF($B75="","",'2-3_обработка'!H75)</f>
        <v>#REF!</v>
      </c>
      <c r="L75" s="83" t="e">
        <f>IF($B75="","",'2-3_обработка'!I75)</f>
        <v>#REF!</v>
      </c>
      <c r="M75" s="83" t="e">
        <f>IF($B75="","",'2-3_обработка'!J75)</f>
        <v>#REF!</v>
      </c>
      <c r="N75" s="83" t="e">
        <f>IF($B75="","",'2-3_обработка'!K75)</f>
        <v>#REF!</v>
      </c>
      <c r="O75" s="83" t="e">
        <f>IF($B75="","",'2-3_обработка'!L75)</f>
        <v>#REF!</v>
      </c>
      <c r="P75" s="83" t="e">
        <f>IF($B75="","",'2-3_обработка'!M75)</f>
        <v>#REF!</v>
      </c>
      <c r="Q75" s="83" t="e">
        <f>IF($B75="","",'2-3_обработка'!N75)</f>
        <v>#REF!</v>
      </c>
      <c r="R75" s="83" t="e">
        <f>IF($B75="","",'2-3_обработка'!O75)</f>
        <v>#REF!</v>
      </c>
      <c r="S75" s="83" t="e">
        <f>IF($B75="","",'2-3_обработка'!P75)</f>
        <v>#REF!</v>
      </c>
      <c r="T75" s="83" t="e">
        <f>IF($B75="","",'2-3_обработка'!Q75)</f>
        <v>#REF!</v>
      </c>
      <c r="U75" s="83" t="e">
        <f>IF($B75="","",'2-3_обработка'!R75)</f>
        <v>#REF!</v>
      </c>
      <c r="V75" s="83" t="e">
        <f>IF($B75="","",'2-3_обработка'!S75)</f>
        <v>#REF!</v>
      </c>
      <c r="W75" s="83" t="e">
        <f>IF($B75="","",'2-3_обработка'!T75)</f>
        <v>#REF!</v>
      </c>
      <c r="X75" s="83" t="e">
        <f>IF($B75="","",'2-3_обработка'!U75)</f>
        <v>#REF!</v>
      </c>
      <c r="Y75" s="85" t="e">
        <f>IF($B75="","",'2-3_обработка'!V75)</f>
        <v>#REF!</v>
      </c>
      <c r="Z75" s="85" t="e">
        <f>IF($B75="","",'2-3_обработка'!W75)</f>
        <v>#REF!</v>
      </c>
      <c r="AA75" s="85" t="e">
        <f>IF($B75="","",'2-3_обработка'!X75)</f>
        <v>#REF!</v>
      </c>
      <c r="AB75" s="83" t="s">
        <v>134</v>
      </c>
      <c r="AC75" s="83"/>
    </row>
    <row r="76" spans="1:29" ht="18" customHeight="1">
      <c r="A76" s="80">
        <v>75</v>
      </c>
      <c r="B76" s="87" t="e">
        <f>IF(ЦТО!#REF!="","",ЦТО!#REF!)</f>
        <v>#REF!</v>
      </c>
      <c r="C76" s="80" t="e">
        <f>IF(ЦТО!#REF!="","",ЦТО!#REF!)</f>
        <v>#REF!</v>
      </c>
      <c r="D76" s="82" t="e">
        <f>IF(ЦТО!#REF!="","",ЦТО!#REF!)</f>
        <v>#REF!</v>
      </c>
      <c r="E76" s="80" t="e">
        <f>IF($B76="","",'1_обработка CО,ВК,ЭК'!F78)</f>
        <v>#REF!</v>
      </c>
      <c r="F76" s="80" t="e">
        <f>IF($B76="","",'1_обработка CО,ВК,ЭК'!H77)</f>
        <v>#REF!</v>
      </c>
      <c r="G76" s="80" t="e">
        <f>IF($B76="","",'1_обработка CО,ВК,ЭК'!I77)</f>
        <v>#REF!</v>
      </c>
      <c r="H76" s="80" t="e">
        <f>IF($B76="","",'2-3_обработка'!E76)</f>
        <v>#REF!</v>
      </c>
      <c r="I76" s="80" t="e">
        <f>IF($B76="","",'2-3_обработка'!F76)</f>
        <v>#REF!</v>
      </c>
      <c r="J76" s="80" t="e">
        <f>IF($B76="","",'2-3_обработка'!G76)</f>
        <v>#REF!</v>
      </c>
      <c r="K76" s="80" t="e">
        <f>IF($B76="","",'2-3_обработка'!H76)</f>
        <v>#REF!</v>
      </c>
      <c r="L76" s="80" t="e">
        <f>IF($B76="","",'2-3_обработка'!I76)</f>
        <v>#REF!</v>
      </c>
      <c r="M76" s="80" t="e">
        <f>IF($B76="","",'2-3_обработка'!J76)</f>
        <v>#REF!</v>
      </c>
      <c r="N76" s="80" t="e">
        <f>IF($B76="","",'2-3_обработка'!K76)</f>
        <v>#REF!</v>
      </c>
      <c r="O76" s="80" t="e">
        <f>IF($B76="","",'2-3_обработка'!L76)</f>
        <v>#REF!</v>
      </c>
      <c r="P76" s="80" t="e">
        <f>IF($B76="","",'2-3_обработка'!M76)</f>
        <v>#REF!</v>
      </c>
      <c r="Q76" s="80" t="e">
        <f>IF($B76="","",'2-3_обработка'!N76)</f>
        <v>#REF!</v>
      </c>
      <c r="R76" s="80" t="e">
        <f>IF($B76="","",'2-3_обработка'!O76)</f>
        <v>#REF!</v>
      </c>
      <c r="S76" s="80" t="e">
        <f>IF($B76="","",'2-3_обработка'!P76)</f>
        <v>#REF!</v>
      </c>
      <c r="T76" s="80" t="e">
        <f>IF($B76="","",'2-3_обработка'!Q76)</f>
        <v>#REF!</v>
      </c>
      <c r="U76" s="80" t="e">
        <f>IF($B76="","",'2-3_обработка'!R76)</f>
        <v>#REF!</v>
      </c>
      <c r="V76" s="80" t="e">
        <f>IF($B76="","",'2-3_обработка'!S76)</f>
        <v>#REF!</v>
      </c>
      <c r="W76" s="80" t="e">
        <f>IF($B76="","",'2-3_обработка'!T76)</f>
        <v>#REF!</v>
      </c>
      <c r="X76" s="80" t="e">
        <f>IF($B76="","",'2-3_обработка'!U76)</f>
        <v>#REF!</v>
      </c>
      <c r="Y76" s="81" t="e">
        <f>IF($B76="","",'2-3_обработка'!V76)</f>
        <v>#REF!</v>
      </c>
      <c r="Z76" s="81" t="e">
        <f>IF($B76="","",'2-3_обработка'!W76)</f>
        <v>#REF!</v>
      </c>
      <c r="AA76" s="81" t="e">
        <f>IF($B76="","",'2-3_обработка'!X76)</f>
        <v>#REF!</v>
      </c>
      <c r="AB76" s="80" t="s">
        <v>134</v>
      </c>
    </row>
    <row r="77" spans="1:29" ht="18" customHeight="1">
      <c r="A77" s="80">
        <v>76</v>
      </c>
      <c r="B77" s="87" t="e">
        <f>IF(ЦТО!#REF!="","",ЦТО!#REF!)</f>
        <v>#REF!</v>
      </c>
      <c r="C77" s="80" t="e">
        <f>IF(ЦТО!#REF!="","",ЦТО!#REF!)</f>
        <v>#REF!</v>
      </c>
      <c r="D77" s="82" t="e">
        <f>IF(ЦТО!#REF!="","",ЦТО!#REF!)</f>
        <v>#REF!</v>
      </c>
      <c r="E77" s="80" t="e">
        <f>IF($B77="","",'1_обработка CО,ВК,ЭК'!F79)</f>
        <v>#REF!</v>
      </c>
      <c r="F77" s="80" t="e">
        <f>IF($B77="","",'1_обработка CО,ВК,ЭК'!H78)</f>
        <v>#REF!</v>
      </c>
      <c r="G77" s="80" t="e">
        <f>IF($B77="","",'1_обработка CО,ВК,ЭК'!I78)</f>
        <v>#REF!</v>
      </c>
      <c r="H77" s="80" t="e">
        <f>IF($B77="","",'2-3_обработка'!E77)</f>
        <v>#REF!</v>
      </c>
      <c r="I77" s="80" t="e">
        <f>IF($B77="","",'2-3_обработка'!F77)</f>
        <v>#REF!</v>
      </c>
      <c r="J77" s="80" t="e">
        <f>IF($B77="","",'2-3_обработка'!G77)</f>
        <v>#REF!</v>
      </c>
      <c r="K77" s="80" t="e">
        <f>IF($B77="","",'2-3_обработка'!H77)</f>
        <v>#REF!</v>
      </c>
      <c r="L77" s="80" t="e">
        <f>IF($B77="","",'2-3_обработка'!I77)</f>
        <v>#REF!</v>
      </c>
      <c r="M77" s="80" t="e">
        <f>IF($B77="","",'2-3_обработка'!J77)</f>
        <v>#REF!</v>
      </c>
      <c r="N77" s="80" t="e">
        <f>IF($B77="","",'2-3_обработка'!K77)</f>
        <v>#REF!</v>
      </c>
      <c r="O77" s="80" t="e">
        <f>IF($B77="","",'2-3_обработка'!L77)</f>
        <v>#REF!</v>
      </c>
      <c r="P77" s="80" t="e">
        <f>IF($B77="","",'2-3_обработка'!M77)</f>
        <v>#REF!</v>
      </c>
      <c r="Q77" s="80" t="e">
        <f>IF($B77="","",'2-3_обработка'!N77)</f>
        <v>#REF!</v>
      </c>
      <c r="R77" s="80" t="e">
        <f>IF($B77="","",'2-3_обработка'!O77)</f>
        <v>#REF!</v>
      </c>
      <c r="S77" s="80" t="e">
        <f>IF($B77="","",'2-3_обработка'!P77)</f>
        <v>#REF!</v>
      </c>
      <c r="T77" s="80" t="e">
        <f>IF($B77="","",'2-3_обработка'!Q77)</f>
        <v>#REF!</v>
      </c>
      <c r="U77" s="80" t="e">
        <f>IF($B77="","",'2-3_обработка'!R77)</f>
        <v>#REF!</v>
      </c>
      <c r="V77" s="80" t="e">
        <f>IF($B77="","",'2-3_обработка'!S77)</f>
        <v>#REF!</v>
      </c>
      <c r="W77" s="80" t="e">
        <f>IF($B77="","",'2-3_обработка'!T77)</f>
        <v>#REF!</v>
      </c>
      <c r="X77" s="80" t="e">
        <f>IF($B77="","",'2-3_обработка'!U77)</f>
        <v>#REF!</v>
      </c>
      <c r="Y77" s="81" t="e">
        <f>IF($B77="","",'2-3_обработка'!V77)</f>
        <v>#REF!</v>
      </c>
      <c r="Z77" s="81" t="e">
        <f>IF($B77="","",'2-3_обработка'!W77)</f>
        <v>#REF!</v>
      </c>
      <c r="AA77" s="81" t="e">
        <f>IF($B77="","",'2-3_обработка'!X77)</f>
        <v>#REF!</v>
      </c>
      <c r="AB77" s="80" t="s">
        <v>132</v>
      </c>
    </row>
    <row r="78" spans="1:29" ht="18" customHeight="1">
      <c r="A78" s="80">
        <v>77</v>
      </c>
      <c r="B78" s="87" t="e">
        <f>IF(ЦТО!#REF!="","",ЦТО!#REF!)</f>
        <v>#REF!</v>
      </c>
      <c r="C78" s="80" t="e">
        <f>IF(ЦТО!#REF!="","",ЦТО!#REF!)</f>
        <v>#REF!</v>
      </c>
      <c r="D78" s="82" t="e">
        <f>IF(ЦТО!#REF!="","",ЦТО!#REF!)</f>
        <v>#REF!</v>
      </c>
      <c r="E78" s="80" t="e">
        <f>IF($B78="","",'1_обработка CО,ВК,ЭК'!F80)</f>
        <v>#REF!</v>
      </c>
      <c r="F78" s="80" t="e">
        <f>IF($B78="","",'1_обработка CО,ВК,ЭК'!H79)</f>
        <v>#REF!</v>
      </c>
      <c r="G78" s="80" t="e">
        <f>IF($B78="","",'1_обработка CО,ВК,ЭК'!I79)</f>
        <v>#REF!</v>
      </c>
      <c r="H78" s="80" t="e">
        <f>IF($B78="","",'2-3_обработка'!E78)</f>
        <v>#REF!</v>
      </c>
      <c r="I78" s="80" t="e">
        <f>IF($B78="","",'2-3_обработка'!F78)</f>
        <v>#REF!</v>
      </c>
      <c r="J78" s="80" t="e">
        <f>IF($B78="","",'2-3_обработка'!G78)</f>
        <v>#REF!</v>
      </c>
      <c r="K78" s="80" t="e">
        <f>IF($B78="","",'2-3_обработка'!H78)</f>
        <v>#REF!</v>
      </c>
      <c r="L78" s="80" t="e">
        <f>IF($B78="","",'2-3_обработка'!I78)</f>
        <v>#REF!</v>
      </c>
      <c r="M78" s="80" t="e">
        <f>IF($B78="","",'2-3_обработка'!J78)</f>
        <v>#REF!</v>
      </c>
      <c r="N78" s="80" t="e">
        <f>IF($B78="","",'2-3_обработка'!K78)</f>
        <v>#REF!</v>
      </c>
      <c r="O78" s="80" t="e">
        <f>IF($B78="","",'2-3_обработка'!L78)</f>
        <v>#REF!</v>
      </c>
      <c r="P78" s="80" t="e">
        <f>IF($B78="","",'2-3_обработка'!M78)</f>
        <v>#REF!</v>
      </c>
      <c r="Q78" s="80" t="e">
        <f>IF($B78="","",'2-3_обработка'!N78)</f>
        <v>#REF!</v>
      </c>
      <c r="R78" s="80" t="e">
        <f>IF($B78="","",'2-3_обработка'!O78)</f>
        <v>#REF!</v>
      </c>
      <c r="S78" s="80" t="e">
        <f>IF($B78="","",'2-3_обработка'!P78)</f>
        <v>#REF!</v>
      </c>
      <c r="T78" s="80" t="e">
        <f>IF($B78="","",'2-3_обработка'!Q78)</f>
        <v>#REF!</v>
      </c>
      <c r="U78" s="80" t="e">
        <f>IF($B78="","",'2-3_обработка'!R78)</f>
        <v>#REF!</v>
      </c>
      <c r="V78" s="80" t="e">
        <f>IF($B78="","",'2-3_обработка'!S78)</f>
        <v>#REF!</v>
      </c>
      <c r="W78" s="80" t="e">
        <f>IF($B78="","",'2-3_обработка'!T78)</f>
        <v>#REF!</v>
      </c>
      <c r="X78" s="80" t="e">
        <f>IF($B78="","",'2-3_обработка'!U78)</f>
        <v>#REF!</v>
      </c>
      <c r="Y78" s="81" t="e">
        <f>IF($B78="","",'2-3_обработка'!V78)</f>
        <v>#REF!</v>
      </c>
      <c r="Z78" s="81" t="e">
        <f>IF($B78="","",'2-3_обработка'!W78)</f>
        <v>#REF!</v>
      </c>
      <c r="AA78" s="81" t="e">
        <f>IF($B78="","",'2-3_обработка'!X78)</f>
        <v>#REF!</v>
      </c>
      <c r="AB78" s="80" t="s">
        <v>134</v>
      </c>
    </row>
    <row r="79" spans="1:29" ht="18" customHeight="1">
      <c r="A79" s="80">
        <v>78</v>
      </c>
      <c r="B79" s="87" t="e">
        <f>IF(ЦТО!#REF!="","",ЦТО!#REF!)</f>
        <v>#REF!</v>
      </c>
      <c r="C79" s="80" t="e">
        <f>IF(ЦТО!#REF!="","",ЦТО!#REF!)</f>
        <v>#REF!</v>
      </c>
      <c r="D79" s="82" t="e">
        <f>IF(ЦТО!#REF!="","",ЦТО!#REF!)</f>
        <v>#REF!</v>
      </c>
      <c r="E79" s="80" t="e">
        <f>IF($B79="","",'1_обработка CО,ВК,ЭК'!F81)</f>
        <v>#REF!</v>
      </c>
      <c r="F79" s="80" t="e">
        <f>IF($B79="","",'1_обработка CО,ВК,ЭК'!H80)</f>
        <v>#REF!</v>
      </c>
      <c r="G79" s="80" t="e">
        <f>IF($B79="","",'1_обработка CО,ВК,ЭК'!I80)</f>
        <v>#REF!</v>
      </c>
      <c r="H79" s="80" t="e">
        <f>IF($B79="","",'2-3_обработка'!E79)</f>
        <v>#REF!</v>
      </c>
      <c r="I79" s="80" t="e">
        <f>IF($B79="","",'2-3_обработка'!F79)</f>
        <v>#REF!</v>
      </c>
      <c r="J79" s="80" t="e">
        <f>IF($B79="","",'2-3_обработка'!G79)</f>
        <v>#REF!</v>
      </c>
      <c r="K79" s="80" t="e">
        <f>IF($B79="","",'2-3_обработка'!H79)</f>
        <v>#REF!</v>
      </c>
      <c r="L79" s="80" t="e">
        <f>IF($B79="","",'2-3_обработка'!I79)</f>
        <v>#REF!</v>
      </c>
      <c r="M79" s="80" t="e">
        <f>IF($B79="","",'2-3_обработка'!J79)</f>
        <v>#REF!</v>
      </c>
      <c r="N79" s="80" t="e">
        <f>IF($B79="","",'2-3_обработка'!K79)</f>
        <v>#REF!</v>
      </c>
      <c r="O79" s="80" t="e">
        <f>IF($B79="","",'2-3_обработка'!L79)</f>
        <v>#REF!</v>
      </c>
      <c r="P79" s="80" t="e">
        <f>IF($B79="","",'2-3_обработка'!M79)</f>
        <v>#REF!</v>
      </c>
      <c r="Q79" s="80" t="e">
        <f>IF($B79="","",'2-3_обработка'!N79)</f>
        <v>#REF!</v>
      </c>
      <c r="R79" s="80" t="e">
        <f>IF($B79="","",'2-3_обработка'!O79)</f>
        <v>#REF!</v>
      </c>
      <c r="S79" s="80" t="e">
        <f>IF($B79="","",'2-3_обработка'!P79)</f>
        <v>#REF!</v>
      </c>
      <c r="T79" s="80" t="e">
        <f>IF($B79="","",'2-3_обработка'!Q79)</f>
        <v>#REF!</v>
      </c>
      <c r="U79" s="80" t="e">
        <f>IF($B79="","",'2-3_обработка'!R79)</f>
        <v>#REF!</v>
      </c>
      <c r="V79" s="80" t="e">
        <f>IF($B79="","",'2-3_обработка'!S79)</f>
        <v>#REF!</v>
      </c>
      <c r="W79" s="80" t="e">
        <f>IF($B79="","",'2-3_обработка'!T79)</f>
        <v>#REF!</v>
      </c>
      <c r="X79" s="80" t="e">
        <f>IF($B79="","",'2-3_обработка'!U79)</f>
        <v>#REF!</v>
      </c>
      <c r="Y79" s="81" t="e">
        <f>IF($B79="","",'2-3_обработка'!V79)</f>
        <v>#REF!</v>
      </c>
      <c r="Z79" s="81" t="e">
        <f>IF($B79="","",'2-3_обработка'!W79)</f>
        <v>#REF!</v>
      </c>
      <c r="AA79" s="81" t="e">
        <f>IF($B79="","",'2-3_обработка'!X79)</f>
        <v>#REF!</v>
      </c>
      <c r="AB79" s="80" t="s">
        <v>134</v>
      </c>
    </row>
    <row r="80" spans="1:29" ht="18" customHeight="1">
      <c r="A80" s="80">
        <v>79</v>
      </c>
      <c r="B80" s="87" t="e">
        <f>IF(ЦТО!#REF!="","",ЦТО!#REF!)</f>
        <v>#REF!</v>
      </c>
      <c r="C80" s="80" t="e">
        <f>IF(ЦТО!#REF!="","",ЦТО!#REF!)</f>
        <v>#REF!</v>
      </c>
      <c r="D80" s="82" t="e">
        <f>IF(ЦТО!#REF!="","",ЦТО!#REF!)</f>
        <v>#REF!</v>
      </c>
      <c r="E80" s="80" t="e">
        <f>IF($B80="","",'1_обработка CО,ВК,ЭК'!F82)</f>
        <v>#REF!</v>
      </c>
      <c r="F80" s="80" t="e">
        <f>IF($B80="","",'1_обработка CО,ВК,ЭК'!H81)</f>
        <v>#REF!</v>
      </c>
      <c r="G80" s="80" t="e">
        <f>IF($B80="","",'1_обработка CО,ВК,ЭК'!I81)</f>
        <v>#REF!</v>
      </c>
      <c r="H80" s="80" t="e">
        <f>IF($B80="","",'2-3_обработка'!E80)</f>
        <v>#REF!</v>
      </c>
      <c r="I80" s="80" t="e">
        <f>IF($B80="","",'2-3_обработка'!F80)</f>
        <v>#REF!</v>
      </c>
      <c r="J80" s="80" t="e">
        <f>IF($B80="","",'2-3_обработка'!G80)</f>
        <v>#REF!</v>
      </c>
      <c r="K80" s="80" t="e">
        <f>IF($B80="","",'2-3_обработка'!H80)</f>
        <v>#REF!</v>
      </c>
      <c r="L80" s="80" t="e">
        <f>IF($B80="","",'2-3_обработка'!I80)</f>
        <v>#REF!</v>
      </c>
      <c r="M80" s="80" t="e">
        <f>IF($B80="","",'2-3_обработка'!J80)</f>
        <v>#REF!</v>
      </c>
      <c r="N80" s="80" t="e">
        <f>IF($B80="","",'2-3_обработка'!K80)</f>
        <v>#REF!</v>
      </c>
      <c r="O80" s="80" t="e">
        <f>IF($B80="","",'2-3_обработка'!L80)</f>
        <v>#REF!</v>
      </c>
      <c r="P80" s="80" t="e">
        <f>IF($B80="","",'2-3_обработка'!M80)</f>
        <v>#REF!</v>
      </c>
      <c r="Q80" s="80" t="e">
        <f>IF($B80="","",'2-3_обработка'!N80)</f>
        <v>#REF!</v>
      </c>
      <c r="R80" s="80" t="e">
        <f>IF($B80="","",'2-3_обработка'!O80)</f>
        <v>#REF!</v>
      </c>
      <c r="S80" s="80" t="e">
        <f>IF($B80="","",'2-3_обработка'!P80)</f>
        <v>#REF!</v>
      </c>
      <c r="T80" s="80" t="e">
        <f>IF($B80="","",'2-3_обработка'!Q80)</f>
        <v>#REF!</v>
      </c>
      <c r="U80" s="80" t="e">
        <f>IF($B80="","",'2-3_обработка'!R80)</f>
        <v>#REF!</v>
      </c>
      <c r="V80" s="80" t="e">
        <f>IF($B80="","",'2-3_обработка'!S80)</f>
        <v>#REF!</v>
      </c>
      <c r="W80" s="80" t="e">
        <f>IF($B80="","",'2-3_обработка'!T80)</f>
        <v>#REF!</v>
      </c>
      <c r="X80" s="80" t="e">
        <f>IF($B80="","",'2-3_обработка'!U80)</f>
        <v>#REF!</v>
      </c>
      <c r="Y80" s="81" t="e">
        <f>IF($B80="","",'2-3_обработка'!V80)</f>
        <v>#REF!</v>
      </c>
      <c r="Z80" s="81" t="e">
        <f>IF($B80="","",'2-3_обработка'!W80)</f>
        <v>#REF!</v>
      </c>
      <c r="AA80" s="81" t="e">
        <f>IF($B80="","",'2-3_обработка'!X80)</f>
        <v>#REF!</v>
      </c>
      <c r="AB80" s="80" t="s">
        <v>134</v>
      </c>
    </row>
    <row r="81" spans="1:29" s="86" customFormat="1" ht="18" customHeight="1">
      <c r="A81" s="83">
        <v>80</v>
      </c>
      <c r="B81" s="88" t="e">
        <f>IF(ЦТО!#REF!="","",ЦТО!#REF!)</f>
        <v>#REF!</v>
      </c>
      <c r="C81" s="83" t="e">
        <f>IF(ЦТО!#REF!="","",ЦТО!#REF!)</f>
        <v>#REF!</v>
      </c>
      <c r="D81" s="84" t="e">
        <f>IF(ЦТО!#REF!="","",ЦТО!#REF!)</f>
        <v>#REF!</v>
      </c>
      <c r="E81" s="80" t="e">
        <f>IF($B81="","",'1_обработка CО,ВК,ЭК'!F83)</f>
        <v>#REF!</v>
      </c>
      <c r="F81" s="80" t="e">
        <f>IF($B81="","",'1_обработка CО,ВК,ЭК'!H82)</f>
        <v>#REF!</v>
      </c>
      <c r="G81" s="80" t="e">
        <f>IF($B81="","",'1_обработка CО,ВК,ЭК'!I82)</f>
        <v>#REF!</v>
      </c>
      <c r="H81" s="83" t="e">
        <f>IF($B81="","",'2-3_обработка'!E81)</f>
        <v>#REF!</v>
      </c>
      <c r="I81" s="83" t="e">
        <f>IF($B81="","",'2-3_обработка'!F81)</f>
        <v>#REF!</v>
      </c>
      <c r="J81" s="83" t="e">
        <f>IF($B81="","",'2-3_обработка'!G81)</f>
        <v>#REF!</v>
      </c>
      <c r="K81" s="83" t="e">
        <f>IF($B81="","",'2-3_обработка'!H81)</f>
        <v>#REF!</v>
      </c>
      <c r="L81" s="83" t="e">
        <f>IF($B81="","",'2-3_обработка'!I81)</f>
        <v>#REF!</v>
      </c>
      <c r="M81" s="83" t="e">
        <f>IF($B81="","",'2-3_обработка'!J81)</f>
        <v>#REF!</v>
      </c>
      <c r="N81" s="83" t="e">
        <f>IF($B81="","",'2-3_обработка'!K81)</f>
        <v>#REF!</v>
      </c>
      <c r="O81" s="83" t="e">
        <f>IF($B81="","",'2-3_обработка'!L81)</f>
        <v>#REF!</v>
      </c>
      <c r="P81" s="83" t="e">
        <f>IF($B81="","",'2-3_обработка'!M81)</f>
        <v>#REF!</v>
      </c>
      <c r="Q81" s="83" t="e">
        <f>IF($B81="","",'2-3_обработка'!N81)</f>
        <v>#REF!</v>
      </c>
      <c r="R81" s="83" t="e">
        <f>IF($B81="","",'2-3_обработка'!O81)</f>
        <v>#REF!</v>
      </c>
      <c r="S81" s="83" t="e">
        <f>IF($B81="","",'2-3_обработка'!P81)</f>
        <v>#REF!</v>
      </c>
      <c r="T81" s="83" t="e">
        <f>IF($B81="","",'2-3_обработка'!Q81)</f>
        <v>#REF!</v>
      </c>
      <c r="U81" s="83" t="e">
        <f>IF($B81="","",'2-3_обработка'!R81)</f>
        <v>#REF!</v>
      </c>
      <c r="V81" s="83" t="e">
        <f>IF($B81="","",'2-3_обработка'!S81)</f>
        <v>#REF!</v>
      </c>
      <c r="W81" s="83" t="e">
        <f>IF($B81="","",'2-3_обработка'!T81)</f>
        <v>#REF!</v>
      </c>
      <c r="X81" s="83" t="e">
        <f>IF($B81="","",'2-3_обработка'!U81)</f>
        <v>#REF!</v>
      </c>
      <c r="Y81" s="85" t="e">
        <f>IF($B81="","",'2-3_обработка'!V81)</f>
        <v>#REF!</v>
      </c>
      <c r="Z81" s="85" t="e">
        <f>IF($B81="","",'2-3_обработка'!W81)</f>
        <v>#REF!</v>
      </c>
      <c r="AA81" s="85" t="e">
        <f>IF($B81="","",'2-3_обработка'!X81)</f>
        <v>#REF!</v>
      </c>
      <c r="AB81" s="83" t="s">
        <v>133</v>
      </c>
      <c r="AC81" s="83"/>
    </row>
    <row r="82" spans="1:29" ht="18" customHeight="1">
      <c r="A82" s="80">
        <v>81</v>
      </c>
      <c r="B82" s="87" t="e">
        <f>IF(ЦТО!#REF!="","",ЦТО!#REF!)</f>
        <v>#REF!</v>
      </c>
      <c r="C82" s="80" t="e">
        <f>IF(ЦТО!#REF!="","",ЦТО!#REF!)</f>
        <v>#REF!</v>
      </c>
      <c r="D82" s="82" t="e">
        <f>IF(ЦТО!#REF!="","",ЦТО!#REF!)</f>
        <v>#REF!</v>
      </c>
      <c r="E82" s="80" t="e">
        <f>IF($B82="","",'1_обработка CО,ВК,ЭК'!F84)</f>
        <v>#REF!</v>
      </c>
      <c r="F82" s="80" t="e">
        <f>IF($B82="","",'1_обработка CО,ВК,ЭК'!H83)</f>
        <v>#REF!</v>
      </c>
      <c r="G82" s="80" t="e">
        <f>IF($B82="","",'1_обработка CО,ВК,ЭК'!I83)</f>
        <v>#REF!</v>
      </c>
      <c r="H82" s="80" t="e">
        <f>IF($B82="","",'2-3_обработка'!E82)</f>
        <v>#REF!</v>
      </c>
      <c r="I82" s="80" t="e">
        <f>IF($B82="","",'2-3_обработка'!F82)</f>
        <v>#REF!</v>
      </c>
      <c r="J82" s="80" t="e">
        <f>IF($B82="","",'2-3_обработка'!G82)</f>
        <v>#REF!</v>
      </c>
      <c r="K82" s="80" t="e">
        <f>IF($B82="","",'2-3_обработка'!H82)</f>
        <v>#REF!</v>
      </c>
      <c r="L82" s="80" t="e">
        <f>IF($B82="","",'2-3_обработка'!I82)</f>
        <v>#REF!</v>
      </c>
      <c r="M82" s="80" t="e">
        <f>IF($B82="","",'2-3_обработка'!J82)</f>
        <v>#REF!</v>
      </c>
      <c r="N82" s="80" t="e">
        <f>IF($B82="","",'2-3_обработка'!K82)</f>
        <v>#REF!</v>
      </c>
      <c r="O82" s="80" t="e">
        <f>IF($B82="","",'2-3_обработка'!L82)</f>
        <v>#REF!</v>
      </c>
      <c r="P82" s="80" t="e">
        <f>IF($B82="","",'2-3_обработка'!M82)</f>
        <v>#REF!</v>
      </c>
      <c r="Q82" s="80" t="e">
        <f>IF($B82="","",'2-3_обработка'!N82)</f>
        <v>#REF!</v>
      </c>
      <c r="R82" s="80" t="e">
        <f>IF($B82="","",'2-3_обработка'!O82)</f>
        <v>#REF!</v>
      </c>
      <c r="S82" s="80" t="e">
        <f>IF($B82="","",'2-3_обработка'!P82)</f>
        <v>#REF!</v>
      </c>
      <c r="T82" s="80" t="e">
        <f>IF($B82="","",'2-3_обработка'!Q82)</f>
        <v>#REF!</v>
      </c>
      <c r="U82" s="80" t="e">
        <f>IF($B82="","",'2-3_обработка'!R82)</f>
        <v>#REF!</v>
      </c>
      <c r="V82" s="80" t="e">
        <f>IF($B82="","",'2-3_обработка'!S82)</f>
        <v>#REF!</v>
      </c>
      <c r="W82" s="80" t="e">
        <f>IF($B82="","",'2-3_обработка'!T82)</f>
        <v>#REF!</v>
      </c>
      <c r="X82" s="80" t="e">
        <f>IF($B82="","",'2-3_обработка'!U82)</f>
        <v>#REF!</v>
      </c>
      <c r="Y82" s="81" t="e">
        <f>IF($B82="","",'2-3_обработка'!V82)</f>
        <v>#REF!</v>
      </c>
      <c r="Z82" s="81" t="e">
        <f>IF($B82="","",'2-3_обработка'!W82)</f>
        <v>#REF!</v>
      </c>
      <c r="AA82" s="81" t="e">
        <f>IF($B82="","",'2-3_обработка'!X82)</f>
        <v>#REF!</v>
      </c>
      <c r="AB82" s="80" t="s">
        <v>131</v>
      </c>
    </row>
    <row r="83" spans="1:29" ht="18" customHeight="1">
      <c r="A83" s="80">
        <v>82</v>
      </c>
      <c r="B83" s="87" t="e">
        <f>IF(ЦТО!#REF!="","",ЦТО!#REF!)</f>
        <v>#REF!</v>
      </c>
      <c r="C83" s="80" t="e">
        <f>IF(ЦТО!#REF!="","",ЦТО!#REF!)</f>
        <v>#REF!</v>
      </c>
      <c r="D83" s="82" t="e">
        <f>IF(ЦТО!#REF!="","",ЦТО!#REF!)</f>
        <v>#REF!</v>
      </c>
      <c r="E83" s="80" t="e">
        <f>IF($B83="","",'1_обработка CО,ВК,ЭК'!F85)</f>
        <v>#REF!</v>
      </c>
      <c r="F83" s="80" t="e">
        <f>IF($B83="","",'1_обработка CО,ВК,ЭК'!H84)</f>
        <v>#REF!</v>
      </c>
      <c r="G83" s="80" t="e">
        <f>IF($B83="","",'1_обработка CО,ВК,ЭК'!I84)</f>
        <v>#REF!</v>
      </c>
      <c r="H83" s="80" t="e">
        <f>IF($B83="","",'2-3_обработка'!E83)</f>
        <v>#REF!</v>
      </c>
      <c r="I83" s="80" t="e">
        <f>IF($B83="","",'2-3_обработка'!F83)</f>
        <v>#REF!</v>
      </c>
      <c r="J83" s="80" t="e">
        <f>IF($B83="","",'2-3_обработка'!G83)</f>
        <v>#REF!</v>
      </c>
      <c r="K83" s="80" t="e">
        <f>IF($B83="","",'2-3_обработка'!H83)</f>
        <v>#REF!</v>
      </c>
      <c r="L83" s="80" t="e">
        <f>IF($B83="","",'2-3_обработка'!I83)</f>
        <v>#REF!</v>
      </c>
      <c r="M83" s="80" t="e">
        <f>IF($B83="","",'2-3_обработка'!J83)</f>
        <v>#REF!</v>
      </c>
      <c r="N83" s="80" t="e">
        <f>IF($B83="","",'2-3_обработка'!K83)</f>
        <v>#REF!</v>
      </c>
      <c r="O83" s="80" t="e">
        <f>IF($B83="","",'2-3_обработка'!L83)</f>
        <v>#REF!</v>
      </c>
      <c r="P83" s="80" t="e">
        <f>IF($B83="","",'2-3_обработка'!M83)</f>
        <v>#REF!</v>
      </c>
      <c r="Q83" s="80" t="e">
        <f>IF($B83="","",'2-3_обработка'!N83)</f>
        <v>#REF!</v>
      </c>
      <c r="R83" s="80" t="e">
        <f>IF($B83="","",'2-3_обработка'!O83)</f>
        <v>#REF!</v>
      </c>
      <c r="S83" s="80" t="e">
        <f>IF($B83="","",'2-3_обработка'!P83)</f>
        <v>#REF!</v>
      </c>
      <c r="T83" s="80" t="e">
        <f>IF($B83="","",'2-3_обработка'!Q83)</f>
        <v>#REF!</v>
      </c>
      <c r="U83" s="80" t="e">
        <f>IF($B83="","",'2-3_обработка'!R83)</f>
        <v>#REF!</v>
      </c>
      <c r="V83" s="80" t="e">
        <f>IF($B83="","",'2-3_обработка'!S83)</f>
        <v>#REF!</v>
      </c>
      <c r="W83" s="80" t="e">
        <f>IF($B83="","",'2-3_обработка'!T83)</f>
        <v>#REF!</v>
      </c>
      <c r="X83" s="80" t="e">
        <f>IF($B83="","",'2-3_обработка'!U83)</f>
        <v>#REF!</v>
      </c>
      <c r="Y83" s="81" t="e">
        <f>IF($B83="","",'2-3_обработка'!V83)</f>
        <v>#REF!</v>
      </c>
      <c r="Z83" s="81" t="e">
        <f>IF($B83="","",'2-3_обработка'!W83)</f>
        <v>#REF!</v>
      </c>
      <c r="AA83" s="81" t="e">
        <f>IF($B83="","",'2-3_обработка'!X83)</f>
        <v>#REF!</v>
      </c>
      <c r="AB83" s="80" t="s">
        <v>134</v>
      </c>
    </row>
    <row r="84" spans="1:29" ht="18" customHeight="1">
      <c r="A84" s="80">
        <v>83</v>
      </c>
      <c r="B84" s="87" t="e">
        <f>IF(ЦТО!#REF!="","",ЦТО!#REF!)</f>
        <v>#REF!</v>
      </c>
      <c r="C84" s="80" t="e">
        <f>IF(ЦТО!#REF!="","",ЦТО!#REF!)</f>
        <v>#REF!</v>
      </c>
      <c r="D84" s="82" t="e">
        <f>IF(ЦТО!#REF!="","",ЦТО!#REF!)</f>
        <v>#REF!</v>
      </c>
      <c r="E84" s="80" t="e">
        <f>IF($B84="","",'1_обработка CО,ВК,ЭК'!F86)</f>
        <v>#REF!</v>
      </c>
      <c r="F84" s="80" t="e">
        <f>IF($B84="","",'1_обработка CО,ВК,ЭК'!H85)</f>
        <v>#REF!</v>
      </c>
      <c r="G84" s="80" t="e">
        <f>IF($B84="","",'1_обработка CО,ВК,ЭК'!I85)</f>
        <v>#REF!</v>
      </c>
      <c r="H84" s="80" t="e">
        <f>IF($B84="","",'2-3_обработка'!E84)</f>
        <v>#REF!</v>
      </c>
      <c r="I84" s="80" t="e">
        <f>IF($B84="","",'2-3_обработка'!F84)</f>
        <v>#REF!</v>
      </c>
      <c r="J84" s="80" t="e">
        <f>IF($B84="","",'2-3_обработка'!G84)</f>
        <v>#REF!</v>
      </c>
      <c r="K84" s="80" t="e">
        <f>IF($B84="","",'2-3_обработка'!H84)</f>
        <v>#REF!</v>
      </c>
      <c r="L84" s="80" t="e">
        <f>IF($B84="","",'2-3_обработка'!I84)</f>
        <v>#REF!</v>
      </c>
      <c r="M84" s="80" t="e">
        <f>IF($B84="","",'2-3_обработка'!J84)</f>
        <v>#REF!</v>
      </c>
      <c r="N84" s="80" t="e">
        <f>IF($B84="","",'2-3_обработка'!K84)</f>
        <v>#REF!</v>
      </c>
      <c r="O84" s="80" t="e">
        <f>IF($B84="","",'2-3_обработка'!L84)</f>
        <v>#REF!</v>
      </c>
      <c r="P84" s="80" t="e">
        <f>IF($B84="","",'2-3_обработка'!M84)</f>
        <v>#REF!</v>
      </c>
      <c r="Q84" s="80" t="e">
        <f>IF($B84="","",'2-3_обработка'!N84)</f>
        <v>#REF!</v>
      </c>
      <c r="R84" s="80" t="e">
        <f>IF($B84="","",'2-3_обработка'!O84)</f>
        <v>#REF!</v>
      </c>
      <c r="S84" s="80" t="e">
        <f>IF($B84="","",'2-3_обработка'!P84)</f>
        <v>#REF!</v>
      </c>
      <c r="T84" s="80" t="e">
        <f>IF($B84="","",'2-3_обработка'!Q84)</f>
        <v>#REF!</v>
      </c>
      <c r="U84" s="80" t="e">
        <f>IF($B84="","",'2-3_обработка'!R84)</f>
        <v>#REF!</v>
      </c>
      <c r="V84" s="80" t="e">
        <f>IF($B84="","",'2-3_обработка'!S84)</f>
        <v>#REF!</v>
      </c>
      <c r="W84" s="80" t="e">
        <f>IF($B84="","",'2-3_обработка'!T84)</f>
        <v>#REF!</v>
      </c>
      <c r="X84" s="80" t="e">
        <f>IF($B84="","",'2-3_обработка'!U84)</f>
        <v>#REF!</v>
      </c>
      <c r="Y84" s="81" t="e">
        <f>IF($B84="","",'2-3_обработка'!V84)</f>
        <v>#REF!</v>
      </c>
      <c r="Z84" s="81" t="e">
        <f>IF($B84="","",'2-3_обработка'!W84)</f>
        <v>#REF!</v>
      </c>
      <c r="AA84" s="81" t="e">
        <f>IF($B84="","",'2-3_обработка'!X84)</f>
        <v>#REF!</v>
      </c>
      <c r="AB84" s="80" t="s">
        <v>131</v>
      </c>
    </row>
    <row r="85" spans="1:29" ht="18" customHeight="1">
      <c r="A85" s="80">
        <v>84</v>
      </c>
      <c r="B85" s="87" t="e">
        <f>IF(ЦТО!#REF!="","",ЦТО!#REF!)</f>
        <v>#REF!</v>
      </c>
      <c r="C85" s="80" t="e">
        <f>IF(ЦТО!#REF!="","",ЦТО!#REF!)</f>
        <v>#REF!</v>
      </c>
      <c r="D85" s="82" t="e">
        <f>IF(ЦТО!#REF!="","",ЦТО!#REF!)</f>
        <v>#REF!</v>
      </c>
      <c r="E85" s="80" t="e">
        <f>IF($B85="","",'1_обработка CО,ВК,ЭК'!F87)</f>
        <v>#REF!</v>
      </c>
      <c r="F85" s="80" t="e">
        <f>IF($B85="","",'1_обработка CО,ВК,ЭК'!H86)</f>
        <v>#REF!</v>
      </c>
      <c r="G85" s="80" t="e">
        <f>IF($B85="","",'1_обработка CО,ВК,ЭК'!I86)</f>
        <v>#REF!</v>
      </c>
      <c r="H85" s="80" t="e">
        <f>IF($B85="","",'2-3_обработка'!E85)</f>
        <v>#REF!</v>
      </c>
      <c r="I85" s="80" t="e">
        <f>IF($B85="","",'2-3_обработка'!F85)</f>
        <v>#REF!</v>
      </c>
      <c r="J85" s="80" t="e">
        <f>IF($B85="","",'2-3_обработка'!G85)</f>
        <v>#REF!</v>
      </c>
      <c r="K85" s="80" t="e">
        <f>IF($B85="","",'2-3_обработка'!H85)</f>
        <v>#REF!</v>
      </c>
      <c r="L85" s="80" t="e">
        <f>IF($B85="","",'2-3_обработка'!I85)</f>
        <v>#REF!</v>
      </c>
      <c r="M85" s="80" t="e">
        <f>IF($B85="","",'2-3_обработка'!J85)</f>
        <v>#REF!</v>
      </c>
      <c r="N85" s="80" t="e">
        <f>IF($B85="","",'2-3_обработка'!K85)</f>
        <v>#REF!</v>
      </c>
      <c r="O85" s="80" t="e">
        <f>IF($B85="","",'2-3_обработка'!L85)</f>
        <v>#REF!</v>
      </c>
      <c r="P85" s="80" t="e">
        <f>IF($B85="","",'2-3_обработка'!M85)</f>
        <v>#REF!</v>
      </c>
      <c r="Q85" s="80" t="e">
        <f>IF($B85="","",'2-3_обработка'!N85)</f>
        <v>#REF!</v>
      </c>
      <c r="R85" s="80" t="e">
        <f>IF($B85="","",'2-3_обработка'!O85)</f>
        <v>#REF!</v>
      </c>
      <c r="S85" s="80" t="e">
        <f>IF($B85="","",'2-3_обработка'!P85)</f>
        <v>#REF!</v>
      </c>
      <c r="T85" s="80" t="e">
        <f>IF($B85="","",'2-3_обработка'!Q85)</f>
        <v>#REF!</v>
      </c>
      <c r="U85" s="80" t="e">
        <f>IF($B85="","",'2-3_обработка'!R85)</f>
        <v>#REF!</v>
      </c>
      <c r="V85" s="80" t="e">
        <f>IF($B85="","",'2-3_обработка'!S85)</f>
        <v>#REF!</v>
      </c>
      <c r="W85" s="80" t="e">
        <f>IF($B85="","",'2-3_обработка'!T85)</f>
        <v>#REF!</v>
      </c>
      <c r="X85" s="80" t="e">
        <f>IF($B85="","",'2-3_обработка'!U85)</f>
        <v>#REF!</v>
      </c>
      <c r="Y85" s="81" t="e">
        <f>IF($B85="","",'2-3_обработка'!V85)</f>
        <v>#REF!</v>
      </c>
      <c r="Z85" s="81" t="e">
        <f>IF($B85="","",'2-3_обработка'!W85)</f>
        <v>#REF!</v>
      </c>
      <c r="AA85" s="81" t="e">
        <f>IF($B85="","",'2-3_обработка'!X85)</f>
        <v>#REF!</v>
      </c>
      <c r="AB85" s="80" t="s">
        <v>134</v>
      </c>
    </row>
    <row r="86" spans="1:29" ht="18" customHeight="1">
      <c r="A86" s="80">
        <v>85</v>
      </c>
      <c r="B86" s="87" t="e">
        <f>IF(ЦТО!#REF!="","",ЦТО!#REF!)</f>
        <v>#REF!</v>
      </c>
      <c r="C86" s="80" t="e">
        <f>IF(ЦТО!#REF!="","",ЦТО!#REF!)</f>
        <v>#REF!</v>
      </c>
      <c r="D86" s="82" t="e">
        <f>IF(ЦТО!#REF!="","",ЦТО!#REF!)</f>
        <v>#REF!</v>
      </c>
      <c r="E86" s="80" t="e">
        <f>IF($B86="","",'1_обработка CО,ВК,ЭК'!F88)</f>
        <v>#REF!</v>
      </c>
      <c r="F86" s="80" t="e">
        <f>IF($B86="","",'1_обработка CО,ВК,ЭК'!H87)</f>
        <v>#REF!</v>
      </c>
      <c r="G86" s="80" t="e">
        <f>IF($B86="","",'1_обработка CО,ВК,ЭК'!I87)</f>
        <v>#REF!</v>
      </c>
      <c r="H86" s="80" t="e">
        <f>IF($B86="","",'2-3_обработка'!E86)</f>
        <v>#REF!</v>
      </c>
      <c r="I86" s="80" t="e">
        <f>IF($B86="","",'2-3_обработка'!F86)</f>
        <v>#REF!</v>
      </c>
      <c r="J86" s="80" t="e">
        <f>IF($B86="","",'2-3_обработка'!G86)</f>
        <v>#REF!</v>
      </c>
      <c r="K86" s="80" t="e">
        <f>IF($B86="","",'2-3_обработка'!H86)</f>
        <v>#REF!</v>
      </c>
      <c r="L86" s="80" t="e">
        <f>IF($B86="","",'2-3_обработка'!I86)</f>
        <v>#REF!</v>
      </c>
      <c r="M86" s="80" t="e">
        <f>IF($B86="","",'2-3_обработка'!J86)</f>
        <v>#REF!</v>
      </c>
      <c r="N86" s="80" t="e">
        <f>IF($B86="","",'2-3_обработка'!K86)</f>
        <v>#REF!</v>
      </c>
      <c r="O86" s="80" t="e">
        <f>IF($B86="","",'2-3_обработка'!L86)</f>
        <v>#REF!</v>
      </c>
      <c r="P86" s="80" t="e">
        <f>IF($B86="","",'2-3_обработка'!M86)</f>
        <v>#REF!</v>
      </c>
      <c r="Q86" s="80" t="e">
        <f>IF($B86="","",'2-3_обработка'!N86)</f>
        <v>#REF!</v>
      </c>
      <c r="R86" s="80" t="e">
        <f>IF($B86="","",'2-3_обработка'!O86)</f>
        <v>#REF!</v>
      </c>
      <c r="S86" s="80" t="e">
        <f>IF($B86="","",'2-3_обработка'!P86)</f>
        <v>#REF!</v>
      </c>
      <c r="T86" s="80" t="e">
        <f>IF($B86="","",'2-3_обработка'!Q86)</f>
        <v>#REF!</v>
      </c>
      <c r="U86" s="80" t="e">
        <f>IF($B86="","",'2-3_обработка'!R86)</f>
        <v>#REF!</v>
      </c>
      <c r="V86" s="80" t="e">
        <f>IF($B86="","",'2-3_обработка'!S86)</f>
        <v>#REF!</v>
      </c>
      <c r="W86" s="80" t="e">
        <f>IF($B86="","",'2-3_обработка'!T86)</f>
        <v>#REF!</v>
      </c>
      <c r="X86" s="80" t="e">
        <f>IF($B86="","",'2-3_обработка'!U86)</f>
        <v>#REF!</v>
      </c>
      <c r="Y86" s="81" t="e">
        <f>IF($B86="","",'2-3_обработка'!V86)</f>
        <v>#REF!</v>
      </c>
      <c r="Z86" s="81" t="e">
        <f>IF($B86="","",'2-3_обработка'!W86)</f>
        <v>#REF!</v>
      </c>
      <c r="AA86" s="81" t="e">
        <f>IF($B86="","",'2-3_обработка'!X86)</f>
        <v>#REF!</v>
      </c>
      <c r="AB86" s="80" t="s">
        <v>134</v>
      </c>
    </row>
    <row r="87" spans="1:29" ht="18" customHeight="1">
      <c r="A87" s="80">
        <v>86</v>
      </c>
      <c r="B87" s="87" t="e">
        <f>IF(ЦТО!#REF!="","",ЦТО!#REF!)</f>
        <v>#REF!</v>
      </c>
      <c r="C87" s="80" t="e">
        <f>IF(ЦТО!#REF!="","",ЦТО!#REF!)</f>
        <v>#REF!</v>
      </c>
      <c r="D87" s="82" t="e">
        <f>IF(ЦТО!#REF!="","",ЦТО!#REF!)</f>
        <v>#REF!</v>
      </c>
      <c r="E87" s="80" t="e">
        <f>IF($B87="","",'1_обработка CО,ВК,ЭК'!F89)</f>
        <v>#REF!</v>
      </c>
      <c r="F87" s="80" t="e">
        <f>IF($B87="","",'1_обработка CО,ВК,ЭК'!H88)</f>
        <v>#REF!</v>
      </c>
      <c r="G87" s="80" t="e">
        <f>IF($B87="","",'1_обработка CО,ВК,ЭК'!I88)</f>
        <v>#REF!</v>
      </c>
      <c r="H87" s="80" t="e">
        <f>IF($B87="","",'2-3_обработка'!E87)</f>
        <v>#REF!</v>
      </c>
      <c r="I87" s="80" t="e">
        <f>IF($B87="","",'2-3_обработка'!F87)</f>
        <v>#REF!</v>
      </c>
      <c r="J87" s="80" t="e">
        <f>IF($B87="","",'2-3_обработка'!G87)</f>
        <v>#REF!</v>
      </c>
      <c r="K87" s="80" t="e">
        <f>IF($B87="","",'2-3_обработка'!H87)</f>
        <v>#REF!</v>
      </c>
      <c r="L87" s="80" t="e">
        <f>IF($B87="","",'2-3_обработка'!I87)</f>
        <v>#REF!</v>
      </c>
      <c r="M87" s="80" t="e">
        <f>IF($B87="","",'2-3_обработка'!J87)</f>
        <v>#REF!</v>
      </c>
      <c r="N87" s="80" t="e">
        <f>IF($B87="","",'2-3_обработка'!K87)</f>
        <v>#REF!</v>
      </c>
      <c r="O87" s="80" t="e">
        <f>IF($B87="","",'2-3_обработка'!L87)</f>
        <v>#REF!</v>
      </c>
      <c r="P87" s="80" t="e">
        <f>IF($B87="","",'2-3_обработка'!M87)</f>
        <v>#REF!</v>
      </c>
      <c r="Q87" s="80" t="e">
        <f>IF($B87="","",'2-3_обработка'!N87)</f>
        <v>#REF!</v>
      </c>
      <c r="R87" s="80" t="e">
        <f>IF($B87="","",'2-3_обработка'!O87)</f>
        <v>#REF!</v>
      </c>
      <c r="S87" s="80" t="e">
        <f>IF($B87="","",'2-3_обработка'!P87)</f>
        <v>#REF!</v>
      </c>
      <c r="T87" s="80" t="e">
        <f>IF($B87="","",'2-3_обработка'!Q87)</f>
        <v>#REF!</v>
      </c>
      <c r="U87" s="80" t="e">
        <f>IF($B87="","",'2-3_обработка'!R87)</f>
        <v>#REF!</v>
      </c>
      <c r="V87" s="80" t="e">
        <f>IF($B87="","",'2-3_обработка'!S87)</f>
        <v>#REF!</v>
      </c>
      <c r="W87" s="80" t="e">
        <f>IF($B87="","",'2-3_обработка'!T87)</f>
        <v>#REF!</v>
      </c>
      <c r="X87" s="80" t="e">
        <f>IF($B87="","",'2-3_обработка'!U87)</f>
        <v>#REF!</v>
      </c>
      <c r="Y87" s="81" t="e">
        <f>IF($B87="","",'2-3_обработка'!V87)</f>
        <v>#REF!</v>
      </c>
      <c r="Z87" s="81" t="e">
        <f>IF($B87="","",'2-3_обработка'!W87)</f>
        <v>#REF!</v>
      </c>
      <c r="AA87" s="81" t="e">
        <f>IF($B87="","",'2-3_обработка'!X87)</f>
        <v>#REF!</v>
      </c>
      <c r="AB87" s="80" t="s">
        <v>134</v>
      </c>
    </row>
    <row r="88" spans="1:29" ht="18" customHeight="1">
      <c r="A88" s="80">
        <v>87</v>
      </c>
      <c r="B88" s="87" t="e">
        <f>IF(ЦТО!#REF!="","",ЦТО!#REF!)</f>
        <v>#REF!</v>
      </c>
      <c r="C88" s="80" t="e">
        <f>IF(ЦТО!#REF!="","",ЦТО!#REF!)</f>
        <v>#REF!</v>
      </c>
      <c r="D88" s="82" t="e">
        <f>IF(ЦТО!#REF!="","",ЦТО!#REF!)</f>
        <v>#REF!</v>
      </c>
      <c r="E88" s="80" t="e">
        <f>IF($B88="","",'1_обработка CО,ВК,ЭК'!F90)</f>
        <v>#REF!</v>
      </c>
      <c r="F88" s="80" t="e">
        <f>IF($B88="","",'1_обработка CО,ВК,ЭК'!H89)</f>
        <v>#REF!</v>
      </c>
      <c r="G88" s="80" t="e">
        <f>IF($B88="","",'1_обработка CО,ВК,ЭК'!I89)</f>
        <v>#REF!</v>
      </c>
      <c r="H88" s="80" t="e">
        <f>IF($B88="","",'2-3_обработка'!E88)</f>
        <v>#REF!</v>
      </c>
      <c r="I88" s="80" t="e">
        <f>IF($B88="","",'2-3_обработка'!F88)</f>
        <v>#REF!</v>
      </c>
      <c r="J88" s="80" t="e">
        <f>IF($B88="","",'2-3_обработка'!G88)</f>
        <v>#REF!</v>
      </c>
      <c r="K88" s="80" t="e">
        <f>IF($B88="","",'2-3_обработка'!H88)</f>
        <v>#REF!</v>
      </c>
      <c r="L88" s="80" t="e">
        <f>IF($B88="","",'2-3_обработка'!I88)</f>
        <v>#REF!</v>
      </c>
      <c r="M88" s="80" t="e">
        <f>IF($B88="","",'2-3_обработка'!J88)</f>
        <v>#REF!</v>
      </c>
      <c r="N88" s="80" t="e">
        <f>IF($B88="","",'2-3_обработка'!K88)</f>
        <v>#REF!</v>
      </c>
      <c r="O88" s="80" t="e">
        <f>IF($B88="","",'2-3_обработка'!L88)</f>
        <v>#REF!</v>
      </c>
      <c r="P88" s="80" t="e">
        <f>IF($B88="","",'2-3_обработка'!M88)</f>
        <v>#REF!</v>
      </c>
      <c r="Q88" s="80" t="e">
        <f>IF($B88="","",'2-3_обработка'!N88)</f>
        <v>#REF!</v>
      </c>
      <c r="R88" s="80" t="e">
        <f>IF($B88="","",'2-3_обработка'!O88)</f>
        <v>#REF!</v>
      </c>
      <c r="S88" s="80" t="e">
        <f>IF($B88="","",'2-3_обработка'!P88)</f>
        <v>#REF!</v>
      </c>
      <c r="T88" s="80" t="e">
        <f>IF($B88="","",'2-3_обработка'!Q88)</f>
        <v>#REF!</v>
      </c>
      <c r="U88" s="80" t="e">
        <f>IF($B88="","",'2-3_обработка'!R88)</f>
        <v>#REF!</v>
      </c>
      <c r="V88" s="80" t="e">
        <f>IF($B88="","",'2-3_обработка'!S88)</f>
        <v>#REF!</v>
      </c>
      <c r="W88" s="80" t="e">
        <f>IF($B88="","",'2-3_обработка'!T88)</f>
        <v>#REF!</v>
      </c>
      <c r="X88" s="80" t="e">
        <f>IF($B88="","",'2-3_обработка'!U88)</f>
        <v>#REF!</v>
      </c>
      <c r="Y88" s="81" t="e">
        <f>IF($B88="","",'2-3_обработка'!V88)</f>
        <v>#REF!</v>
      </c>
      <c r="Z88" s="81" t="e">
        <f>IF($B88="","",'2-3_обработка'!W88)</f>
        <v>#REF!</v>
      </c>
      <c r="AA88" s="81" t="e">
        <f>IF($B88="","",'2-3_обработка'!X88)</f>
        <v>#REF!</v>
      </c>
      <c r="AB88" s="80" t="s">
        <v>134</v>
      </c>
    </row>
    <row r="89" spans="1:29" ht="18" customHeight="1">
      <c r="A89" s="80">
        <v>88</v>
      </c>
      <c r="B89" s="87" t="e">
        <f>IF(ЦТО!#REF!="","",ЦТО!#REF!)</f>
        <v>#REF!</v>
      </c>
      <c r="C89" s="80" t="e">
        <f>IF(ЦТО!#REF!="","",ЦТО!#REF!)</f>
        <v>#REF!</v>
      </c>
      <c r="D89" s="82" t="e">
        <f>IF(ЦТО!#REF!="","",ЦТО!#REF!)</f>
        <v>#REF!</v>
      </c>
      <c r="E89" s="80" t="e">
        <f>IF($B89="","",'1_обработка CО,ВК,ЭК'!F91)</f>
        <v>#REF!</v>
      </c>
      <c r="F89" s="80" t="e">
        <f>IF($B89="","",'1_обработка CО,ВК,ЭК'!H90)</f>
        <v>#REF!</v>
      </c>
      <c r="G89" s="80" t="e">
        <f>IF($B89="","",'1_обработка CО,ВК,ЭК'!I90)</f>
        <v>#REF!</v>
      </c>
      <c r="H89" s="80" t="e">
        <f>IF($B89="","",'2-3_обработка'!E89)</f>
        <v>#REF!</v>
      </c>
      <c r="I89" s="80" t="e">
        <f>IF($B89="","",'2-3_обработка'!F89)</f>
        <v>#REF!</v>
      </c>
      <c r="J89" s="80" t="e">
        <f>IF($B89="","",'2-3_обработка'!G89)</f>
        <v>#REF!</v>
      </c>
      <c r="K89" s="80" t="e">
        <f>IF($B89="","",'2-3_обработка'!H89)</f>
        <v>#REF!</v>
      </c>
      <c r="L89" s="80" t="e">
        <f>IF($B89="","",'2-3_обработка'!I89)</f>
        <v>#REF!</v>
      </c>
      <c r="M89" s="80" t="e">
        <f>IF($B89="","",'2-3_обработка'!J89)</f>
        <v>#REF!</v>
      </c>
      <c r="N89" s="80" t="e">
        <f>IF($B89="","",'2-3_обработка'!K89)</f>
        <v>#REF!</v>
      </c>
      <c r="O89" s="80" t="e">
        <f>IF($B89="","",'2-3_обработка'!L89)</f>
        <v>#REF!</v>
      </c>
      <c r="P89" s="80" t="e">
        <f>IF($B89="","",'2-3_обработка'!M89)</f>
        <v>#REF!</v>
      </c>
      <c r="Q89" s="80" t="e">
        <f>IF($B89="","",'2-3_обработка'!N89)</f>
        <v>#REF!</v>
      </c>
      <c r="R89" s="80" t="e">
        <f>IF($B89="","",'2-3_обработка'!O89)</f>
        <v>#REF!</v>
      </c>
      <c r="S89" s="80" t="e">
        <f>IF($B89="","",'2-3_обработка'!P89)</f>
        <v>#REF!</v>
      </c>
      <c r="T89" s="80" t="e">
        <f>IF($B89="","",'2-3_обработка'!Q89)</f>
        <v>#REF!</v>
      </c>
      <c r="U89" s="80" t="e">
        <f>IF($B89="","",'2-3_обработка'!R89)</f>
        <v>#REF!</v>
      </c>
      <c r="V89" s="80" t="e">
        <f>IF($B89="","",'2-3_обработка'!S89)</f>
        <v>#REF!</v>
      </c>
      <c r="W89" s="80" t="e">
        <f>IF($B89="","",'2-3_обработка'!T89)</f>
        <v>#REF!</v>
      </c>
      <c r="X89" s="80" t="e">
        <f>IF($B89="","",'2-3_обработка'!U89)</f>
        <v>#REF!</v>
      </c>
      <c r="Y89" s="81" t="e">
        <f>IF($B89="","",'2-3_обработка'!V89)</f>
        <v>#REF!</v>
      </c>
      <c r="Z89" s="81" t="e">
        <f>IF($B89="","",'2-3_обработка'!W89)</f>
        <v>#REF!</v>
      </c>
      <c r="AA89" s="81" t="e">
        <f>IF($B89="","",'2-3_обработка'!X89)</f>
        <v>#REF!</v>
      </c>
      <c r="AB89" s="80" t="s">
        <v>131</v>
      </c>
    </row>
    <row r="90" spans="1:29" ht="18" customHeight="1">
      <c r="A90" s="80">
        <v>89</v>
      </c>
      <c r="B90" s="87" t="e">
        <f>IF(ЦТО!#REF!="","",ЦТО!#REF!)</f>
        <v>#REF!</v>
      </c>
      <c r="C90" s="80" t="e">
        <f>IF(ЦТО!#REF!="","",ЦТО!#REF!)</f>
        <v>#REF!</v>
      </c>
      <c r="D90" s="82" t="e">
        <f>IF(ЦТО!#REF!="","",ЦТО!#REF!)</f>
        <v>#REF!</v>
      </c>
      <c r="E90" s="80" t="e">
        <f>IF($B90="","",'1_обработка CО,ВК,ЭК'!F92)</f>
        <v>#REF!</v>
      </c>
      <c r="F90" s="80" t="e">
        <f>IF($B90="","",'1_обработка CО,ВК,ЭК'!H91)</f>
        <v>#REF!</v>
      </c>
      <c r="G90" s="80" t="e">
        <f>IF($B90="","",'1_обработка CО,ВК,ЭК'!I91)</f>
        <v>#REF!</v>
      </c>
      <c r="H90" s="80" t="e">
        <f>IF($B90="","",'2-3_обработка'!E90)</f>
        <v>#REF!</v>
      </c>
      <c r="I90" s="80" t="e">
        <f>IF($B90="","",'2-3_обработка'!F90)</f>
        <v>#REF!</v>
      </c>
      <c r="J90" s="80" t="e">
        <f>IF($B90="","",'2-3_обработка'!G90)</f>
        <v>#REF!</v>
      </c>
      <c r="K90" s="80" t="e">
        <f>IF($B90="","",'2-3_обработка'!H90)</f>
        <v>#REF!</v>
      </c>
      <c r="L90" s="80" t="e">
        <f>IF($B90="","",'2-3_обработка'!I90)</f>
        <v>#REF!</v>
      </c>
      <c r="M90" s="80" t="e">
        <f>IF($B90="","",'2-3_обработка'!J90)</f>
        <v>#REF!</v>
      </c>
      <c r="N90" s="80" t="e">
        <f>IF($B90="","",'2-3_обработка'!K90)</f>
        <v>#REF!</v>
      </c>
      <c r="O90" s="80" t="e">
        <f>IF($B90="","",'2-3_обработка'!L90)</f>
        <v>#REF!</v>
      </c>
      <c r="P90" s="80" t="e">
        <f>IF($B90="","",'2-3_обработка'!M90)</f>
        <v>#REF!</v>
      </c>
      <c r="Q90" s="80" t="e">
        <f>IF($B90="","",'2-3_обработка'!N90)</f>
        <v>#REF!</v>
      </c>
      <c r="R90" s="80" t="e">
        <f>IF($B90="","",'2-3_обработка'!O90)</f>
        <v>#REF!</v>
      </c>
      <c r="S90" s="80" t="e">
        <f>IF($B90="","",'2-3_обработка'!P90)</f>
        <v>#REF!</v>
      </c>
      <c r="T90" s="80" t="e">
        <f>IF($B90="","",'2-3_обработка'!Q90)</f>
        <v>#REF!</v>
      </c>
      <c r="U90" s="80" t="e">
        <f>IF($B90="","",'2-3_обработка'!R90)</f>
        <v>#REF!</v>
      </c>
      <c r="V90" s="80" t="e">
        <f>IF($B90="","",'2-3_обработка'!S90)</f>
        <v>#REF!</v>
      </c>
      <c r="W90" s="80" t="e">
        <f>IF($B90="","",'2-3_обработка'!T90)</f>
        <v>#REF!</v>
      </c>
      <c r="X90" s="80" t="e">
        <f>IF($B90="","",'2-3_обработка'!U90)</f>
        <v>#REF!</v>
      </c>
      <c r="Y90" s="81" t="e">
        <f>IF($B90="","",'2-3_обработка'!V90)</f>
        <v>#REF!</v>
      </c>
      <c r="Z90" s="81" t="e">
        <f>IF($B90="","",'2-3_обработка'!W90)</f>
        <v>#REF!</v>
      </c>
      <c r="AA90" s="81" t="e">
        <f>IF($B90="","",'2-3_обработка'!X90)</f>
        <v>#REF!</v>
      </c>
    </row>
    <row r="91" spans="1:29" ht="18" customHeight="1">
      <c r="A91" s="80">
        <v>90</v>
      </c>
      <c r="B91" s="87" t="e">
        <f>IF(ЦТО!#REF!="","",ЦТО!#REF!)</f>
        <v>#REF!</v>
      </c>
      <c r="C91" s="80" t="e">
        <f>IF(ЦТО!#REF!="","",ЦТО!#REF!)</f>
        <v>#REF!</v>
      </c>
      <c r="D91" s="82" t="e">
        <f>IF(ЦТО!#REF!="","",ЦТО!#REF!)</f>
        <v>#REF!</v>
      </c>
      <c r="F91" s="80" t="e">
        <f>IF($B91="","",'1_обработка CО,ВК,ЭК'!H92)</f>
        <v>#REF!</v>
      </c>
      <c r="G91" s="80" t="e">
        <f>IF($B91="","",'1_обработка CО,ВК,ЭК'!I92)</f>
        <v>#REF!</v>
      </c>
      <c r="H91" s="80" t="e">
        <f>IF($B91="","",'2-3_обработка'!E91)</f>
        <v>#REF!</v>
      </c>
      <c r="I91" s="80" t="e">
        <f>IF($B91="","",'2-3_обработка'!F91)</f>
        <v>#REF!</v>
      </c>
      <c r="J91" s="80" t="e">
        <f>IF($B91="","",'2-3_обработка'!G91)</f>
        <v>#REF!</v>
      </c>
      <c r="K91" s="80" t="e">
        <f>IF($B91="","",'2-3_обработка'!H91)</f>
        <v>#REF!</v>
      </c>
      <c r="L91" s="80" t="e">
        <f>IF($B91="","",'2-3_обработка'!I91)</f>
        <v>#REF!</v>
      </c>
      <c r="M91" s="80" t="e">
        <f>IF($B91="","",'2-3_обработка'!J91)</f>
        <v>#REF!</v>
      </c>
      <c r="N91" s="80" t="e">
        <f>IF($B91="","",'2-3_обработка'!K91)</f>
        <v>#REF!</v>
      </c>
      <c r="O91" s="80" t="e">
        <f>IF($B91="","",'2-3_обработка'!L91)</f>
        <v>#REF!</v>
      </c>
      <c r="P91" s="80" t="e">
        <f>IF($B91="","",'2-3_обработка'!M91)</f>
        <v>#REF!</v>
      </c>
      <c r="Q91" s="80" t="e">
        <f>IF($B91="","",'2-3_обработка'!N91)</f>
        <v>#REF!</v>
      </c>
      <c r="R91" s="80" t="e">
        <f>IF($B91="","",'2-3_обработка'!O91)</f>
        <v>#REF!</v>
      </c>
      <c r="S91" s="80" t="e">
        <f>IF($B91="","",'2-3_обработка'!P91)</f>
        <v>#REF!</v>
      </c>
      <c r="T91" s="80" t="e">
        <f>IF($B91="","",'2-3_обработка'!Q91)</f>
        <v>#REF!</v>
      </c>
      <c r="U91" s="80" t="e">
        <f>IF($B91="","",'2-3_обработка'!R91)</f>
        <v>#REF!</v>
      </c>
      <c r="V91" s="80" t="e">
        <f>IF($B91="","",'2-3_обработка'!S91)</f>
        <v>#REF!</v>
      </c>
      <c r="W91" s="80" t="e">
        <f>IF($B91="","",'2-3_обработка'!T91)</f>
        <v>#REF!</v>
      </c>
      <c r="X91" s="80" t="e">
        <f>IF($B91="","",'2-3_обработка'!U91)</f>
        <v>#REF!</v>
      </c>
      <c r="Y91" s="81" t="e">
        <f>IF($B91="","",'2-3_обработка'!V91)</f>
        <v>#REF!</v>
      </c>
      <c r="Z91" s="81" t="e">
        <f>IF($B91="","",'2-3_обработка'!W91)</f>
        <v>#REF!</v>
      </c>
      <c r="AA91" s="81" t="e">
        <f>IF($B91="","",'2-3_обработка'!X91)</f>
        <v>#REF!</v>
      </c>
    </row>
    <row r="92" spans="1:29" ht="18" customHeight="1">
      <c r="A92" s="80">
        <v>91</v>
      </c>
      <c r="B92" s="87" t="e">
        <f>IF(ЦТО!#REF!="","",ЦТО!#REF!)</f>
        <v>#REF!</v>
      </c>
      <c r="C92" s="80" t="e">
        <f>IF(ЦТО!#REF!="","",ЦТО!#REF!)</f>
        <v>#REF!</v>
      </c>
      <c r="D92" s="82" t="e">
        <f>IF(ЦТО!#REF!="","",ЦТО!#REF!)</f>
        <v>#REF!</v>
      </c>
      <c r="E92" s="80" t="e">
        <f>IF($B92="","",'1_обработка CО,ВК,ЭК'!F94)</f>
        <v>#REF!</v>
      </c>
      <c r="F92" s="80" t="e">
        <f>IF($B92="","",'1_обработка CО,ВК,ЭК'!H93)</f>
        <v>#REF!</v>
      </c>
      <c r="G92" s="80" t="e">
        <f>IF($B92="","",'1_обработка CО,ВК,ЭК'!I93)</f>
        <v>#REF!</v>
      </c>
      <c r="H92" s="80" t="e">
        <f>IF($B92="","",'2-3_обработка'!E92)</f>
        <v>#REF!</v>
      </c>
      <c r="I92" s="80" t="e">
        <f>IF($B92="","",'2-3_обработка'!F92)</f>
        <v>#REF!</v>
      </c>
      <c r="J92" s="80" t="e">
        <f>IF($B92="","",'2-3_обработка'!G92)</f>
        <v>#REF!</v>
      </c>
      <c r="K92" s="80" t="e">
        <f>IF($B92="","",'2-3_обработка'!H92)</f>
        <v>#REF!</v>
      </c>
      <c r="L92" s="80" t="e">
        <f>IF($B92="","",'2-3_обработка'!I92)</f>
        <v>#REF!</v>
      </c>
      <c r="M92" s="80" t="e">
        <f>IF($B92="","",'2-3_обработка'!J92)</f>
        <v>#REF!</v>
      </c>
      <c r="N92" s="80" t="e">
        <f>IF($B92="","",'2-3_обработка'!K92)</f>
        <v>#REF!</v>
      </c>
      <c r="O92" s="80" t="e">
        <f>IF($B92="","",'2-3_обработка'!L92)</f>
        <v>#REF!</v>
      </c>
      <c r="P92" s="80" t="e">
        <f>IF($B92="","",'2-3_обработка'!M92)</f>
        <v>#REF!</v>
      </c>
      <c r="Q92" s="80" t="e">
        <f>IF($B92="","",'2-3_обработка'!N92)</f>
        <v>#REF!</v>
      </c>
      <c r="R92" s="80" t="e">
        <f>IF($B92="","",'2-3_обработка'!O92)</f>
        <v>#REF!</v>
      </c>
      <c r="S92" s="80" t="e">
        <f>IF($B92="","",'2-3_обработка'!P92)</f>
        <v>#REF!</v>
      </c>
      <c r="T92" s="80" t="e">
        <f>IF($B92="","",'2-3_обработка'!Q92)</f>
        <v>#REF!</v>
      </c>
      <c r="U92" s="80" t="e">
        <f>IF($B92="","",'2-3_обработка'!R92)</f>
        <v>#REF!</v>
      </c>
      <c r="V92" s="80" t="e">
        <f>IF($B92="","",'2-3_обработка'!S92)</f>
        <v>#REF!</v>
      </c>
      <c r="W92" s="80" t="e">
        <f>IF($B92="","",'2-3_обработка'!T92)</f>
        <v>#REF!</v>
      </c>
      <c r="X92" s="80" t="e">
        <f>IF($B92="","",'2-3_обработка'!U92)</f>
        <v>#REF!</v>
      </c>
      <c r="Y92" s="81" t="e">
        <f>IF($B92="","",'2-3_обработка'!V92)</f>
        <v>#REF!</v>
      </c>
      <c r="Z92" s="81" t="e">
        <f>IF($B92="","",'2-3_обработка'!W92)</f>
        <v>#REF!</v>
      </c>
      <c r="AA92" s="81" t="e">
        <f>IF($B92="","",'2-3_обработка'!X92)</f>
        <v>#REF!</v>
      </c>
    </row>
    <row r="93" spans="1:29" s="86" customFormat="1" ht="18" customHeight="1">
      <c r="A93" s="83">
        <v>92</v>
      </c>
      <c r="B93" s="88" t="e">
        <f>IF(ЦТО!#REF!="","",ЦТО!#REF!)</f>
        <v>#REF!</v>
      </c>
      <c r="C93" s="83" t="e">
        <f>IF(ЦТО!#REF!="","",ЦТО!#REF!)</f>
        <v>#REF!</v>
      </c>
      <c r="D93" s="84" t="e">
        <f>IF(ЦТО!#REF!="","",ЦТО!#REF!)</f>
        <v>#REF!</v>
      </c>
      <c r="E93" s="80" t="e">
        <f>IF($B93="","",'1_обработка CО,ВК,ЭК'!F95)</f>
        <v>#REF!</v>
      </c>
      <c r="F93" s="80" t="e">
        <f>IF($B93="","",'1_обработка CО,ВК,ЭК'!H94)</f>
        <v>#REF!</v>
      </c>
      <c r="G93" s="80" t="e">
        <f>IF($B93="","",'1_обработка CО,ВК,ЭК'!I94)</f>
        <v>#REF!</v>
      </c>
      <c r="H93" s="83" t="e">
        <f>IF($B93="","",'2-3_обработка'!E93)</f>
        <v>#REF!</v>
      </c>
      <c r="I93" s="83" t="e">
        <f>IF($B93="","",'2-3_обработка'!F93)</f>
        <v>#REF!</v>
      </c>
      <c r="J93" s="83" t="e">
        <f>IF($B93="","",'2-3_обработка'!G93)</f>
        <v>#REF!</v>
      </c>
      <c r="K93" s="83" t="e">
        <f>IF($B93="","",'2-3_обработка'!H93)</f>
        <v>#REF!</v>
      </c>
      <c r="L93" s="83" t="e">
        <f>IF($B93="","",'2-3_обработка'!I93)</f>
        <v>#REF!</v>
      </c>
      <c r="M93" s="83" t="e">
        <f>IF($B93="","",'2-3_обработка'!J93)</f>
        <v>#REF!</v>
      </c>
      <c r="N93" s="83" t="e">
        <f>IF($B93="","",'2-3_обработка'!K93)</f>
        <v>#REF!</v>
      </c>
      <c r="O93" s="83" t="e">
        <f>IF($B93="","",'2-3_обработка'!L93)</f>
        <v>#REF!</v>
      </c>
      <c r="P93" s="83" t="e">
        <f>IF($B93="","",'2-3_обработка'!M93)</f>
        <v>#REF!</v>
      </c>
      <c r="Q93" s="83" t="e">
        <f>IF($B93="","",'2-3_обработка'!N93)</f>
        <v>#REF!</v>
      </c>
      <c r="R93" s="83" t="e">
        <f>IF($B93="","",'2-3_обработка'!O93)</f>
        <v>#REF!</v>
      </c>
      <c r="S93" s="83" t="e">
        <f>IF($B93="","",'2-3_обработка'!P93)</f>
        <v>#REF!</v>
      </c>
      <c r="T93" s="83" t="e">
        <f>IF($B93="","",'2-3_обработка'!Q93)</f>
        <v>#REF!</v>
      </c>
      <c r="U93" s="83" t="e">
        <f>IF($B93="","",'2-3_обработка'!R93)</f>
        <v>#REF!</v>
      </c>
      <c r="V93" s="83" t="e">
        <f>IF($B93="","",'2-3_обработка'!S93)</f>
        <v>#REF!</v>
      </c>
      <c r="W93" s="83" t="e">
        <f>IF($B93="","",'2-3_обработка'!T93)</f>
        <v>#REF!</v>
      </c>
      <c r="X93" s="83" t="e">
        <f>IF($B93="","",'2-3_обработка'!U93)</f>
        <v>#REF!</v>
      </c>
      <c r="Y93" s="85" t="e">
        <f>IF($B93="","",'2-3_обработка'!V93)</f>
        <v>#REF!</v>
      </c>
      <c r="Z93" s="85" t="e">
        <f>IF($B93="","",'2-3_обработка'!W93)</f>
        <v>#REF!</v>
      </c>
      <c r="AA93" s="85" t="e">
        <f>IF($B93="","",'2-3_обработка'!X93)</f>
        <v>#REF!</v>
      </c>
      <c r="AB93" s="83"/>
      <c r="AC93" s="83"/>
    </row>
    <row r="94" spans="1:29" ht="18" customHeight="1">
      <c r="A94" s="80">
        <v>93</v>
      </c>
      <c r="B94" s="87" t="e">
        <f>IF(ЦТО!#REF!="","",ЦТО!#REF!)</f>
        <v>#REF!</v>
      </c>
      <c r="C94" s="80" t="e">
        <f>IF(ЦТО!#REF!="","",ЦТО!#REF!)</f>
        <v>#REF!</v>
      </c>
      <c r="D94" s="82" t="e">
        <f>IF(ЦТО!#REF!="","",ЦТО!#REF!)</f>
        <v>#REF!</v>
      </c>
      <c r="E94" s="80" t="e">
        <f>IF($B94="","",'1_обработка CО,ВК,ЭК'!F96)</f>
        <v>#REF!</v>
      </c>
      <c r="F94" s="80" t="e">
        <f>IF($B94="","",'1_обработка CО,ВК,ЭК'!H95)</f>
        <v>#REF!</v>
      </c>
      <c r="G94" s="80" t="e">
        <f>IF($B94="","",'1_обработка CО,ВК,ЭК'!I95)</f>
        <v>#REF!</v>
      </c>
      <c r="H94" s="80" t="e">
        <f>IF($B94="","",'2-3_обработка'!E94)</f>
        <v>#REF!</v>
      </c>
      <c r="I94" s="80" t="e">
        <f>IF($B94="","",'2-3_обработка'!F94)</f>
        <v>#REF!</v>
      </c>
      <c r="J94" s="80" t="e">
        <f>IF($B94="","",'2-3_обработка'!G94)</f>
        <v>#REF!</v>
      </c>
      <c r="K94" s="80" t="e">
        <f>IF($B94="","",'2-3_обработка'!H94)</f>
        <v>#REF!</v>
      </c>
      <c r="L94" s="80" t="e">
        <f>IF($B94="","",'2-3_обработка'!I94)</f>
        <v>#REF!</v>
      </c>
      <c r="M94" s="80" t="e">
        <f>IF($B94="","",'2-3_обработка'!J94)</f>
        <v>#REF!</v>
      </c>
      <c r="N94" s="80" t="e">
        <f>IF($B94="","",'2-3_обработка'!K94)</f>
        <v>#REF!</v>
      </c>
      <c r="O94" s="80" t="e">
        <f>IF($B94="","",'2-3_обработка'!L94)</f>
        <v>#REF!</v>
      </c>
      <c r="P94" s="80" t="e">
        <f>IF($B94="","",'2-3_обработка'!M94)</f>
        <v>#REF!</v>
      </c>
      <c r="Q94" s="80" t="e">
        <f>IF($B94="","",'2-3_обработка'!S94)</f>
        <v>#REF!</v>
      </c>
      <c r="R94" s="80" t="e">
        <f>IF($B94="","",'2-3_обработка'!O94)</f>
        <v>#REF!</v>
      </c>
      <c r="S94" s="80" t="e">
        <f>IF($B94="","",'2-3_обработка'!P94)</f>
        <v>#REF!</v>
      </c>
      <c r="T94" s="80" t="e">
        <f>IF($B94="","",'2-3_обработка'!Q94)</f>
        <v>#REF!</v>
      </c>
      <c r="U94" s="80" t="e">
        <f>IF($B94="","",'2-3_обработка'!R94)</f>
        <v>#REF!</v>
      </c>
      <c r="V94" s="80" t="e">
        <f>IF($B94="","",'2-3_обработка'!S94)</f>
        <v>#REF!</v>
      </c>
      <c r="W94" s="80" t="e">
        <f>IF($B94="","",'2-3_обработка'!T94)</f>
        <v>#REF!</v>
      </c>
      <c r="X94" s="80" t="e">
        <f>IF($B94="","",'2-3_обработка'!U94)</f>
        <v>#REF!</v>
      </c>
      <c r="Y94" s="81" t="e">
        <f>IF($B94="","",'2-3_обработка'!V94)</f>
        <v>#REF!</v>
      </c>
      <c r="Z94" s="81" t="e">
        <f>IF($B94="","",'2-3_обработка'!W94)</f>
        <v>#REF!</v>
      </c>
      <c r="AA94" s="81" t="e">
        <f>IF($B94="","",'2-3_обработка'!X94)</f>
        <v>#REF!</v>
      </c>
    </row>
    <row r="95" spans="1:29" ht="18" customHeight="1">
      <c r="A95" s="80">
        <v>94</v>
      </c>
      <c r="B95" s="87" t="e">
        <f>IF(ЦТО!#REF!="","",ЦТО!#REF!)</f>
        <v>#REF!</v>
      </c>
      <c r="C95" s="80" t="e">
        <f>IF(ЦТО!#REF!="","",ЦТО!#REF!)</f>
        <v>#REF!</v>
      </c>
      <c r="D95" s="82" t="e">
        <f>IF(ЦТО!#REF!="","",ЦТО!#REF!)</f>
        <v>#REF!</v>
      </c>
      <c r="E95" s="80" t="e">
        <f>IF($B95="","",'1_обработка CО,ВК,ЭК'!F97)</f>
        <v>#REF!</v>
      </c>
      <c r="F95" s="80" t="e">
        <f>IF($B95="","",'1_обработка CО,ВК,ЭК'!H96)</f>
        <v>#REF!</v>
      </c>
      <c r="G95" s="80" t="e">
        <f>IF($B95="","",'1_обработка CО,ВК,ЭК'!I96)</f>
        <v>#REF!</v>
      </c>
      <c r="H95" s="80" t="e">
        <f>IF($B95="","",'2-3_обработка'!E95)</f>
        <v>#REF!</v>
      </c>
      <c r="I95" s="80" t="e">
        <f>IF($B95="","",'2-3_обработка'!F95)</f>
        <v>#REF!</v>
      </c>
      <c r="J95" s="80" t="e">
        <f>IF($B95="","",'2-3_обработка'!G95)</f>
        <v>#REF!</v>
      </c>
      <c r="K95" s="80" t="e">
        <f>IF($B95="","",'2-3_обработка'!H95)</f>
        <v>#REF!</v>
      </c>
      <c r="L95" s="80" t="e">
        <f>IF($B95="","",'2-3_обработка'!I95)</f>
        <v>#REF!</v>
      </c>
      <c r="M95" s="80" t="e">
        <f>IF($B95="","",'2-3_обработка'!J95)</f>
        <v>#REF!</v>
      </c>
      <c r="N95" s="80" t="e">
        <f>IF($B95="","",'2-3_обработка'!K95)</f>
        <v>#REF!</v>
      </c>
      <c r="O95" s="80" t="e">
        <f>IF($B95="","",'2-3_обработка'!L95)</f>
        <v>#REF!</v>
      </c>
      <c r="P95" s="80" t="e">
        <f>IF($B95="","",'2-3_обработка'!M95)</f>
        <v>#REF!</v>
      </c>
      <c r="Q95" s="80" t="e">
        <f>IF($B95="","",'2-3_обработка'!S95)</f>
        <v>#REF!</v>
      </c>
      <c r="R95" s="80" t="e">
        <f>IF($B95="","",'2-3_обработка'!O95)</f>
        <v>#REF!</v>
      </c>
      <c r="S95" s="80" t="e">
        <f>IF($B95="","",'2-3_обработка'!P95)</f>
        <v>#REF!</v>
      </c>
      <c r="T95" s="80" t="e">
        <f>IF($B95="","",'2-3_обработка'!Q95)</f>
        <v>#REF!</v>
      </c>
      <c r="U95" s="80" t="e">
        <f>IF($B95="","",'2-3_обработка'!R95)</f>
        <v>#REF!</v>
      </c>
      <c r="V95" s="80" t="e">
        <f>IF($B95="","",'2-3_обработка'!S95)</f>
        <v>#REF!</v>
      </c>
      <c r="W95" s="80" t="e">
        <f>IF($B95="","",'2-3_обработка'!T95)</f>
        <v>#REF!</v>
      </c>
      <c r="X95" s="80" t="e">
        <f>IF($B95="","",'2-3_обработка'!U95)</f>
        <v>#REF!</v>
      </c>
      <c r="Y95" s="81" t="e">
        <f>IF($B95="","",'2-3_обработка'!V95)</f>
        <v>#REF!</v>
      </c>
      <c r="Z95" s="81" t="e">
        <f>IF($B95="","",'2-3_обработка'!W95)</f>
        <v>#REF!</v>
      </c>
      <c r="AA95" s="81" t="e">
        <f>IF($B95="","",'2-3_обработка'!X95)</f>
        <v>#REF!</v>
      </c>
    </row>
    <row r="96" spans="1:29" ht="18" customHeight="1">
      <c r="A96" s="80">
        <v>95</v>
      </c>
      <c r="B96" s="87" t="e">
        <f>IF(ЦТО!#REF!="","",ЦТО!#REF!)</f>
        <v>#REF!</v>
      </c>
      <c r="C96" s="80" t="e">
        <f>IF(ЦТО!#REF!="","",ЦТО!#REF!)</f>
        <v>#REF!</v>
      </c>
      <c r="D96" s="82" t="e">
        <f>IF(ЦТО!#REF!="","",ЦТО!#REF!)</f>
        <v>#REF!</v>
      </c>
      <c r="E96" s="80" t="e">
        <f>IF($B96="","",'1_обработка CО,ВК,ЭК'!F98)</f>
        <v>#REF!</v>
      </c>
      <c r="F96" s="80" t="e">
        <f>IF($B96="","",'1_обработка CО,ВК,ЭК'!H97)</f>
        <v>#REF!</v>
      </c>
      <c r="G96" s="80" t="e">
        <f>IF($B96="","",'1_обработка CО,ВК,ЭК'!I97)</f>
        <v>#REF!</v>
      </c>
      <c r="H96" s="80" t="e">
        <f>IF($B96="","",'2-3_обработка'!E96)</f>
        <v>#REF!</v>
      </c>
      <c r="I96" s="80" t="e">
        <f>IF($B96="","",'2-3_обработка'!F96)</f>
        <v>#REF!</v>
      </c>
      <c r="J96" s="80" t="e">
        <f>IF($B96="","",'2-3_обработка'!G96)</f>
        <v>#REF!</v>
      </c>
      <c r="K96" s="80" t="e">
        <f>IF($B96="","",'2-3_обработка'!H96)</f>
        <v>#REF!</v>
      </c>
      <c r="L96" s="80" t="e">
        <f>IF($B96="","",'2-3_обработка'!I96)</f>
        <v>#REF!</v>
      </c>
      <c r="M96" s="80" t="e">
        <f>IF($B96="","",'2-3_обработка'!J96)</f>
        <v>#REF!</v>
      </c>
      <c r="N96" s="80" t="e">
        <f>IF($B96="","",'2-3_обработка'!K96)</f>
        <v>#REF!</v>
      </c>
      <c r="O96" s="80" t="e">
        <f>IF($B96="","",'2-3_обработка'!L96)</f>
        <v>#REF!</v>
      </c>
      <c r="P96" s="80" t="e">
        <f>IF($B96="","",'2-3_обработка'!M96)</f>
        <v>#REF!</v>
      </c>
      <c r="Q96" s="80" t="e">
        <f>IF($B96="","",'2-3_обработка'!S96)</f>
        <v>#REF!</v>
      </c>
      <c r="R96" s="80" t="e">
        <f>IF($B96="","",'2-3_обработка'!O96)</f>
        <v>#REF!</v>
      </c>
      <c r="S96" s="80" t="e">
        <f>IF($B96="","",'2-3_обработка'!P96)</f>
        <v>#REF!</v>
      </c>
      <c r="T96" s="80" t="e">
        <f>IF($B96="","",'2-3_обработка'!Q96)</f>
        <v>#REF!</v>
      </c>
      <c r="U96" s="80" t="e">
        <f>IF($B96="","",'2-3_обработка'!R96)</f>
        <v>#REF!</v>
      </c>
      <c r="V96" s="80" t="e">
        <f>IF($B96="","",'2-3_обработка'!S96)</f>
        <v>#REF!</v>
      </c>
      <c r="W96" s="80" t="e">
        <f>IF($B96="","",'2-3_обработка'!T96)</f>
        <v>#REF!</v>
      </c>
      <c r="X96" s="80" t="e">
        <f>IF($B96="","",'2-3_обработка'!U96)</f>
        <v>#REF!</v>
      </c>
      <c r="Y96" s="81" t="e">
        <f>IF($B96="","",'2-3_обработка'!V96)</f>
        <v>#REF!</v>
      </c>
      <c r="Z96" s="81" t="e">
        <f>IF($B96="","",'2-3_обработка'!W96)</f>
        <v>#REF!</v>
      </c>
      <c r="AA96" s="81" t="e">
        <f>IF($B96="","",'2-3_обработка'!X96)</f>
        <v>#REF!</v>
      </c>
    </row>
    <row r="97" spans="1:29" ht="18" customHeight="1">
      <c r="A97" s="80">
        <v>96</v>
      </c>
      <c r="B97" s="87" t="e">
        <f>IF(ЦТО!#REF!="","",ЦТО!#REF!)</f>
        <v>#REF!</v>
      </c>
      <c r="C97" s="80" t="e">
        <f>IF(ЦТО!#REF!="","",ЦТО!#REF!)</f>
        <v>#REF!</v>
      </c>
      <c r="D97" s="82" t="e">
        <f>IF(ЦТО!#REF!="","",ЦТО!#REF!)</f>
        <v>#REF!</v>
      </c>
      <c r="E97" s="80" t="e">
        <f>IF($B97="","",'1_обработка CО,ВК,ЭК'!F99)</f>
        <v>#REF!</v>
      </c>
      <c r="F97" s="80" t="e">
        <f>IF($B97="","",'1_обработка CО,ВК,ЭК'!H98)</f>
        <v>#REF!</v>
      </c>
      <c r="G97" s="80" t="e">
        <f>IF($B97="","",'1_обработка CО,ВК,ЭК'!I98)</f>
        <v>#REF!</v>
      </c>
      <c r="H97" s="80" t="e">
        <f>IF($B97="","",'2-3_обработка'!E97)</f>
        <v>#REF!</v>
      </c>
      <c r="I97" s="80" t="e">
        <f>IF($B97="","",'2-3_обработка'!F97)</f>
        <v>#REF!</v>
      </c>
      <c r="J97" s="80" t="e">
        <f>IF($B97="","",'2-3_обработка'!G97)</f>
        <v>#REF!</v>
      </c>
      <c r="K97" s="80" t="e">
        <f>IF($B97="","",'2-3_обработка'!H97)</f>
        <v>#REF!</v>
      </c>
      <c r="L97" s="80" t="e">
        <f>IF($B97="","",'2-3_обработка'!I97)</f>
        <v>#REF!</v>
      </c>
      <c r="M97" s="80" t="e">
        <f>IF($B97="","",'2-3_обработка'!J97)</f>
        <v>#REF!</v>
      </c>
      <c r="N97" s="80" t="e">
        <f>IF($B97="","",'2-3_обработка'!K97)</f>
        <v>#REF!</v>
      </c>
      <c r="O97" s="80" t="e">
        <f>IF($B97="","",'2-3_обработка'!L97)</f>
        <v>#REF!</v>
      </c>
      <c r="P97" s="80" t="e">
        <f>IF($B97="","",'2-3_обработка'!M97)</f>
        <v>#REF!</v>
      </c>
      <c r="Q97" s="80" t="e">
        <f>IF($B97="","",'2-3_обработка'!S97)</f>
        <v>#REF!</v>
      </c>
      <c r="R97" s="80" t="e">
        <f>IF($B97="","",'2-3_обработка'!O97)</f>
        <v>#REF!</v>
      </c>
      <c r="S97" s="80" t="e">
        <f>IF($B97="","",'2-3_обработка'!P97)</f>
        <v>#REF!</v>
      </c>
      <c r="T97" s="80" t="e">
        <f>IF($B97="","",'2-3_обработка'!Q97)</f>
        <v>#REF!</v>
      </c>
      <c r="U97" s="80" t="e">
        <f>IF($B97="","",'2-3_обработка'!R97)</f>
        <v>#REF!</v>
      </c>
      <c r="V97" s="80" t="e">
        <f>IF($B97="","",'2-3_обработка'!S97)</f>
        <v>#REF!</v>
      </c>
      <c r="W97" s="80" t="e">
        <f>IF($B97="","",'2-3_обработка'!T97)</f>
        <v>#REF!</v>
      </c>
      <c r="X97" s="80" t="e">
        <f>IF($B97="","",'2-3_обработка'!U97)</f>
        <v>#REF!</v>
      </c>
      <c r="Y97" s="81" t="e">
        <f>IF($B97="","",'2-3_обработка'!V97)</f>
        <v>#REF!</v>
      </c>
      <c r="Z97" s="81" t="e">
        <f>IF($B97="","",'2-3_обработка'!W97)</f>
        <v>#REF!</v>
      </c>
      <c r="AA97" s="81" t="e">
        <f>IF($B97="","",'2-3_обработка'!X97)</f>
        <v>#REF!</v>
      </c>
    </row>
    <row r="98" spans="1:29" ht="18" customHeight="1">
      <c r="A98" s="80">
        <v>97</v>
      </c>
      <c r="B98" s="87" t="e">
        <f>IF(ЦТО!#REF!="","",ЦТО!#REF!)</f>
        <v>#REF!</v>
      </c>
      <c r="C98" s="80" t="e">
        <f>IF(ЦТО!#REF!="","",ЦТО!#REF!)</f>
        <v>#REF!</v>
      </c>
      <c r="D98" s="82" t="e">
        <f>IF(ЦТО!#REF!="","",ЦТО!#REF!)</f>
        <v>#REF!</v>
      </c>
      <c r="E98" s="80" t="e">
        <f>IF($B98="","",'1_обработка CО,ВК,ЭК'!F100)</f>
        <v>#REF!</v>
      </c>
      <c r="F98" s="80" t="e">
        <f>IF($B98="","",'1_обработка CО,ВК,ЭК'!H99)</f>
        <v>#REF!</v>
      </c>
      <c r="G98" s="80" t="e">
        <f>IF($B98="","",'1_обработка CО,ВК,ЭК'!I99)</f>
        <v>#REF!</v>
      </c>
      <c r="H98" s="80" t="e">
        <f>IF($B98="","",'2-3_обработка'!E98)</f>
        <v>#REF!</v>
      </c>
      <c r="I98" s="80" t="e">
        <f>IF($B98="","",'2-3_обработка'!F98)</f>
        <v>#REF!</v>
      </c>
      <c r="J98" s="80" t="e">
        <f>IF($B98="","",'2-3_обработка'!G98)</f>
        <v>#REF!</v>
      </c>
      <c r="K98" s="80" t="e">
        <f>IF($B98="","",'2-3_обработка'!H98)</f>
        <v>#REF!</v>
      </c>
      <c r="L98" s="80" t="e">
        <f>IF($B98="","",'2-3_обработка'!I98)</f>
        <v>#REF!</v>
      </c>
      <c r="M98" s="80" t="e">
        <f>IF($B98="","",'2-3_обработка'!J98)</f>
        <v>#REF!</v>
      </c>
      <c r="N98" s="80" t="e">
        <f>IF($B98="","",'2-3_обработка'!K98)</f>
        <v>#REF!</v>
      </c>
      <c r="O98" s="80" t="e">
        <f>IF($B98="","",'2-3_обработка'!L98)</f>
        <v>#REF!</v>
      </c>
      <c r="P98" s="80" t="e">
        <f>IF($B98="","",'2-3_обработка'!M98)</f>
        <v>#REF!</v>
      </c>
      <c r="Q98" s="80" t="e">
        <f>IF($B98="","",'2-3_обработка'!S98)</f>
        <v>#REF!</v>
      </c>
      <c r="R98" s="80" t="e">
        <f>IF($B98="","",'2-3_обработка'!O98)</f>
        <v>#REF!</v>
      </c>
      <c r="S98" s="80" t="e">
        <f>IF($B98="","",'2-3_обработка'!P98)</f>
        <v>#REF!</v>
      </c>
      <c r="T98" s="80" t="e">
        <f>IF($B98="","",'2-3_обработка'!Q98)</f>
        <v>#REF!</v>
      </c>
      <c r="U98" s="80" t="e">
        <f>IF($B98="","",'2-3_обработка'!R98)</f>
        <v>#REF!</v>
      </c>
      <c r="V98" s="80" t="e">
        <f>IF($B98="","",'2-3_обработка'!S98)</f>
        <v>#REF!</v>
      </c>
      <c r="W98" s="80" t="e">
        <f>IF($B98="","",'2-3_обработка'!T98)</f>
        <v>#REF!</v>
      </c>
      <c r="X98" s="80" t="e">
        <f>IF($B98="","",'2-3_обработка'!U98)</f>
        <v>#REF!</v>
      </c>
      <c r="Y98" s="81" t="e">
        <f>IF($B98="","",'2-3_обработка'!V98)</f>
        <v>#REF!</v>
      </c>
      <c r="Z98" s="81" t="e">
        <f>IF($B98="","",'2-3_обработка'!W98)</f>
        <v>#REF!</v>
      </c>
      <c r="AA98" s="81" t="e">
        <f>IF($B98="","",'2-3_обработка'!X98)</f>
        <v>#REF!</v>
      </c>
    </row>
    <row r="99" spans="1:29" ht="18" customHeight="1">
      <c r="A99" s="80">
        <v>98</v>
      </c>
      <c r="B99" s="87" t="e">
        <f>IF(ЦТО!#REF!="","",ЦТО!#REF!)</f>
        <v>#REF!</v>
      </c>
      <c r="C99" s="80" t="e">
        <f>IF(ЦТО!#REF!="","",ЦТО!#REF!)</f>
        <v>#REF!</v>
      </c>
      <c r="D99" s="82" t="e">
        <f>IF(ЦТО!#REF!="","",ЦТО!#REF!)</f>
        <v>#REF!</v>
      </c>
      <c r="E99" s="80" t="e">
        <f>IF($B99="","",'1_обработка CО,ВК,ЭК'!F101)</f>
        <v>#REF!</v>
      </c>
      <c r="F99" s="80" t="e">
        <f>IF($B99="","",'1_обработка CО,ВК,ЭК'!H100)</f>
        <v>#REF!</v>
      </c>
      <c r="G99" s="80" t="e">
        <f>IF($B99="","",'1_обработка CО,ВК,ЭК'!I100)</f>
        <v>#REF!</v>
      </c>
      <c r="H99" s="80" t="e">
        <f>IF($B99="","",'2-3_обработка'!E99)</f>
        <v>#REF!</v>
      </c>
      <c r="I99" s="80" t="e">
        <f>IF($B99="","",'2-3_обработка'!F99)</f>
        <v>#REF!</v>
      </c>
      <c r="J99" s="80" t="e">
        <f>IF($B99="","",'2-3_обработка'!G99)</f>
        <v>#REF!</v>
      </c>
      <c r="K99" s="80" t="e">
        <f>IF($B99="","",'2-3_обработка'!H99)</f>
        <v>#REF!</v>
      </c>
      <c r="L99" s="80" t="e">
        <f>IF($B99="","",'2-3_обработка'!I99)</f>
        <v>#REF!</v>
      </c>
      <c r="M99" s="80" t="e">
        <f>IF($B99="","",'2-3_обработка'!J99)</f>
        <v>#REF!</v>
      </c>
      <c r="N99" s="80" t="e">
        <f>IF($B99="","",'2-3_обработка'!K99)</f>
        <v>#REF!</v>
      </c>
      <c r="O99" s="80" t="e">
        <f>IF($B99="","",'2-3_обработка'!L99)</f>
        <v>#REF!</v>
      </c>
      <c r="P99" s="80" t="e">
        <f>IF($B99="","",'2-3_обработка'!M99)</f>
        <v>#REF!</v>
      </c>
      <c r="Q99" s="80" t="e">
        <f>IF($B99="","",'2-3_обработка'!S99)</f>
        <v>#REF!</v>
      </c>
      <c r="R99" s="80" t="e">
        <f>IF($B99="","",'2-3_обработка'!O99)</f>
        <v>#REF!</v>
      </c>
      <c r="S99" s="80" t="e">
        <f>IF($B99="","",'2-3_обработка'!P99)</f>
        <v>#REF!</v>
      </c>
      <c r="T99" s="80" t="e">
        <f>IF($B99="","",'2-3_обработка'!Q99)</f>
        <v>#REF!</v>
      </c>
      <c r="U99" s="80" t="e">
        <f>IF($B99="","",'2-3_обработка'!R99)</f>
        <v>#REF!</v>
      </c>
      <c r="V99" s="80" t="e">
        <f>IF($B99="","",'2-3_обработка'!S99)</f>
        <v>#REF!</v>
      </c>
      <c r="W99" s="80" t="e">
        <f>IF($B99="","",'2-3_обработка'!T99)</f>
        <v>#REF!</v>
      </c>
      <c r="X99" s="80" t="e">
        <f>IF($B99="","",'2-3_обработка'!U99)</f>
        <v>#REF!</v>
      </c>
      <c r="Y99" s="81" t="e">
        <f>IF($B99="","",'2-3_обработка'!V99)</f>
        <v>#REF!</v>
      </c>
      <c r="Z99" s="81" t="e">
        <f>IF($B99="","",'2-3_обработка'!W99)</f>
        <v>#REF!</v>
      </c>
      <c r="AA99" s="81" t="e">
        <f>IF($B99="","",'2-3_обработка'!X99)</f>
        <v>#REF!</v>
      </c>
    </row>
    <row r="100" spans="1:29" ht="18" customHeight="1">
      <c r="A100" s="80">
        <v>99</v>
      </c>
      <c r="B100" s="87" t="e">
        <f>IF(ЦТО!#REF!="","",ЦТО!#REF!)</f>
        <v>#REF!</v>
      </c>
      <c r="C100" s="80" t="e">
        <f>IF(ЦТО!#REF!="","",ЦТО!#REF!)</f>
        <v>#REF!</v>
      </c>
      <c r="D100" s="82" t="e">
        <f>IF(ЦТО!#REF!="","",ЦТО!#REF!)</f>
        <v>#REF!</v>
      </c>
      <c r="E100" s="80" t="e">
        <f>IF($B100="","",'1_обработка CО,ВК,ЭК'!F102)</f>
        <v>#REF!</v>
      </c>
      <c r="F100" s="80" t="e">
        <f>IF($B100="","",'1_обработка CО,ВК,ЭК'!H101)</f>
        <v>#REF!</v>
      </c>
      <c r="G100" s="80" t="e">
        <f>IF($B100="","",'1_обработка CО,ВК,ЭК'!I101)</f>
        <v>#REF!</v>
      </c>
      <c r="H100" s="80" t="e">
        <f>IF($B100="","",'2-3_обработка'!E100)</f>
        <v>#REF!</v>
      </c>
      <c r="I100" s="80" t="e">
        <f>IF($B100="","",'2-3_обработка'!F100)</f>
        <v>#REF!</v>
      </c>
      <c r="J100" s="80" t="e">
        <f>IF($B100="","",'2-3_обработка'!G100)</f>
        <v>#REF!</v>
      </c>
      <c r="K100" s="80" t="e">
        <f>IF($B100="","",'2-3_обработка'!H100)</f>
        <v>#REF!</v>
      </c>
      <c r="L100" s="80" t="e">
        <f>IF($B100="","",'2-3_обработка'!I100)</f>
        <v>#REF!</v>
      </c>
      <c r="M100" s="80" t="e">
        <f>IF($B100="","",'2-3_обработка'!J100)</f>
        <v>#REF!</v>
      </c>
      <c r="N100" s="80" t="e">
        <f>IF($B100="","",'2-3_обработка'!K100)</f>
        <v>#REF!</v>
      </c>
      <c r="O100" s="80" t="e">
        <f>IF($B100="","",'2-3_обработка'!L100)</f>
        <v>#REF!</v>
      </c>
      <c r="P100" s="80" t="e">
        <f>IF($B100="","",'2-3_обработка'!M100)</f>
        <v>#REF!</v>
      </c>
      <c r="Q100" s="80" t="e">
        <f>IF($B100="","",'2-3_обработка'!S100)</f>
        <v>#REF!</v>
      </c>
      <c r="R100" s="80" t="e">
        <f>IF($B100="","",'2-3_обработка'!O100)</f>
        <v>#REF!</v>
      </c>
      <c r="S100" s="80" t="e">
        <f>IF($B100="","",'2-3_обработка'!P100)</f>
        <v>#REF!</v>
      </c>
      <c r="T100" s="80" t="e">
        <f>IF($B100="","",'2-3_обработка'!Q100)</f>
        <v>#REF!</v>
      </c>
      <c r="U100" s="80" t="e">
        <f>IF($B100="","",'2-3_обработка'!R100)</f>
        <v>#REF!</v>
      </c>
      <c r="V100" s="80" t="e">
        <f>IF($B100="","",'2-3_обработка'!S100)</f>
        <v>#REF!</v>
      </c>
      <c r="W100" s="80" t="e">
        <f>IF($B100="","",'2-3_обработка'!T100)</f>
        <v>#REF!</v>
      </c>
      <c r="X100" s="80" t="e">
        <f>IF($B100="","",'2-3_обработка'!U100)</f>
        <v>#REF!</v>
      </c>
      <c r="Y100" s="81" t="e">
        <f>IF($B100="","",'2-3_обработка'!V100)</f>
        <v>#REF!</v>
      </c>
      <c r="Z100" s="81" t="e">
        <f>IF($B100="","",'2-3_обработка'!W100)</f>
        <v>#REF!</v>
      </c>
      <c r="AA100" s="81" t="e">
        <f>IF($B100="","",'2-3_обработка'!X100)</f>
        <v>#REF!</v>
      </c>
    </row>
    <row r="101" spans="1:29" s="86" customFormat="1" ht="18" customHeight="1">
      <c r="A101" s="83">
        <v>100</v>
      </c>
      <c r="B101" s="88" t="e">
        <f>IF(ЦТО!#REF!="","",ЦТО!#REF!)</f>
        <v>#REF!</v>
      </c>
      <c r="C101" s="83" t="e">
        <f>IF(ЦТО!#REF!="","",ЦТО!#REF!)</f>
        <v>#REF!</v>
      </c>
      <c r="D101" s="84" t="e">
        <f>IF(ЦТО!#REF!="","",ЦТО!#REF!)</f>
        <v>#REF!</v>
      </c>
      <c r="E101" s="80" t="e">
        <f>IF($B101="","",'1_обработка CО,ВК,ЭК'!F103)</f>
        <v>#REF!</v>
      </c>
      <c r="F101" s="80" t="e">
        <f>IF($B101="","",'1_обработка CО,ВК,ЭК'!H102)</f>
        <v>#REF!</v>
      </c>
      <c r="G101" s="80" t="e">
        <f>IF($B101="","",'1_обработка CО,ВК,ЭК'!I102)</f>
        <v>#REF!</v>
      </c>
      <c r="H101" s="83" t="e">
        <f>IF($B101="","",'2-3_обработка'!E101)</f>
        <v>#REF!</v>
      </c>
      <c r="I101" s="83" t="e">
        <f>IF($B101="","",'2-3_обработка'!F101)</f>
        <v>#REF!</v>
      </c>
      <c r="J101" s="83" t="e">
        <f>IF($B101="","",'2-3_обработка'!G101)</f>
        <v>#REF!</v>
      </c>
      <c r="K101" s="83" t="e">
        <f>IF($B101="","",'2-3_обработка'!H101)</f>
        <v>#REF!</v>
      </c>
      <c r="L101" s="83" t="e">
        <f>IF($B101="","",'2-3_обработка'!I101)</f>
        <v>#REF!</v>
      </c>
      <c r="M101" s="83" t="e">
        <f>IF($B101="","",'2-3_обработка'!J101)</f>
        <v>#REF!</v>
      </c>
      <c r="N101" s="83" t="e">
        <f>IF($B101="","",'2-3_обработка'!K101)</f>
        <v>#REF!</v>
      </c>
      <c r="O101" s="83" t="e">
        <f>IF($B101="","",'2-3_обработка'!L101)</f>
        <v>#REF!</v>
      </c>
      <c r="P101" s="83" t="e">
        <f>IF($B101="","",'2-3_обработка'!M101)</f>
        <v>#REF!</v>
      </c>
      <c r="Q101" s="83" t="e">
        <f>IF($B101="","",'2-3_обработка'!S101)</f>
        <v>#REF!</v>
      </c>
      <c r="R101" s="83" t="e">
        <f>IF($B101="","",'2-3_обработка'!O101)</f>
        <v>#REF!</v>
      </c>
      <c r="S101" s="83" t="e">
        <f>IF($B101="","",'2-3_обработка'!P101)</f>
        <v>#REF!</v>
      </c>
      <c r="T101" s="83" t="e">
        <f>IF($B101="","",'2-3_обработка'!Q101)</f>
        <v>#REF!</v>
      </c>
      <c r="U101" s="83" t="e">
        <f>IF($B101="","",'2-3_обработка'!R101)</f>
        <v>#REF!</v>
      </c>
      <c r="V101" s="83" t="e">
        <f>IF($B101="","",'2-3_обработка'!S101)</f>
        <v>#REF!</v>
      </c>
      <c r="W101" s="83" t="e">
        <f>IF($B101="","",'2-3_обработка'!T101)</f>
        <v>#REF!</v>
      </c>
      <c r="X101" s="83" t="e">
        <f>IF($B101="","",'2-3_обработка'!U101)</f>
        <v>#REF!</v>
      </c>
      <c r="Y101" s="85" t="e">
        <f>IF($B101="","",'2-3_обработка'!V101)</f>
        <v>#REF!</v>
      </c>
      <c r="Z101" s="85" t="e">
        <f>IF($B101="","",'2-3_обработка'!W101)</f>
        <v>#REF!</v>
      </c>
      <c r="AA101" s="85" t="e">
        <f>IF($B101="","",'2-3_обработка'!X101)</f>
        <v>#REF!</v>
      </c>
      <c r="AB101" s="83"/>
      <c r="AC101" s="83"/>
    </row>
    <row r="102" spans="1:29">
      <c r="A102" s="80">
        <v>101</v>
      </c>
      <c r="B102" s="87" t="e">
        <f>IF(ЦТО!#REF!="","",ЦТО!#REF!)</f>
        <v>#REF!</v>
      </c>
      <c r="C102" s="80" t="e">
        <f>IF(ЦТО!#REF!="","",ЦТО!#REF!)</f>
        <v>#REF!</v>
      </c>
      <c r="E102" s="80" t="e">
        <f>IF($B102="","",'1_обработка CО,ВК,ЭК'!F104)</f>
        <v>#REF!</v>
      </c>
      <c r="F102" s="80" t="e">
        <f>IF($B102="","",'1_обработка CО,ВК,ЭК'!H103)</f>
        <v>#REF!</v>
      </c>
      <c r="G102" s="80" t="e">
        <f>IF($B102="","",'1_обработка CО,ВК,ЭК'!I103)</f>
        <v>#REF!</v>
      </c>
      <c r="M102" s="80" t="e">
        <f>IF($B102="","",'2-3_обработка'!J102)</f>
        <v>#REF!</v>
      </c>
      <c r="N102" s="80" t="e">
        <f>IF($B102="","",'2-3_обработка'!K102)</f>
        <v>#REF!</v>
      </c>
      <c r="O102" s="80" t="e">
        <f>IF($B102="","",'2-3_обработка'!L102)</f>
        <v>#REF!</v>
      </c>
      <c r="P102" s="80" t="e">
        <f>IF($B102="","",'2-3_обработка'!M102)</f>
        <v>#REF!</v>
      </c>
      <c r="Q102" s="80" t="e">
        <f>IF($B102="","",'2-3_обработка'!S102)</f>
        <v>#REF!</v>
      </c>
      <c r="R102" s="80" t="e">
        <f>IF($B102="","",'2-3_обработка'!O102)</f>
        <v>#REF!</v>
      </c>
      <c r="S102" s="80" t="e">
        <f>IF($B102="","",'2-3_обработка'!P102)</f>
        <v>#REF!</v>
      </c>
      <c r="T102" s="80" t="e">
        <f>IF($B102="","",'2-3_обработка'!Q102)</f>
        <v>#REF!</v>
      </c>
      <c r="U102" s="80" t="e">
        <f>IF($B102="","",'2-3_обработка'!R102)</f>
        <v>#REF!</v>
      </c>
      <c r="V102" s="80" t="e">
        <f>IF($B102="","",'2-3_обработка'!S102)</f>
        <v>#REF!</v>
      </c>
      <c r="W102" s="80" t="e">
        <f>IF($B102="","",'2-3_обработка'!T102)</f>
        <v>#REF!</v>
      </c>
      <c r="X102" s="80" t="e">
        <f>IF($B102="","",'2-3_обработка'!U102)</f>
        <v>#REF!</v>
      </c>
    </row>
    <row r="103" spans="1:29">
      <c r="A103" s="80">
        <v>102</v>
      </c>
      <c r="B103" s="87" t="e">
        <f>IF(ЦТО!#REF!="","",ЦТО!#REF!)</f>
        <v>#REF!</v>
      </c>
      <c r="C103" s="80" t="e">
        <f>IF(ЦТО!#REF!="","",ЦТО!#REF!)</f>
        <v>#REF!</v>
      </c>
      <c r="E103" s="80" t="e">
        <f>IF($B103="","",'1_обработка CО,ВК,ЭК'!F105)</f>
        <v>#REF!</v>
      </c>
      <c r="F103" s="80" t="e">
        <f>IF($B103="","",'1_обработка CО,ВК,ЭК'!H104)</f>
        <v>#REF!</v>
      </c>
      <c r="G103" s="80" t="e">
        <f>IF($B103="","",'1_обработка CО,ВК,ЭК'!I104)</f>
        <v>#REF!</v>
      </c>
      <c r="M103" s="80" t="e">
        <f>IF($B103="","",'2-3_обработка'!J103)</f>
        <v>#REF!</v>
      </c>
      <c r="N103" s="80" t="e">
        <f>IF($B103="","",'2-3_обработка'!K103)</f>
        <v>#REF!</v>
      </c>
      <c r="O103" s="80" t="e">
        <f>IF($B103="","",'2-3_обработка'!L103)</f>
        <v>#REF!</v>
      </c>
      <c r="P103" s="80" t="e">
        <f>IF($B103="","",'2-3_обработка'!M103)</f>
        <v>#REF!</v>
      </c>
      <c r="Q103" s="80" t="e">
        <f>IF($B103="","",'2-3_обработка'!S103)</f>
        <v>#REF!</v>
      </c>
      <c r="R103" s="80" t="e">
        <f>IF($B103="","",'2-3_обработка'!O103)</f>
        <v>#REF!</v>
      </c>
      <c r="S103" s="80" t="e">
        <f>IF($B103="","",'2-3_обработка'!P103)</f>
        <v>#REF!</v>
      </c>
      <c r="T103" s="80" t="e">
        <f>IF($B103="","",'2-3_обработка'!Q103)</f>
        <v>#REF!</v>
      </c>
      <c r="U103" s="80" t="e">
        <f>IF($B103="","",'2-3_обработка'!R103)</f>
        <v>#REF!</v>
      </c>
      <c r="V103" s="80" t="e">
        <f>IF($B103="","",'2-3_обработка'!S103)</f>
        <v>#REF!</v>
      </c>
      <c r="W103" s="80" t="e">
        <f>IF($B103="","",'2-3_обработка'!T103)</f>
        <v>#REF!</v>
      </c>
      <c r="X103" s="80" t="e">
        <f>IF($B103="","",'2-3_обработка'!U103)</f>
        <v>#REF!</v>
      </c>
    </row>
    <row r="104" spans="1:29">
      <c r="A104" s="80">
        <v>103</v>
      </c>
      <c r="B104" s="87" t="e">
        <f>IF(ЦТО!#REF!="","",ЦТО!#REF!)</f>
        <v>#REF!</v>
      </c>
      <c r="C104" s="80" t="e">
        <f>IF(ЦТО!#REF!="","",ЦТО!#REF!)</f>
        <v>#REF!</v>
      </c>
      <c r="E104" s="80" t="e">
        <f>IF($B104="","",'1_обработка CО,ВК,ЭК'!F106)</f>
        <v>#REF!</v>
      </c>
      <c r="F104" s="80" t="e">
        <f>IF($B104="","",'1_обработка CО,ВК,ЭК'!H105)</f>
        <v>#REF!</v>
      </c>
      <c r="G104" s="80" t="e">
        <f>IF($B104="","",'1_обработка CО,ВК,ЭК'!I105)</f>
        <v>#REF!</v>
      </c>
      <c r="M104" s="80" t="e">
        <f>IF($B104="","",'2-3_обработка'!J104)</f>
        <v>#REF!</v>
      </c>
      <c r="N104" s="80" t="e">
        <f>IF($B104="","",'2-3_обработка'!K104)</f>
        <v>#REF!</v>
      </c>
      <c r="O104" s="80" t="e">
        <f>IF($B104="","",'2-3_обработка'!L104)</f>
        <v>#REF!</v>
      </c>
      <c r="P104" s="80" t="e">
        <f>IF($B104="","",'2-3_обработка'!M104)</f>
        <v>#REF!</v>
      </c>
      <c r="Q104" s="80" t="e">
        <f>IF($B104="","",'2-3_обработка'!S104)</f>
        <v>#REF!</v>
      </c>
      <c r="R104" s="80" t="e">
        <f>IF($B104="","",'2-3_обработка'!O104)</f>
        <v>#REF!</v>
      </c>
      <c r="S104" s="80" t="e">
        <f>IF($B104="","",'2-3_обработка'!P104)</f>
        <v>#REF!</v>
      </c>
      <c r="T104" s="80" t="e">
        <f>IF($B104="","",'2-3_обработка'!Q104)</f>
        <v>#REF!</v>
      </c>
      <c r="U104" s="80" t="e">
        <f>IF($B104="","",'2-3_обработка'!R104)</f>
        <v>#REF!</v>
      </c>
      <c r="V104" s="80" t="e">
        <f>IF($B104="","",'2-3_обработка'!S104)</f>
        <v>#REF!</v>
      </c>
      <c r="W104" s="80" t="e">
        <f>IF($B104="","",'2-3_обработка'!T104)</f>
        <v>#REF!</v>
      </c>
      <c r="X104" s="80" t="e">
        <f>IF($B104="","",'2-3_обработка'!U104)</f>
        <v>#REF!</v>
      </c>
    </row>
    <row r="105" spans="1:29">
      <c r="A105" s="80">
        <v>104</v>
      </c>
      <c r="B105" s="87" t="e">
        <f>IF(ЦТО!#REF!="","",ЦТО!#REF!)</f>
        <v>#REF!</v>
      </c>
      <c r="C105" s="80" t="e">
        <f>IF(ЦТО!#REF!="","",ЦТО!#REF!)</f>
        <v>#REF!</v>
      </c>
      <c r="E105" s="80" t="e">
        <f>IF($B105="","",'1_обработка CО,ВК,ЭК'!F107)</f>
        <v>#REF!</v>
      </c>
      <c r="F105" s="80" t="e">
        <f>IF($B105="","",'1_обработка CО,ВК,ЭК'!H106)</f>
        <v>#REF!</v>
      </c>
      <c r="G105" s="80" t="e">
        <f>IF($B105="","",'1_обработка CО,ВК,ЭК'!I106)</f>
        <v>#REF!</v>
      </c>
      <c r="M105" s="80" t="e">
        <f>IF($B105="","",'2-3_обработка'!J105)</f>
        <v>#REF!</v>
      </c>
      <c r="N105" s="80" t="e">
        <f>IF($B105="","",'2-3_обработка'!K105)</f>
        <v>#REF!</v>
      </c>
      <c r="O105" s="80" t="e">
        <f>IF($B105="","",'2-3_обработка'!L105)</f>
        <v>#REF!</v>
      </c>
      <c r="P105" s="80" t="e">
        <f>IF($B105="","",'2-3_обработка'!M105)</f>
        <v>#REF!</v>
      </c>
      <c r="Q105" s="80" t="e">
        <f>IF($B105="","",'2-3_обработка'!S105)</f>
        <v>#REF!</v>
      </c>
      <c r="R105" s="80" t="e">
        <f>IF($B105="","",'2-3_обработка'!O105)</f>
        <v>#REF!</v>
      </c>
      <c r="S105" s="80" t="e">
        <f>IF($B105="","",'2-3_обработка'!P105)</f>
        <v>#REF!</v>
      </c>
      <c r="T105" s="80" t="e">
        <f>IF($B105="","",'2-3_обработка'!Q105)</f>
        <v>#REF!</v>
      </c>
      <c r="U105" s="80" t="e">
        <f>IF($B105="","",'2-3_обработка'!R105)</f>
        <v>#REF!</v>
      </c>
      <c r="V105" s="80" t="e">
        <f>IF($B105="","",'2-3_обработка'!S105)</f>
        <v>#REF!</v>
      </c>
      <c r="W105" s="80" t="e">
        <f>IF($B105="","",'2-3_обработка'!T105)</f>
        <v>#REF!</v>
      </c>
      <c r="X105" s="80" t="e">
        <f>IF($B105="","",'2-3_обработка'!U105)</f>
        <v>#REF!</v>
      </c>
    </row>
    <row r="106" spans="1:29">
      <c r="A106" s="80">
        <v>105</v>
      </c>
      <c r="B106" s="87" t="e">
        <f>IF(ЦТО!#REF!="","",ЦТО!#REF!)</f>
        <v>#REF!</v>
      </c>
      <c r="C106" s="80" t="e">
        <f>IF(ЦТО!#REF!="","",ЦТО!#REF!)</f>
        <v>#REF!</v>
      </c>
      <c r="E106" s="80" t="e">
        <f>IF($B106="","",'1_обработка CО,ВК,ЭК'!F108)</f>
        <v>#REF!</v>
      </c>
      <c r="F106" s="80" t="e">
        <f>IF($B106="","",'1_обработка CО,ВК,ЭК'!H107)</f>
        <v>#REF!</v>
      </c>
      <c r="G106" s="80" t="e">
        <f>IF($B106="","",'1_обработка CО,ВК,ЭК'!I107)</f>
        <v>#REF!</v>
      </c>
      <c r="M106" s="80" t="e">
        <f>IF($B106="","",'2-3_обработка'!J106)</f>
        <v>#REF!</v>
      </c>
      <c r="N106" s="80" t="e">
        <f>IF($B106="","",'2-3_обработка'!K106)</f>
        <v>#REF!</v>
      </c>
      <c r="O106" s="80" t="e">
        <f>IF($B106="","",'2-3_обработка'!L106)</f>
        <v>#REF!</v>
      </c>
      <c r="P106" s="80" t="e">
        <f>IF($B106="","",'2-3_обработка'!M106)</f>
        <v>#REF!</v>
      </c>
      <c r="Q106" s="80" t="e">
        <f>IF($B106="","",'2-3_обработка'!S106)</f>
        <v>#REF!</v>
      </c>
      <c r="R106" s="80" t="e">
        <f>IF($B106="","",'2-3_обработка'!O106)</f>
        <v>#REF!</v>
      </c>
      <c r="S106" s="80" t="e">
        <f>IF($B106="","",'2-3_обработка'!P106)</f>
        <v>#REF!</v>
      </c>
      <c r="T106" s="80" t="e">
        <f>IF($B106="","",'2-3_обработка'!Q106)</f>
        <v>#REF!</v>
      </c>
      <c r="U106" s="80" t="e">
        <f>IF($B106="","",'2-3_обработка'!R106)</f>
        <v>#REF!</v>
      </c>
      <c r="V106" s="80" t="e">
        <f>IF($B106="","",'2-3_обработка'!S106)</f>
        <v>#REF!</v>
      </c>
      <c r="W106" s="80" t="e">
        <f>IF($B106="","",'2-3_обработка'!T106)</f>
        <v>#REF!</v>
      </c>
      <c r="X106" s="80" t="e">
        <f>IF($B106="","",'2-3_обработка'!U106)</f>
        <v>#REF!</v>
      </c>
    </row>
    <row r="107" spans="1:29">
      <c r="A107" s="80">
        <v>106</v>
      </c>
      <c r="B107" s="87" t="e">
        <f>IF(ЦТО!#REF!="","",ЦТО!#REF!)</f>
        <v>#REF!</v>
      </c>
      <c r="C107" s="80" t="e">
        <f>IF(ЦТО!#REF!="","",ЦТО!#REF!)</f>
        <v>#REF!</v>
      </c>
      <c r="E107" s="80" t="e">
        <f>IF($B107="","",'1_обработка CО,ВК,ЭК'!F109)</f>
        <v>#REF!</v>
      </c>
      <c r="F107" s="80" t="e">
        <f>IF($B107="","",'1_обработка CО,ВК,ЭК'!H108)</f>
        <v>#REF!</v>
      </c>
      <c r="G107" s="80" t="e">
        <f>IF($B107="","",'1_обработка CО,ВК,ЭК'!I108)</f>
        <v>#REF!</v>
      </c>
      <c r="M107" s="80" t="e">
        <f>IF($B107="","",'2-3_обработка'!J107)</f>
        <v>#REF!</v>
      </c>
      <c r="N107" s="80" t="e">
        <f>IF($B107="","",'2-3_обработка'!K107)</f>
        <v>#REF!</v>
      </c>
      <c r="O107" s="80" t="e">
        <f>IF($B107="","",'2-3_обработка'!L107)</f>
        <v>#REF!</v>
      </c>
      <c r="P107" s="80" t="e">
        <f>IF($B107="","",'2-3_обработка'!M107)</f>
        <v>#REF!</v>
      </c>
      <c r="Q107" s="80" t="e">
        <f>IF($B107="","",'2-3_обработка'!S107)</f>
        <v>#REF!</v>
      </c>
      <c r="R107" s="80" t="e">
        <f>IF($B107="","",'2-3_обработка'!O107)</f>
        <v>#REF!</v>
      </c>
      <c r="S107" s="80" t="e">
        <f>IF($B107="","",'2-3_обработка'!P107)</f>
        <v>#REF!</v>
      </c>
      <c r="T107" s="80" t="e">
        <f>IF($B107="","",'2-3_обработка'!Q107)</f>
        <v>#REF!</v>
      </c>
      <c r="U107" s="80" t="e">
        <f>IF($B107="","",'2-3_обработка'!R107)</f>
        <v>#REF!</v>
      </c>
      <c r="V107" s="80" t="e">
        <f>IF($B107="","",'2-3_обработка'!S107)</f>
        <v>#REF!</v>
      </c>
      <c r="W107" s="80" t="e">
        <f>IF($B107="","",'2-3_обработка'!T107)</f>
        <v>#REF!</v>
      </c>
      <c r="X107" s="80" t="e">
        <f>IF($B107="","",'2-3_обработка'!U107)</f>
        <v>#REF!</v>
      </c>
    </row>
    <row r="108" spans="1:29" s="86" customFormat="1">
      <c r="A108" s="83">
        <v>107</v>
      </c>
      <c r="B108" s="88" t="e">
        <f>IF(ЦТО!#REF!="","",ЦТО!#REF!)</f>
        <v>#REF!</v>
      </c>
      <c r="C108" s="83" t="e">
        <f>IF(ЦТО!#REF!="","",ЦТО!#REF!)</f>
        <v>#REF!</v>
      </c>
      <c r="D108" s="83"/>
      <c r="E108" s="80" t="e">
        <f>IF($B108="","",'1_обработка CО,ВК,ЭК'!F110)</f>
        <v>#REF!</v>
      </c>
      <c r="F108" s="80" t="e">
        <f>IF($B108="","",'1_обработка CО,ВК,ЭК'!H109)</f>
        <v>#REF!</v>
      </c>
      <c r="G108" s="80" t="e">
        <f>IF($B108="","",'1_обработка CО,ВК,ЭК'!I109)</f>
        <v>#REF!</v>
      </c>
      <c r="H108" s="83"/>
      <c r="I108" s="83"/>
      <c r="J108" s="83"/>
      <c r="K108" s="83"/>
      <c r="L108" s="83"/>
      <c r="M108" s="83" t="e">
        <f>IF($B108="","",'2-3_обработка'!J108)</f>
        <v>#REF!</v>
      </c>
      <c r="N108" s="83" t="e">
        <f>IF($B108="","",'2-3_обработка'!K108)</f>
        <v>#REF!</v>
      </c>
      <c r="O108" s="83" t="e">
        <f>IF($B108="","",'2-3_обработка'!L108)</f>
        <v>#REF!</v>
      </c>
      <c r="P108" s="83" t="e">
        <f>IF($B108="","",'2-3_обработка'!M108)</f>
        <v>#REF!</v>
      </c>
      <c r="Q108" s="83" t="e">
        <f>IF($B108="","",'2-3_обработка'!S108)</f>
        <v>#REF!</v>
      </c>
      <c r="R108" s="83" t="e">
        <f>IF($B108="","",'2-3_обработка'!O108)</f>
        <v>#REF!</v>
      </c>
      <c r="S108" s="83" t="e">
        <f>IF($B108="","",'2-3_обработка'!P108)</f>
        <v>#REF!</v>
      </c>
      <c r="T108" s="83" t="e">
        <f>IF($B108="","",'2-3_обработка'!Q108)</f>
        <v>#REF!</v>
      </c>
      <c r="U108" s="83" t="e">
        <f>IF($B108="","",'2-3_обработка'!R108)</f>
        <v>#REF!</v>
      </c>
      <c r="V108" s="83" t="e">
        <f>IF($B108="","",'2-3_обработка'!S108)</f>
        <v>#REF!</v>
      </c>
      <c r="W108" s="83" t="e">
        <f>IF($B108="","",'2-3_обработка'!T108)</f>
        <v>#REF!</v>
      </c>
      <c r="X108" s="83" t="e">
        <f>IF($B108="","",'2-3_обработка'!U108)</f>
        <v>#REF!</v>
      </c>
      <c r="Y108" s="85"/>
      <c r="Z108" s="85"/>
      <c r="AA108" s="85"/>
      <c r="AB108" s="83"/>
      <c r="AC108" s="83"/>
    </row>
    <row r="109" spans="1:29" s="86" customFormat="1">
      <c r="A109" s="83">
        <v>108</v>
      </c>
      <c r="B109" s="88" t="e">
        <f>IF(ЦТО!#REF!="","",ЦТО!#REF!)</f>
        <v>#REF!</v>
      </c>
      <c r="C109" s="83" t="e">
        <f>IF(ЦТО!#REF!="","",ЦТО!#REF!)</f>
        <v>#REF!</v>
      </c>
      <c r="D109" s="83"/>
      <c r="E109" s="80" t="e">
        <f>IF($B109="","",'1_обработка CО,ВК,ЭК'!F111)</f>
        <v>#REF!</v>
      </c>
      <c r="F109" s="80" t="e">
        <f>IF($B109="","",'1_обработка CО,ВК,ЭК'!H110)</f>
        <v>#REF!</v>
      </c>
      <c r="G109" s="80" t="e">
        <f>IF($B109="","",'1_обработка CО,ВК,ЭК'!I110)</f>
        <v>#REF!</v>
      </c>
      <c r="H109" s="83"/>
      <c r="I109" s="83"/>
      <c r="J109" s="83"/>
      <c r="K109" s="83"/>
      <c r="L109" s="83"/>
      <c r="M109" s="83" t="e">
        <f>IF($B109="","",'2-3_обработка'!J109)</f>
        <v>#REF!</v>
      </c>
      <c r="N109" s="83" t="e">
        <f>IF($B109="","",'2-3_обработка'!K109)</f>
        <v>#REF!</v>
      </c>
      <c r="O109" s="83" t="e">
        <f>IF($B109="","",'2-3_обработка'!L109)</f>
        <v>#REF!</v>
      </c>
      <c r="P109" s="83" t="e">
        <f>IF($B109="","",'2-3_обработка'!M109)</f>
        <v>#REF!</v>
      </c>
      <c r="Q109" s="83" t="e">
        <f>IF($B109="","",'2-3_обработка'!S109)</f>
        <v>#REF!</v>
      </c>
      <c r="R109" s="83" t="e">
        <f>IF($B109="","",'2-3_обработка'!O109)</f>
        <v>#REF!</v>
      </c>
      <c r="S109" s="83" t="e">
        <f>IF($B109="","",'2-3_обработка'!P109)</f>
        <v>#REF!</v>
      </c>
      <c r="T109" s="83" t="e">
        <f>IF($B109="","",'2-3_обработка'!Q109)</f>
        <v>#REF!</v>
      </c>
      <c r="U109" s="83" t="e">
        <f>IF($B109="","",'2-3_обработка'!R109)</f>
        <v>#REF!</v>
      </c>
      <c r="V109" s="83" t="e">
        <f>IF($B109="","",'2-3_обработка'!S109)</f>
        <v>#REF!</v>
      </c>
      <c r="W109" s="83" t="e">
        <f>IF($B109="","",'2-3_обработка'!T109)</f>
        <v>#REF!</v>
      </c>
      <c r="X109" s="83" t="e">
        <f>IF($B109="","",'2-3_обработка'!U109)</f>
        <v>#REF!</v>
      </c>
      <c r="Y109" s="85"/>
      <c r="Z109" s="85"/>
      <c r="AA109" s="85"/>
      <c r="AB109" s="83"/>
      <c r="AC109" s="83"/>
    </row>
    <row r="110" spans="1:29">
      <c r="A110" s="80">
        <v>109</v>
      </c>
      <c r="B110" s="87" t="e">
        <f>IF(ЦТО!#REF!="","",ЦТО!#REF!)</f>
        <v>#REF!</v>
      </c>
      <c r="C110" s="80" t="e">
        <f>IF(ЦТО!#REF!="","",ЦТО!#REF!)</f>
        <v>#REF!</v>
      </c>
      <c r="E110" s="80" t="e">
        <f>IF($B110="","",'1_обработка CО,ВК,ЭК'!F112)</f>
        <v>#REF!</v>
      </c>
      <c r="F110" s="80" t="e">
        <f>IF($B110="","",'1_обработка CО,ВК,ЭК'!H111)</f>
        <v>#REF!</v>
      </c>
      <c r="G110" s="80" t="e">
        <f>IF($B110="","",'1_обработка CО,ВК,ЭК'!I111)</f>
        <v>#REF!</v>
      </c>
      <c r="M110" s="80" t="e">
        <f>IF($B110="","",'2-3_обработка'!J110)</f>
        <v>#REF!</v>
      </c>
      <c r="N110" s="80" t="e">
        <f>IF($B110="","",'2-3_обработка'!K110)</f>
        <v>#REF!</v>
      </c>
      <c r="O110" s="80" t="e">
        <f>IF($B110="","",'2-3_обработка'!L110)</f>
        <v>#REF!</v>
      </c>
      <c r="P110" s="80" t="e">
        <f>IF($B110="","",'2-3_обработка'!M110)</f>
        <v>#REF!</v>
      </c>
      <c r="Q110" s="80" t="e">
        <f>IF($B110="","",'2-3_обработка'!S110)</f>
        <v>#REF!</v>
      </c>
      <c r="R110" s="80" t="e">
        <f>IF($B110="","",'2-3_обработка'!O110)</f>
        <v>#REF!</v>
      </c>
      <c r="S110" s="80" t="e">
        <f>IF($B110="","",'2-3_обработка'!P110)</f>
        <v>#REF!</v>
      </c>
      <c r="T110" s="80" t="e">
        <f>IF($B110="","",'2-3_обработка'!Q110)</f>
        <v>#REF!</v>
      </c>
      <c r="U110" s="80" t="e">
        <f>IF($B110="","",'2-3_обработка'!R110)</f>
        <v>#REF!</v>
      </c>
      <c r="V110" s="80" t="e">
        <f>IF($B110="","",'2-3_обработка'!S110)</f>
        <v>#REF!</v>
      </c>
      <c r="W110" s="80" t="e">
        <f>IF($B110="","",'2-3_обработка'!T110)</f>
        <v>#REF!</v>
      </c>
      <c r="X110" s="80" t="e">
        <f>IF($B110="","",'2-3_обработка'!U110)</f>
        <v>#REF!</v>
      </c>
    </row>
    <row r="111" spans="1:29">
      <c r="A111" s="80">
        <v>110</v>
      </c>
      <c r="B111" s="87" t="e">
        <f>IF(ЦТО!#REF!="","",ЦТО!#REF!)</f>
        <v>#REF!</v>
      </c>
      <c r="C111" s="80" t="e">
        <f>IF(ЦТО!#REF!="","",ЦТО!#REF!)</f>
        <v>#REF!</v>
      </c>
      <c r="E111" s="80" t="e">
        <f>IF($B111="","",'1_обработка CО,ВК,ЭК'!F113)</f>
        <v>#REF!</v>
      </c>
      <c r="F111" s="80" t="e">
        <f>IF($B111="","",'1_обработка CО,ВК,ЭК'!H112)</f>
        <v>#REF!</v>
      </c>
      <c r="G111" s="80" t="e">
        <f>IF($B111="","",'1_обработка CО,ВК,ЭК'!I112)</f>
        <v>#REF!</v>
      </c>
      <c r="M111" s="80" t="e">
        <f>IF($B111="","",'2-3_обработка'!J111)</f>
        <v>#REF!</v>
      </c>
      <c r="N111" s="80" t="e">
        <f>IF($B111="","",'2-3_обработка'!K111)</f>
        <v>#REF!</v>
      </c>
      <c r="O111" s="80" t="e">
        <f>IF($B111="","",'2-3_обработка'!L111)</f>
        <v>#REF!</v>
      </c>
      <c r="P111" s="80" t="e">
        <f>IF($B111="","",'2-3_обработка'!M111)</f>
        <v>#REF!</v>
      </c>
      <c r="Q111" s="80" t="e">
        <f>IF($B111="","",'2-3_обработка'!S111)</f>
        <v>#REF!</v>
      </c>
      <c r="R111" s="80" t="e">
        <f>IF($B111="","",'2-3_обработка'!O111)</f>
        <v>#REF!</v>
      </c>
      <c r="S111" s="80" t="e">
        <f>IF($B111="","",'2-3_обработка'!P111)</f>
        <v>#REF!</v>
      </c>
      <c r="T111" s="80" t="e">
        <f>IF($B111="","",'2-3_обработка'!Q111)</f>
        <v>#REF!</v>
      </c>
      <c r="U111" s="80" t="e">
        <f>IF($B111="","",'2-3_обработка'!R111)</f>
        <v>#REF!</v>
      </c>
      <c r="V111" s="80" t="e">
        <f>IF($B111="","",'2-3_обработка'!S111)</f>
        <v>#REF!</v>
      </c>
      <c r="W111" s="80" t="e">
        <f>IF($B111="","",'2-3_обработка'!T111)</f>
        <v>#REF!</v>
      </c>
      <c r="X111" s="80" t="e">
        <f>IF($B111="","",'2-3_обработка'!U111)</f>
        <v>#REF!</v>
      </c>
    </row>
    <row r="112" spans="1:29">
      <c r="A112" s="80">
        <v>111</v>
      </c>
      <c r="B112" s="87" t="e">
        <f>IF(ЦТО!#REF!="","",ЦТО!#REF!)</f>
        <v>#REF!</v>
      </c>
      <c r="C112" s="80" t="e">
        <f>IF(ЦТО!#REF!="","",ЦТО!#REF!)</f>
        <v>#REF!</v>
      </c>
      <c r="E112" s="80" t="e">
        <f>IF($B112="","",'1_обработка CО,ВК,ЭК'!F114)</f>
        <v>#REF!</v>
      </c>
      <c r="F112" s="80" t="e">
        <f>IF($B112="","",'1_обработка CО,ВК,ЭК'!H113)</f>
        <v>#REF!</v>
      </c>
      <c r="G112" s="80" t="e">
        <f>IF($B112="","",'1_обработка CО,ВК,ЭК'!I113)</f>
        <v>#REF!</v>
      </c>
      <c r="M112" s="80" t="e">
        <f>IF($B112="","",'2-3_обработка'!J112)</f>
        <v>#REF!</v>
      </c>
      <c r="N112" s="80" t="e">
        <f>IF($B112="","",'2-3_обработка'!K112)</f>
        <v>#REF!</v>
      </c>
      <c r="O112" s="80" t="e">
        <f>IF($B112="","",'2-3_обработка'!L112)</f>
        <v>#REF!</v>
      </c>
      <c r="P112" s="80" t="e">
        <f>IF($B112="","",'2-3_обработка'!M112)</f>
        <v>#REF!</v>
      </c>
      <c r="Q112" s="80" t="e">
        <f>IF($B112="","",'2-3_обработка'!S112)</f>
        <v>#REF!</v>
      </c>
      <c r="R112" s="80" t="e">
        <f>IF($B112="","",'2-3_обработка'!O112)</f>
        <v>#REF!</v>
      </c>
      <c r="S112" s="80" t="e">
        <f>IF($B112="","",'2-3_обработка'!P112)</f>
        <v>#REF!</v>
      </c>
      <c r="T112" s="80" t="e">
        <f>IF($B112="","",'2-3_обработка'!Q112)</f>
        <v>#REF!</v>
      </c>
      <c r="U112" s="80" t="e">
        <f>IF($B112="","",'2-3_обработка'!R112)</f>
        <v>#REF!</v>
      </c>
      <c r="V112" s="80" t="e">
        <f>IF($B112="","",'2-3_обработка'!S112)</f>
        <v>#REF!</v>
      </c>
      <c r="W112" s="80" t="e">
        <f>IF($B112="","",'2-3_обработка'!T112)</f>
        <v>#REF!</v>
      </c>
      <c r="X112" s="80" t="e">
        <f>IF($B112="","",'2-3_обработка'!U112)</f>
        <v>#REF!</v>
      </c>
    </row>
    <row r="113" spans="1:29">
      <c r="A113" s="80">
        <v>112</v>
      </c>
      <c r="B113" s="87" t="e">
        <f>IF(ЦТО!#REF!="","",ЦТО!#REF!)</f>
        <v>#REF!</v>
      </c>
      <c r="C113" s="80" t="e">
        <f>IF(ЦТО!#REF!="","",ЦТО!#REF!)</f>
        <v>#REF!</v>
      </c>
      <c r="E113" s="80" t="e">
        <f>IF($B113="","",'1_обработка CО,ВК,ЭК'!F115)</f>
        <v>#REF!</v>
      </c>
      <c r="F113" s="80" t="e">
        <f>IF($B113="","",'1_обработка CО,ВК,ЭК'!H114)</f>
        <v>#REF!</v>
      </c>
      <c r="G113" s="80" t="e">
        <f>IF($B113="","",'1_обработка CО,ВК,ЭК'!I114)</f>
        <v>#REF!</v>
      </c>
      <c r="M113" s="80" t="e">
        <f>IF($B113="","",'2-3_обработка'!J113)</f>
        <v>#REF!</v>
      </c>
      <c r="N113" s="80" t="e">
        <f>IF($B113="","",'2-3_обработка'!K113)</f>
        <v>#REF!</v>
      </c>
      <c r="O113" s="80" t="e">
        <f>IF($B113="","",'2-3_обработка'!L113)</f>
        <v>#REF!</v>
      </c>
      <c r="P113" s="80" t="e">
        <f>IF($B113="","",'2-3_обработка'!M113)</f>
        <v>#REF!</v>
      </c>
      <c r="Q113" s="80" t="e">
        <f>IF($B113="","",'2-3_обработка'!S113)</f>
        <v>#REF!</v>
      </c>
      <c r="R113" s="80" t="e">
        <f>IF($B113="","",'2-3_обработка'!O113)</f>
        <v>#REF!</v>
      </c>
      <c r="S113" s="80" t="e">
        <f>IF($B113="","",'2-3_обработка'!P113)</f>
        <v>#REF!</v>
      </c>
      <c r="T113" s="80" t="e">
        <f>IF($B113="","",'2-3_обработка'!Q113)</f>
        <v>#REF!</v>
      </c>
      <c r="U113" s="80" t="e">
        <f>IF($B113="","",'2-3_обработка'!R113)</f>
        <v>#REF!</v>
      </c>
      <c r="V113" s="80" t="e">
        <f>IF($B113="","",'2-3_обработка'!S113)</f>
        <v>#REF!</v>
      </c>
      <c r="W113" s="80" t="e">
        <f>IF($B113="","",'2-3_обработка'!T113)</f>
        <v>#REF!</v>
      </c>
      <c r="X113" s="80" t="e">
        <f>IF($B113="","",'2-3_обработка'!U113)</f>
        <v>#REF!</v>
      </c>
    </row>
    <row r="114" spans="1:29">
      <c r="A114" s="80">
        <v>113</v>
      </c>
      <c r="B114" s="87" t="e">
        <f>IF(ЦТО!#REF!="","",ЦТО!#REF!)</f>
        <v>#REF!</v>
      </c>
      <c r="C114" s="80" t="e">
        <f>IF(ЦТО!#REF!="","",ЦТО!#REF!)</f>
        <v>#REF!</v>
      </c>
      <c r="E114" s="80" t="e">
        <f>IF($B114="","",'1_обработка CО,ВК,ЭК'!F116)</f>
        <v>#REF!</v>
      </c>
      <c r="F114" s="80" t="e">
        <f>IF($B114="","",'1_обработка CО,ВК,ЭК'!H115)</f>
        <v>#REF!</v>
      </c>
      <c r="G114" s="80" t="e">
        <f>IF($B114="","",'1_обработка CО,ВК,ЭК'!I115)</f>
        <v>#REF!</v>
      </c>
      <c r="M114" s="80" t="e">
        <f>IF($B114="","",'2-3_обработка'!J114)</f>
        <v>#REF!</v>
      </c>
      <c r="N114" s="80" t="e">
        <f>IF($B114="","",'2-3_обработка'!K114)</f>
        <v>#REF!</v>
      </c>
      <c r="O114" s="80" t="e">
        <f>IF($B114="","",'2-3_обработка'!L114)</f>
        <v>#REF!</v>
      </c>
      <c r="P114" s="80" t="e">
        <f>IF($B114="","",'2-3_обработка'!M114)</f>
        <v>#REF!</v>
      </c>
      <c r="Q114" s="80" t="e">
        <f>IF($B114="","",'2-3_обработка'!S114)</f>
        <v>#REF!</v>
      </c>
      <c r="R114" s="80" t="e">
        <f>IF($B114="","",'2-3_обработка'!O114)</f>
        <v>#REF!</v>
      </c>
      <c r="S114" s="80" t="e">
        <f>IF($B114="","",'2-3_обработка'!P114)</f>
        <v>#REF!</v>
      </c>
      <c r="T114" s="80" t="e">
        <f>IF($B114="","",'2-3_обработка'!Q114)</f>
        <v>#REF!</v>
      </c>
      <c r="U114" s="80" t="e">
        <f>IF($B114="","",'2-3_обработка'!R114)</f>
        <v>#REF!</v>
      </c>
      <c r="V114" s="80" t="e">
        <f>IF($B114="","",'2-3_обработка'!S114)</f>
        <v>#REF!</v>
      </c>
      <c r="W114" s="80" t="e">
        <f>IF($B114="","",'2-3_обработка'!T114)</f>
        <v>#REF!</v>
      </c>
      <c r="X114" s="80" t="e">
        <f>IF($B114="","",'2-3_обработка'!U114)</f>
        <v>#REF!</v>
      </c>
    </row>
    <row r="115" spans="1:29">
      <c r="A115" s="80">
        <v>114</v>
      </c>
      <c r="B115" s="87" t="e">
        <f>IF(ЦТО!#REF!="","",ЦТО!#REF!)</f>
        <v>#REF!</v>
      </c>
      <c r="C115" s="80" t="e">
        <f>IF(ЦТО!#REF!="","",ЦТО!#REF!)</f>
        <v>#REF!</v>
      </c>
      <c r="E115" s="80" t="e">
        <f>IF($B115="","",'1_обработка CО,ВК,ЭК'!F117)</f>
        <v>#REF!</v>
      </c>
      <c r="F115" s="80" t="e">
        <f>IF($B115="","",'1_обработка CО,ВК,ЭК'!H116)</f>
        <v>#REF!</v>
      </c>
      <c r="G115" s="80" t="e">
        <f>IF($B115="","",'1_обработка CО,ВК,ЭК'!I116)</f>
        <v>#REF!</v>
      </c>
      <c r="M115" s="80" t="e">
        <f>IF($B115="","",'2-3_обработка'!J115)</f>
        <v>#REF!</v>
      </c>
      <c r="N115" s="80" t="e">
        <f>IF($B115="","",'2-3_обработка'!K115)</f>
        <v>#REF!</v>
      </c>
      <c r="O115" s="80" t="e">
        <f>IF($B115="","",'2-3_обработка'!L115)</f>
        <v>#REF!</v>
      </c>
      <c r="P115" s="80" t="e">
        <f>IF($B115="","",'2-3_обработка'!M115)</f>
        <v>#REF!</v>
      </c>
      <c r="Q115" s="80" t="e">
        <f>IF($B115="","",'2-3_обработка'!S115)</f>
        <v>#REF!</v>
      </c>
      <c r="R115" s="80" t="e">
        <f>IF($B115="","",'2-3_обработка'!O115)</f>
        <v>#REF!</v>
      </c>
      <c r="S115" s="80" t="e">
        <f>IF($B115="","",'2-3_обработка'!P115)</f>
        <v>#REF!</v>
      </c>
      <c r="T115" s="80" t="e">
        <f>IF($B115="","",'2-3_обработка'!Q115)</f>
        <v>#REF!</v>
      </c>
      <c r="U115" s="80" t="e">
        <f>IF($B115="","",'2-3_обработка'!R115)</f>
        <v>#REF!</v>
      </c>
      <c r="V115" s="80" t="e">
        <f>IF($B115="","",'2-3_обработка'!S115)</f>
        <v>#REF!</v>
      </c>
      <c r="W115" s="80" t="e">
        <f>IF($B115="","",'2-3_обработка'!T115)</f>
        <v>#REF!</v>
      </c>
      <c r="X115" s="80" t="e">
        <f>IF($B115="","",'2-3_обработка'!U115)</f>
        <v>#REF!</v>
      </c>
    </row>
    <row r="116" spans="1:29">
      <c r="A116" s="80">
        <v>115</v>
      </c>
      <c r="B116" s="87" t="e">
        <f>IF(ЦТО!#REF!="","",ЦТО!#REF!)</f>
        <v>#REF!</v>
      </c>
      <c r="C116" s="80" t="e">
        <f>IF(ЦТО!#REF!="","",ЦТО!#REF!)</f>
        <v>#REF!</v>
      </c>
      <c r="E116" s="80" t="e">
        <f>IF($B116="","",'1_обработка CО,ВК,ЭК'!F118)</f>
        <v>#REF!</v>
      </c>
      <c r="F116" s="80" t="e">
        <f>IF($B116="","",'1_обработка CО,ВК,ЭК'!H117)</f>
        <v>#REF!</v>
      </c>
      <c r="G116" s="80" t="e">
        <f>IF($B116="","",'1_обработка CО,ВК,ЭК'!I117)</f>
        <v>#REF!</v>
      </c>
      <c r="M116" s="80" t="e">
        <f>IF($B116="","",'2-3_обработка'!J116)</f>
        <v>#REF!</v>
      </c>
      <c r="N116" s="80" t="e">
        <f>IF($B116="","",'2-3_обработка'!K116)</f>
        <v>#REF!</v>
      </c>
      <c r="O116" s="80" t="e">
        <f>IF($B116="","",'2-3_обработка'!L116)</f>
        <v>#REF!</v>
      </c>
      <c r="P116" s="80" t="e">
        <f>IF($B116="","",'2-3_обработка'!M116)</f>
        <v>#REF!</v>
      </c>
      <c r="Q116" s="80" t="e">
        <f>IF($B116="","",'2-3_обработка'!S116)</f>
        <v>#REF!</v>
      </c>
      <c r="R116" s="80" t="e">
        <f>IF($B116="","",'2-3_обработка'!O116)</f>
        <v>#REF!</v>
      </c>
      <c r="S116" s="80" t="e">
        <f>IF($B116="","",'2-3_обработка'!P116)</f>
        <v>#REF!</v>
      </c>
      <c r="T116" s="80" t="e">
        <f>IF($B116="","",'2-3_обработка'!Q116)</f>
        <v>#REF!</v>
      </c>
      <c r="U116" s="80" t="e">
        <f>IF($B116="","",'2-3_обработка'!R116)</f>
        <v>#REF!</v>
      </c>
      <c r="V116" s="80" t="e">
        <f>IF($B116="","",'2-3_обработка'!S116)</f>
        <v>#REF!</v>
      </c>
      <c r="W116" s="80" t="e">
        <f>IF($B116="","",'2-3_обработка'!T116)</f>
        <v>#REF!</v>
      </c>
      <c r="X116" s="80" t="e">
        <f>IF($B116="","",'2-3_обработка'!U116)</f>
        <v>#REF!</v>
      </c>
    </row>
    <row r="117" spans="1:29">
      <c r="A117" s="80">
        <v>116</v>
      </c>
      <c r="B117" s="87" t="e">
        <f>IF(ЦТО!#REF!="","",ЦТО!#REF!)</f>
        <v>#REF!</v>
      </c>
      <c r="C117" s="80" t="e">
        <f>IF(ЦТО!#REF!="","",ЦТО!#REF!)</f>
        <v>#REF!</v>
      </c>
      <c r="E117" s="80" t="e">
        <f>IF($B117="","",'1_обработка CО,ВК,ЭК'!F119)</f>
        <v>#REF!</v>
      </c>
      <c r="F117" s="80" t="e">
        <f>IF($B117="","",'1_обработка CО,ВК,ЭК'!H118)</f>
        <v>#REF!</v>
      </c>
      <c r="G117" s="80" t="e">
        <f>IF($B117="","",'1_обработка CО,ВК,ЭК'!I118)</f>
        <v>#REF!</v>
      </c>
      <c r="M117" s="80" t="e">
        <f>IF($B117="","",'2-3_обработка'!J117)</f>
        <v>#REF!</v>
      </c>
      <c r="N117" s="80" t="e">
        <f>IF($B117="","",'2-3_обработка'!K117)</f>
        <v>#REF!</v>
      </c>
      <c r="O117" s="80" t="e">
        <f>IF($B117="","",'2-3_обработка'!L117)</f>
        <v>#REF!</v>
      </c>
      <c r="P117" s="80" t="e">
        <f>IF($B117="","",'2-3_обработка'!M117)</f>
        <v>#REF!</v>
      </c>
      <c r="Q117" s="80" t="e">
        <f>IF($B117="","",'2-3_обработка'!S117)</f>
        <v>#REF!</v>
      </c>
      <c r="R117" s="80" t="e">
        <f>IF($B117="","",'2-3_обработка'!O117)</f>
        <v>#REF!</v>
      </c>
      <c r="S117" s="80" t="e">
        <f>IF($B117="","",'2-3_обработка'!P117)</f>
        <v>#REF!</v>
      </c>
      <c r="T117" s="80" t="e">
        <f>IF($B117="","",'2-3_обработка'!Q117)</f>
        <v>#REF!</v>
      </c>
      <c r="U117" s="80" t="e">
        <f>IF($B117="","",'2-3_обработка'!R117)</f>
        <v>#REF!</v>
      </c>
      <c r="V117" s="80" t="e">
        <f>IF($B117="","",'2-3_обработка'!S117)</f>
        <v>#REF!</v>
      </c>
      <c r="W117" s="80" t="e">
        <f>IF($B117="","",'2-3_обработка'!T117)</f>
        <v>#REF!</v>
      </c>
      <c r="X117" s="80" t="e">
        <f>IF($B117="","",'2-3_обработка'!U117)</f>
        <v>#REF!</v>
      </c>
    </row>
    <row r="118" spans="1:29">
      <c r="A118" s="80">
        <v>117</v>
      </c>
      <c r="B118" s="87" t="e">
        <f>IF(ЦТО!#REF!="","",ЦТО!#REF!)</f>
        <v>#REF!</v>
      </c>
      <c r="C118" s="80" t="e">
        <f>IF(ЦТО!#REF!="","",ЦТО!#REF!)</f>
        <v>#REF!</v>
      </c>
      <c r="E118" s="80" t="e">
        <f>IF($B118="","",'1_обработка CО,ВК,ЭК'!F120)</f>
        <v>#REF!</v>
      </c>
      <c r="F118" s="80" t="e">
        <f>IF($B118="","",'1_обработка CО,ВК,ЭК'!H119)</f>
        <v>#REF!</v>
      </c>
      <c r="G118" s="80" t="e">
        <f>IF($B118="","",'1_обработка CО,ВК,ЭК'!I119)</f>
        <v>#REF!</v>
      </c>
      <c r="M118" s="80" t="e">
        <f>IF($B118="","",'2-3_обработка'!J118)</f>
        <v>#REF!</v>
      </c>
      <c r="N118" s="80" t="e">
        <f>IF($B118="","",'2-3_обработка'!K118)</f>
        <v>#REF!</v>
      </c>
      <c r="O118" s="80" t="e">
        <f>IF($B118="","",'2-3_обработка'!L118)</f>
        <v>#REF!</v>
      </c>
      <c r="P118" s="80" t="e">
        <f>IF($B118="","",'2-3_обработка'!M118)</f>
        <v>#REF!</v>
      </c>
      <c r="Q118" s="80" t="e">
        <f>IF($B118="","",'2-3_обработка'!S118)</f>
        <v>#REF!</v>
      </c>
      <c r="R118" s="80" t="e">
        <f>IF($B118="","",'2-3_обработка'!O118)</f>
        <v>#REF!</v>
      </c>
      <c r="S118" s="80" t="e">
        <f>IF($B118="","",'2-3_обработка'!P118)</f>
        <v>#REF!</v>
      </c>
      <c r="T118" s="80" t="e">
        <f>IF($B118="","",'2-3_обработка'!Q118)</f>
        <v>#REF!</v>
      </c>
      <c r="U118" s="80" t="e">
        <f>IF($B118="","",'2-3_обработка'!R118)</f>
        <v>#REF!</v>
      </c>
      <c r="V118" s="80" t="e">
        <f>IF($B118="","",'2-3_обработка'!S118)</f>
        <v>#REF!</v>
      </c>
      <c r="W118" s="80" t="e">
        <f>IF($B118="","",'2-3_обработка'!T118)</f>
        <v>#REF!</v>
      </c>
      <c r="X118" s="80" t="e">
        <f>IF($B118="","",'2-3_обработка'!U118)</f>
        <v>#REF!</v>
      </c>
    </row>
    <row r="119" spans="1:29" s="86" customFormat="1">
      <c r="A119" s="83">
        <v>118</v>
      </c>
      <c r="B119" s="88" t="e">
        <f>IF(ЦТО!#REF!="","",ЦТО!#REF!)</f>
        <v>#REF!</v>
      </c>
      <c r="C119" s="83" t="e">
        <f>IF(ЦТО!#REF!="","",ЦТО!#REF!)</f>
        <v>#REF!</v>
      </c>
      <c r="D119" s="83"/>
      <c r="E119" s="80" t="e">
        <f>IF($B119="","",'1_обработка CО,ВК,ЭК'!F121)</f>
        <v>#REF!</v>
      </c>
      <c r="F119" s="80" t="e">
        <f>IF($B119="","",'1_обработка CО,ВК,ЭК'!H120)</f>
        <v>#REF!</v>
      </c>
      <c r="G119" s="80" t="e">
        <f>IF($B119="","",'1_обработка CО,ВК,ЭК'!I120)</f>
        <v>#REF!</v>
      </c>
      <c r="H119" s="83"/>
      <c r="I119" s="83"/>
      <c r="J119" s="83"/>
      <c r="K119" s="83"/>
      <c r="L119" s="83"/>
      <c r="M119" s="83" t="e">
        <f>IF($B119="","",'2-3_обработка'!J119)</f>
        <v>#REF!</v>
      </c>
      <c r="N119" s="83" t="e">
        <f>IF($B119="","",'2-3_обработка'!K119)</f>
        <v>#REF!</v>
      </c>
      <c r="O119" s="83" t="e">
        <f>IF($B119="","",'2-3_обработка'!L119)</f>
        <v>#REF!</v>
      </c>
      <c r="P119" s="83" t="e">
        <f>IF($B119="","",'2-3_обработка'!M119)</f>
        <v>#REF!</v>
      </c>
      <c r="Q119" s="83" t="e">
        <f>IF($B119="","",'2-3_обработка'!S119)</f>
        <v>#REF!</v>
      </c>
      <c r="R119" s="83" t="e">
        <f>IF($B119="","",'2-3_обработка'!O119)</f>
        <v>#REF!</v>
      </c>
      <c r="S119" s="83" t="e">
        <f>IF($B119="","",'2-3_обработка'!P119)</f>
        <v>#REF!</v>
      </c>
      <c r="T119" s="83" t="e">
        <f>IF($B119="","",'2-3_обработка'!Q119)</f>
        <v>#REF!</v>
      </c>
      <c r="U119" s="83" t="e">
        <f>IF($B119="","",'2-3_обработка'!R119)</f>
        <v>#REF!</v>
      </c>
      <c r="V119" s="83" t="e">
        <f>IF($B119="","",'2-3_обработка'!S119)</f>
        <v>#REF!</v>
      </c>
      <c r="W119" s="83" t="e">
        <f>IF($B119="","",'2-3_обработка'!T119)</f>
        <v>#REF!</v>
      </c>
      <c r="X119" s="83" t="e">
        <f>IF($B119="","",'2-3_обработка'!U119)</f>
        <v>#REF!</v>
      </c>
      <c r="Y119" s="85"/>
      <c r="Z119" s="85"/>
      <c r="AA119" s="85"/>
      <c r="AB119" s="83"/>
      <c r="AC119" s="83"/>
    </row>
    <row r="120" spans="1:29">
      <c r="A120" s="80">
        <v>119</v>
      </c>
      <c r="B120" s="87" t="e">
        <f>IF(ЦТО!#REF!="","",ЦТО!#REF!)</f>
        <v>#REF!</v>
      </c>
      <c r="C120" s="80" t="e">
        <f>IF(ЦТО!#REF!="","",ЦТО!#REF!)</f>
        <v>#REF!</v>
      </c>
      <c r="E120" s="80" t="e">
        <f>IF($B120="","",'1_обработка CО,ВК,ЭК'!F122)</f>
        <v>#REF!</v>
      </c>
      <c r="F120" s="80" t="e">
        <f>IF($B120="","",'1_обработка CО,ВК,ЭК'!H121)</f>
        <v>#REF!</v>
      </c>
      <c r="G120" s="80" t="e">
        <f>IF($B120="","",'1_обработка CО,ВК,ЭК'!I121)</f>
        <v>#REF!</v>
      </c>
      <c r="M120" s="80" t="e">
        <f>IF($B120="","",'2-3_обработка'!J120)</f>
        <v>#REF!</v>
      </c>
      <c r="N120" s="80" t="e">
        <f>IF($B120="","",'2-3_обработка'!K120)</f>
        <v>#REF!</v>
      </c>
      <c r="O120" s="80" t="e">
        <f>IF($B120="","",'2-3_обработка'!L120)</f>
        <v>#REF!</v>
      </c>
      <c r="P120" s="80" t="e">
        <f>IF($B120="","",'2-3_обработка'!M120)</f>
        <v>#REF!</v>
      </c>
      <c r="Q120" s="80" t="e">
        <f>IF($B120="","",'2-3_обработка'!S120)</f>
        <v>#REF!</v>
      </c>
      <c r="R120" s="80" t="e">
        <f>IF($B120="","",'2-3_обработка'!O120)</f>
        <v>#REF!</v>
      </c>
      <c r="S120" s="80" t="e">
        <f>IF($B120="","",'2-3_обработка'!P120)</f>
        <v>#REF!</v>
      </c>
      <c r="T120" s="80" t="e">
        <f>IF($B120="","",'2-3_обработка'!Q120)</f>
        <v>#REF!</v>
      </c>
      <c r="U120" s="80" t="e">
        <f>IF($B120="","",'2-3_обработка'!R120)</f>
        <v>#REF!</v>
      </c>
      <c r="V120" s="80" t="e">
        <f>IF($B120="","",'2-3_обработка'!S120)</f>
        <v>#REF!</v>
      </c>
      <c r="W120" s="80" t="e">
        <f>IF($B120="","",'2-3_обработка'!T120)</f>
        <v>#REF!</v>
      </c>
      <c r="X120" s="80" t="e">
        <f>IF($B120="","",'2-3_обработка'!U120)</f>
        <v>#REF!</v>
      </c>
    </row>
    <row r="121" spans="1:29">
      <c r="B121" s="87" t="e">
        <f>IF(ЦТО!#REF!="","",ЦТО!#REF!)</f>
        <v>#REF!</v>
      </c>
    </row>
    <row r="122" spans="1:29">
      <c r="B122" s="87" t="str">
        <f>IF(ЦТО!B28="","",ЦТО!B28)</f>
        <v/>
      </c>
    </row>
    <row r="123" spans="1:29">
      <c r="B123" s="87" t="str">
        <f>IF(ЦТО!B29="","",ЦТО!B29)</f>
        <v/>
      </c>
    </row>
    <row r="124" spans="1:29">
      <c r="B124" s="87" t="str">
        <f>IF(ЦТО!B30="","",ЦТО!B30)</f>
        <v/>
      </c>
    </row>
    <row r="125" spans="1:29">
      <c r="B125" s="87" t="str">
        <f>IF(ЦТО!B31="","",ЦТО!B31)</f>
        <v/>
      </c>
    </row>
    <row r="126" spans="1:29">
      <c r="B126" s="87" t="str">
        <f>IF(ЦТО!B32="","",ЦТО!B32)</f>
        <v/>
      </c>
    </row>
    <row r="127" spans="1:29">
      <c r="B127" s="87" t="str">
        <f>IF(ЦТО!B33="","",ЦТО!B33)</f>
        <v/>
      </c>
    </row>
    <row r="128" spans="1:29">
      <c r="B128" s="87" t="str">
        <f>IF(ЦТО!B34="","",ЦТО!B34)</f>
        <v/>
      </c>
    </row>
    <row r="129" spans="2:2">
      <c r="B129" s="87" t="str">
        <f>IF(ЦТО!B35="","",ЦТО!B35)</f>
        <v/>
      </c>
    </row>
  </sheetData>
  <autoFilter ref="A1:G129" xr:uid="{00000000-0001-0000-0300-000000000000}"/>
  <mergeCells count="28">
    <mergeCell ref="B1:B2"/>
    <mergeCell ref="C1:C2"/>
    <mergeCell ref="D1:D2"/>
    <mergeCell ref="E1:E2"/>
    <mergeCell ref="F1:F2"/>
    <mergeCell ref="R1:R2"/>
    <mergeCell ref="S1:S2"/>
    <mergeCell ref="T1:T2"/>
    <mergeCell ref="U1:U2"/>
    <mergeCell ref="G1:G2"/>
    <mergeCell ref="M1:M2"/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V1:V2"/>
    <mergeCell ref="Z1:Z2"/>
    <mergeCell ref="AA1:AA2"/>
    <mergeCell ref="AC1:AC2"/>
    <mergeCell ref="Y1:Y2"/>
    <mergeCell ref="AB1:AB2"/>
    <mergeCell ref="X1:X2"/>
    <mergeCell ref="W1:W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F789D80-7B3E-4E68-A9AD-E5B799B95296}">
            <xm:f>NOT(ISERROR(SEARCH('вспомогательные данные'!$C$3,M3)))</xm:f>
            <xm:f>'вспомогательные данные'!$C$3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" operator="containsText" id="{65C9BA3A-19D5-4827-8934-49CDDCD2A3C6}">
            <xm:f>NOT(ISERROR(SEARCH('вспомогательные данные'!$C$2,M3)))</xm:f>
            <xm:f>'вспомогательные данные'!$C$2</xm:f>
            <x14:dxf>
              <fill>
                <patternFill>
                  <bgColor theme="9" tint="0.79998168889431442"/>
                </patternFill>
              </fill>
            </x14:dxf>
          </x14:cfRule>
          <xm:sqref>M3:AB101 M102:X120</xm:sqref>
        </x14:conditionalFormatting>
        <x14:conditionalFormatting xmlns:xm="http://schemas.microsoft.com/office/excel/2006/main">
          <x14:cfRule type="containsText" priority="1" operator="containsText" id="{EF2F7831-3E9E-42D4-AB29-208B1C58D981}">
            <xm:f>NOT(ISERROR(SEARCH('вспомогательные данные'!$F$5,AB3)))</xm:f>
            <xm:f>'вспомогательные данные'!$F$5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" operator="containsText" id="{4164C897-FDBA-4048-A6D8-2C4A07CEF8FE}">
            <xm:f>NOT(ISERROR(SEARCH('вспомогательные данные'!$G$6,AB3)))</xm:f>
            <xm:f>'вспомогательные данные'!$G$6</xm:f>
            <x14:dxf>
              <fill>
                <patternFill>
                  <bgColor rgb="FFFF0000"/>
                </patternFill>
              </fill>
            </x14:dxf>
          </x14:cfRule>
          <xm:sqref>AB3:AB101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'вспомогательные данные'!$F$10:$F$12</xm:f>
          </x14:formula1>
          <xm:sqref>AC3:AC101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view="pageBreakPreview" zoomScale="108" zoomScaleNormal="100" workbookViewId="0">
      <selection activeCell="A16" sqref="A16:B16"/>
    </sheetView>
  </sheetViews>
  <sheetFormatPr defaultColWidth="9.1796875" defaultRowHeight="14.5"/>
  <cols>
    <col min="1" max="1" width="11" style="15" customWidth="1"/>
    <col min="2" max="5" width="9.1796875" style="15"/>
    <col min="6" max="6" width="14.6328125" style="15" customWidth="1"/>
    <col min="7" max="7" width="9.6328125" style="15" customWidth="1"/>
    <col min="8" max="8" width="9.1796875" style="15"/>
    <col min="9" max="9" width="12.36328125" style="15" customWidth="1"/>
    <col min="10" max="16384" width="9.1796875" style="15"/>
  </cols>
  <sheetData>
    <row r="1" spans="1:14" ht="30" customHeight="1">
      <c r="A1" s="147" t="s">
        <v>108</v>
      </c>
      <c r="B1" s="147"/>
      <c r="C1" s="147"/>
      <c r="D1" s="147"/>
      <c r="E1" s="147"/>
      <c r="F1" s="147"/>
      <c r="G1" s="147"/>
      <c r="H1" s="147"/>
      <c r="I1" s="147"/>
    </row>
    <row r="2" spans="1:14" ht="9" customHeight="1"/>
    <row r="3" spans="1:14" ht="21">
      <c r="A3" s="23" t="s">
        <v>64</v>
      </c>
      <c r="B3" s="24">
        <v>2</v>
      </c>
      <c r="C3" s="16" t="s">
        <v>63</v>
      </c>
      <c r="D3" s="28" t="str">
        <f>INDEX(ИТОГ!B3:B101,Результат!B3,1)</f>
        <v>Б</v>
      </c>
      <c r="E3" s="21"/>
      <c r="F3" s="22"/>
      <c r="G3" s="16" t="s">
        <v>24</v>
      </c>
      <c r="H3" s="148" t="str">
        <f>INDEX(ИТОГ!D3:D101,Результат!B3,1)</f>
        <v/>
      </c>
      <c r="I3" s="149"/>
      <c r="M3" s="17"/>
      <c r="N3" s="17"/>
    </row>
    <row r="4" spans="1:14" ht="9" customHeight="1">
      <c r="A4" s="18"/>
      <c r="B4" s="18"/>
      <c r="C4" s="18"/>
      <c r="D4" s="18"/>
      <c r="E4" s="18"/>
      <c r="F4" s="18"/>
      <c r="G4" s="18"/>
      <c r="H4" s="18"/>
      <c r="I4" s="18"/>
      <c r="J4" s="19"/>
    </row>
    <row r="5" spans="1:14" ht="18.5">
      <c r="A5" s="25" t="s">
        <v>65</v>
      </c>
      <c r="B5" s="26"/>
      <c r="C5" s="26"/>
      <c r="D5" s="26"/>
      <c r="E5" s="26"/>
      <c r="F5" s="26"/>
      <c r="G5" s="26"/>
      <c r="H5" s="26"/>
      <c r="I5" s="27">
        <f>INDEX('1_обработка CО,ВК,ЭК'!G4:G103,Результат!B3,1)</f>
        <v>1.1818181818181819</v>
      </c>
      <c r="J5" s="19"/>
    </row>
    <row r="6" spans="1:14" s="20" customFormat="1" ht="19.5" customHeight="1">
      <c r="A6" s="140" t="str">
        <f>IF(I5&lt;0.51,'вспомогательные данные'!$B$19,IF(I5&lt;0.92,'вспомогательные данные'!$B$20, IF(I5&lt;2,'вспомогательные данные'!$B$21,'вспомогательные данные'!$B$22)))</f>
        <v>Оптимальная работоспособность. Ребенок отличается бодростью, здоровой активностью, готовностью к энергозатратам. Нагрузки соответствуют возможностям. Образ жизни позволяет ребенку восстанавливать затраченную энергию.</v>
      </c>
      <c r="B6" s="141"/>
      <c r="C6" s="141"/>
      <c r="D6" s="141"/>
      <c r="E6" s="141"/>
      <c r="F6" s="141"/>
      <c r="G6" s="141"/>
      <c r="H6" s="141"/>
      <c r="I6" s="142"/>
      <c r="J6" s="15"/>
      <c r="K6" s="15"/>
    </row>
    <row r="7" spans="1:14" s="20" customFormat="1" ht="25.5" customHeight="1">
      <c r="A7" s="143"/>
      <c r="B7" s="144"/>
      <c r="C7" s="144"/>
      <c r="D7" s="144"/>
      <c r="E7" s="144"/>
      <c r="F7" s="144"/>
      <c r="G7" s="144"/>
      <c r="H7" s="144"/>
      <c r="I7" s="145"/>
      <c r="J7" s="15"/>
      <c r="K7" s="15"/>
    </row>
    <row r="8" spans="1:14" ht="18.5">
      <c r="A8" s="25" t="s">
        <v>51</v>
      </c>
      <c r="B8" s="26"/>
      <c r="C8" s="26"/>
      <c r="D8" s="26"/>
      <c r="E8" s="26"/>
      <c r="F8" s="26"/>
      <c r="G8" s="26"/>
      <c r="H8" s="26"/>
      <c r="I8" s="27">
        <f>INDEX('1_обработка CО,ВК,ЭК'!E4:E103,Результат!B3,1)</f>
        <v>20</v>
      </c>
      <c r="J8" s="19"/>
    </row>
    <row r="9" spans="1:14" s="20" customFormat="1" ht="19" customHeight="1">
      <c r="A9" s="140" t="str">
        <f>IF(I8&lt;10,'вспомогательные данные'!$B$26,IF(I8&lt;19,'вспомогательные данные'!$B$25,'вспомогательные данные'!$B$24))</f>
        <v>Преобладание отрицательных эмоций. У ребенка доминируют плохое настроение и неприятные переживания. Имеются проблемы, которые ребенок не может решить самостоятельно.</v>
      </c>
      <c r="B9" s="141"/>
      <c r="C9" s="141"/>
      <c r="D9" s="141"/>
      <c r="E9" s="141"/>
      <c r="F9" s="141"/>
      <c r="G9" s="141"/>
      <c r="H9" s="141"/>
      <c r="I9" s="142"/>
      <c r="J9" s="15"/>
      <c r="K9" s="15"/>
    </row>
    <row r="10" spans="1:14" s="20" customFormat="1" ht="19" customHeight="1">
      <c r="A10" s="143"/>
      <c r="B10" s="144"/>
      <c r="C10" s="144"/>
      <c r="D10" s="144"/>
      <c r="E10" s="144"/>
      <c r="F10" s="144"/>
      <c r="G10" s="144"/>
      <c r="H10" s="144"/>
      <c r="I10" s="145"/>
      <c r="J10" s="15"/>
      <c r="K10" s="15"/>
    </row>
    <row r="11" spans="1:14" ht="18.5">
      <c r="A11" s="128" t="s">
        <v>48</v>
      </c>
      <c r="B11" s="129"/>
      <c r="C11" s="129"/>
      <c r="D11" s="129"/>
      <c r="E11" s="129"/>
      <c r="F11" s="129"/>
      <c r="G11" s="129"/>
      <c r="H11" s="129"/>
      <c r="I11" s="130"/>
      <c r="J11" s="19"/>
    </row>
    <row r="12" spans="1:14" s="20" customFormat="1" ht="19" customHeight="1">
      <c r="A12" s="146" t="str">
        <f>INDEX('1_обработка CО,ВК,ЭК'!I4:I103,Результат!B3,1)</f>
        <v>Инфантильная</v>
      </c>
      <c r="B12" s="146"/>
      <c r="C12" s="146"/>
      <c r="D12" s="146"/>
      <c r="E12" s="146"/>
      <c r="F12" s="146"/>
      <c r="G12" s="146"/>
      <c r="H12" s="146"/>
      <c r="I12" s="146"/>
      <c r="J12" s="15"/>
      <c r="K12" s="15"/>
    </row>
    <row r="13" spans="1:14" s="20" customFormat="1" ht="19" customHeight="1">
      <c r="A13" s="146"/>
      <c r="B13" s="146"/>
      <c r="C13" s="146"/>
      <c r="D13" s="146"/>
      <c r="E13" s="146"/>
      <c r="F13" s="146"/>
      <c r="G13" s="146"/>
      <c r="H13" s="146"/>
      <c r="I13" s="146"/>
      <c r="J13" s="15"/>
      <c r="K13" s="15"/>
    </row>
    <row r="14" spans="1:14" ht="19" customHeight="1">
      <c r="A14" s="128" t="s">
        <v>66</v>
      </c>
      <c r="B14" s="129"/>
      <c r="C14" s="129"/>
      <c r="D14" s="129"/>
      <c r="E14" s="129"/>
      <c r="F14" s="129"/>
      <c r="G14" s="129"/>
      <c r="H14" s="129"/>
      <c r="I14" s="130"/>
    </row>
    <row r="15" spans="1:14" ht="19" customHeight="1">
      <c r="A15" s="139" t="s">
        <v>130</v>
      </c>
      <c r="B15" s="139"/>
      <c r="C15" s="135" t="str">
        <f>INDEX('2-3_обработка'!$J$3:$J$101,Результат!$B$3,1)</f>
        <v>Отклонений нет</v>
      </c>
      <c r="D15" s="135"/>
      <c r="E15" s="136" t="s">
        <v>111</v>
      </c>
      <c r="F15" s="137"/>
      <c r="G15" s="138"/>
      <c r="H15" s="135" t="str">
        <f>INDEX('2-3_обработка'!$M$3:$M$101,Результат!$B$3,1)</f>
        <v>Отклонений нет</v>
      </c>
      <c r="I15" s="135"/>
      <c r="L15" s="15" t="s">
        <v>111</v>
      </c>
    </row>
    <row r="16" spans="1:14" ht="19" customHeight="1">
      <c r="A16" s="139" t="s">
        <v>110</v>
      </c>
      <c r="B16" s="139"/>
      <c r="C16" s="135" t="str">
        <f>INDEX('2-3_обработка'!$L$3:$L$101,Результат!$B$3,1)</f>
        <v>Отклонений нет</v>
      </c>
      <c r="D16" s="135"/>
      <c r="E16" s="136" t="s">
        <v>112</v>
      </c>
      <c r="F16" s="137"/>
      <c r="G16" s="138"/>
      <c r="H16" s="135" t="str">
        <f>INDEX('2-3_обработка'!$N$3:$N$101,Результат!$B$3,1)</f>
        <v>Обратить внимание</v>
      </c>
      <c r="I16" s="135"/>
      <c r="L16" s="15" t="s">
        <v>113</v>
      </c>
    </row>
    <row r="17" spans="1:12" ht="22.5" customHeight="1">
      <c r="A17" s="134" t="s">
        <v>109</v>
      </c>
      <c r="B17" s="134"/>
      <c r="C17" s="135" t="str">
        <f>INDEX('2-3_обработка'!$K$3:$K$101,Результат!$B$3,1)</f>
        <v>Обратить внимание</v>
      </c>
      <c r="D17" s="135"/>
      <c r="E17" s="136" t="s">
        <v>113</v>
      </c>
      <c r="F17" s="137"/>
      <c r="G17" s="138"/>
      <c r="H17" s="135" t="str">
        <f>INDEX('2-3_обработка'!$O$3:$O$101,Результат!$B$3,1)</f>
        <v>Обратить внимание</v>
      </c>
      <c r="I17" s="135"/>
      <c r="L17" s="15" t="s">
        <v>114</v>
      </c>
    </row>
    <row r="18" spans="1:12" ht="29" customHeight="1">
      <c r="A18" s="134" t="s">
        <v>124</v>
      </c>
      <c r="B18" s="134"/>
      <c r="C18" s="135" t="str">
        <f>INDEX('2-3_обработка'!$V$3:$V$101,Результат!$B$3,1)</f>
        <v>Отклонений нет</v>
      </c>
      <c r="D18" s="135"/>
      <c r="E18" s="136" t="s">
        <v>126</v>
      </c>
      <c r="F18" s="137"/>
      <c r="G18" s="138"/>
      <c r="H18" s="135" t="str">
        <f>INDEX('2-3_обработка'!$P$3:$P$101,Результат!$B$3,1)</f>
        <v>Отклонений нет</v>
      </c>
      <c r="I18" s="135"/>
      <c r="L18" s="15" t="s">
        <v>115</v>
      </c>
    </row>
    <row r="19" spans="1:12" ht="28" customHeight="1">
      <c r="A19" s="134" t="s">
        <v>125</v>
      </c>
      <c r="B19" s="134"/>
      <c r="C19" s="135" t="str">
        <f>INDEX('2-3_обработка'!$W$3:$W$101,Результат!$B$3,1)</f>
        <v>Отклонений нет</v>
      </c>
      <c r="D19" s="135"/>
      <c r="E19" s="139" t="s">
        <v>115</v>
      </c>
      <c r="F19" s="139"/>
      <c r="G19" s="139"/>
      <c r="H19" s="135" t="str">
        <f>INDEX('2-3_обработка'!$Q$3:$Q$101,Результат!$B$3,1)</f>
        <v>Отклонений нет</v>
      </c>
      <c r="I19" s="135"/>
      <c r="L19" s="15" t="s">
        <v>116</v>
      </c>
    </row>
    <row r="20" spans="1:12" ht="47.5" customHeight="1">
      <c r="A20" s="134" t="s">
        <v>118</v>
      </c>
      <c r="B20" s="134"/>
      <c r="C20" s="135" t="str">
        <f>INDEX('2-3_обработка'!$T$3:$T$101,Результат!$B$3,1)</f>
        <v>Обратить внимание</v>
      </c>
      <c r="D20" s="135"/>
      <c r="E20" s="136" t="s">
        <v>116</v>
      </c>
      <c r="F20" s="137"/>
      <c r="G20" s="138"/>
      <c r="H20" s="135" t="str">
        <f>INDEX('2-3_обработка'!$R$3:$R$101,Результат!$B$3,1)</f>
        <v>Отклонений нет</v>
      </c>
      <c r="I20" s="135"/>
      <c r="L20" s="15" t="s">
        <v>117</v>
      </c>
    </row>
    <row r="21" spans="1:12" ht="19" customHeight="1">
      <c r="A21" s="134" t="s">
        <v>123</v>
      </c>
      <c r="B21" s="134"/>
      <c r="C21" s="135" t="str">
        <f>INDEX('2-3_обработка'!$U$3:$U$101,Результат!$B$3,1)</f>
        <v>Обратить внимание</v>
      </c>
      <c r="D21" s="135"/>
      <c r="E21" s="139" t="s">
        <v>127</v>
      </c>
      <c r="F21" s="139"/>
      <c r="G21" s="139"/>
      <c r="H21" s="135" t="str">
        <f>INDEX('2-3_обработка'!$S$3:$S$101,Результат!$B$3,1)</f>
        <v>Отклонений нет</v>
      </c>
      <c r="I21" s="135"/>
    </row>
    <row r="22" spans="1:12" ht="19" customHeight="1">
      <c r="A22" s="139" t="s">
        <v>122</v>
      </c>
      <c r="B22" s="139"/>
      <c r="C22" s="135" t="str">
        <f>INDEX('2-3_обработка'!$X$3:$X$101,Результат!$B$3,1)</f>
        <v>Отклонений нет</v>
      </c>
      <c r="D22" s="135"/>
      <c r="E22" s="139"/>
      <c r="F22" s="139"/>
      <c r="G22" s="139"/>
      <c r="H22" s="135"/>
      <c r="I22" s="135"/>
    </row>
    <row r="23" spans="1:12" ht="15.5">
      <c r="A23" s="29"/>
      <c r="B23" s="30"/>
      <c r="C23" s="30"/>
      <c r="D23" s="30"/>
      <c r="E23" s="30"/>
      <c r="F23" s="126"/>
      <c r="G23" s="126"/>
      <c r="H23" s="126"/>
      <c r="I23" s="127"/>
    </row>
    <row r="24" spans="1:12" ht="19" customHeight="1">
      <c r="A24" s="128" t="s">
        <v>128</v>
      </c>
      <c r="B24" s="129"/>
      <c r="C24" s="129"/>
      <c r="D24" s="129"/>
      <c r="E24" s="129"/>
      <c r="F24" s="129"/>
      <c r="G24" s="129"/>
      <c r="H24" s="129"/>
      <c r="I24" s="130"/>
    </row>
    <row r="25" spans="1:12" ht="28.25" customHeight="1">
      <c r="A25" s="131" t="str">
        <f>INDEX(ИТОГ!$AB$3:$AB$25,Результат!B3,1)</f>
        <v>отвергаемый</v>
      </c>
      <c r="B25" s="132"/>
      <c r="C25" s="132"/>
      <c r="D25" s="132"/>
      <c r="E25" s="132"/>
      <c r="F25" s="132"/>
      <c r="G25" s="132"/>
      <c r="H25" s="132"/>
      <c r="I25" s="133"/>
    </row>
    <row r="26" spans="1:12">
      <c r="A26" s="31"/>
      <c r="I26" s="32"/>
    </row>
    <row r="27" spans="1:12" ht="19" customHeight="1">
      <c r="A27" s="128" t="s">
        <v>129</v>
      </c>
      <c r="B27" s="129"/>
      <c r="C27" s="129"/>
      <c r="D27" s="129"/>
      <c r="E27" s="129"/>
      <c r="F27" s="129"/>
      <c r="G27" s="129"/>
      <c r="H27" s="129"/>
      <c r="I27" s="130"/>
    </row>
    <row r="28" spans="1:12">
      <c r="A28" s="31" t="s">
        <v>84</v>
      </c>
      <c r="H28" s="119" t="e">
        <f>INDEX(ИТОГ!#REF!,Результат!B3,1)</f>
        <v>#REF!</v>
      </c>
      <c r="I28" s="120"/>
    </row>
    <row r="29" spans="1:12">
      <c r="A29" s="31" t="s">
        <v>85</v>
      </c>
      <c r="H29" s="119" t="e">
        <f>INDEX(ИТОГ!#REF!,Результат!B3,1)</f>
        <v>#REF!</v>
      </c>
      <c r="I29" s="120"/>
    </row>
    <row r="30" spans="1:12">
      <c r="A30" s="31" t="s">
        <v>86</v>
      </c>
      <c r="H30" s="119" t="e">
        <f>INDEX(ИТОГ!#REF!,Результат!B3,1)</f>
        <v>#REF!</v>
      </c>
      <c r="I30" s="120"/>
    </row>
    <row r="31" spans="1:12">
      <c r="A31" s="33" t="s">
        <v>87</v>
      </c>
      <c r="B31" s="34"/>
      <c r="C31" s="34"/>
      <c r="D31" s="34"/>
      <c r="E31" s="34"/>
      <c r="F31" s="34"/>
      <c r="G31" s="34"/>
      <c r="H31" s="121" t="e">
        <f>INDEX(ИТОГ!#REF!,Результат!B3,1)</f>
        <v>#REF!</v>
      </c>
      <c r="I31" s="122"/>
    </row>
    <row r="33" spans="1:9" ht="19" customHeight="1">
      <c r="A33" s="123" t="s">
        <v>103</v>
      </c>
      <c r="B33" s="124"/>
      <c r="C33" s="124"/>
      <c r="D33" s="124"/>
      <c r="E33" s="124"/>
      <c r="F33" s="124"/>
      <c r="G33" s="124"/>
      <c r="H33" s="124"/>
      <c r="I33" s="125"/>
    </row>
    <row r="34" spans="1:9" ht="19.25" customHeight="1">
      <c r="A34" s="119">
        <f>INDEX(ИТОГ!AC3:AC101,Результат!B3,1)</f>
        <v>0</v>
      </c>
      <c r="B34" s="119"/>
      <c r="C34" s="119"/>
      <c r="D34" s="119"/>
      <c r="E34" s="119"/>
      <c r="F34" s="119"/>
      <c r="G34" s="119"/>
      <c r="H34" s="119"/>
      <c r="I34" s="119"/>
    </row>
    <row r="37" spans="1:9">
      <c r="A37" s="15" t="s">
        <v>107</v>
      </c>
      <c r="F37" s="34"/>
    </row>
  </sheetData>
  <mergeCells count="49">
    <mergeCell ref="C20:D20"/>
    <mergeCell ref="E20:G20"/>
    <mergeCell ref="H20:I20"/>
    <mergeCell ref="A22:B22"/>
    <mergeCell ref="C22:D22"/>
    <mergeCell ref="E22:G22"/>
    <mergeCell ref="H22:I22"/>
    <mergeCell ref="A20:B20"/>
    <mergeCell ref="C21:D21"/>
    <mergeCell ref="E21:G21"/>
    <mergeCell ref="H21:I21"/>
    <mergeCell ref="A21:B21"/>
    <mergeCell ref="A9:I10"/>
    <mergeCell ref="A11:I11"/>
    <mergeCell ref="A12:I13"/>
    <mergeCell ref="A1:I1"/>
    <mergeCell ref="H3:I3"/>
    <mergeCell ref="A6:I7"/>
    <mergeCell ref="A14:I14"/>
    <mergeCell ref="A15:B15"/>
    <mergeCell ref="C15:D15"/>
    <mergeCell ref="E15:G15"/>
    <mergeCell ref="H15:I15"/>
    <mergeCell ref="A16:B16"/>
    <mergeCell ref="C16:D16"/>
    <mergeCell ref="E16:G16"/>
    <mergeCell ref="H16:I16"/>
    <mergeCell ref="A17:B17"/>
    <mergeCell ref="C17:D17"/>
    <mergeCell ref="E17:G17"/>
    <mergeCell ref="H17:I17"/>
    <mergeCell ref="A18:B18"/>
    <mergeCell ref="C18:D18"/>
    <mergeCell ref="E18:G18"/>
    <mergeCell ref="H18:I18"/>
    <mergeCell ref="A19:B19"/>
    <mergeCell ref="C19:D19"/>
    <mergeCell ref="E19:G19"/>
    <mergeCell ref="H19:I19"/>
    <mergeCell ref="F23:I23"/>
    <mergeCell ref="A24:I24"/>
    <mergeCell ref="A25:I25"/>
    <mergeCell ref="A27:I27"/>
    <mergeCell ref="H28:I28"/>
    <mergeCell ref="H29:I29"/>
    <mergeCell ref="H30:I30"/>
    <mergeCell ref="H31:I31"/>
    <mergeCell ref="A33:I33"/>
    <mergeCell ref="A34:I34"/>
  </mergeCells>
  <conditionalFormatting sqref="C15:D22">
    <cfRule type="cellIs" dxfId="4" priority="3" operator="equal">
      <formula>"Отклонений нет"</formula>
    </cfRule>
    <cfRule type="cellIs" dxfId="3" priority="4" operator="equal">
      <formula>"Обратить внимание"</formula>
    </cfRule>
  </conditionalFormatting>
  <conditionalFormatting sqref="D3:F3">
    <cfRule type="cellIs" dxfId="2" priority="11" operator="equal">
      <formula>0</formula>
    </cfRule>
  </conditionalFormatting>
  <conditionalFormatting sqref="H15:I22">
    <cfRule type="cellIs" dxfId="1" priority="1" operator="equal">
      <formula>"Отклонений нет"</formula>
    </cfRule>
    <cfRule type="cellIs" dxfId="0" priority="2" operator="equal">
      <formula>"Обратить внимание"</formula>
    </cfRule>
  </conditionalFormatting>
  <pageMargins left="0.43307086614173229" right="3.937007874015748E-2" top="0.74803149606299213" bottom="0.74803149606299213" header="0.31496062992125984" footer="0.31496062992125984"/>
  <pageSetup paperSize="9" scale="9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workbookViewId="0">
      <selection activeCell="D4" sqref="D4"/>
    </sheetView>
  </sheetViews>
  <sheetFormatPr defaultColWidth="8.81640625" defaultRowHeight="14"/>
  <cols>
    <col min="1" max="1" width="8.81640625" style="93"/>
    <col min="2" max="2" width="37" style="93" customWidth="1"/>
    <col min="3" max="3" width="20.81640625" style="93" customWidth="1"/>
    <col min="4" max="5" width="8.81640625" style="93"/>
    <col min="6" max="6" width="68.453125" style="93" customWidth="1"/>
    <col min="7" max="7" width="27.81640625" style="94" customWidth="1"/>
    <col min="8" max="8" width="15.453125" style="94" customWidth="1"/>
    <col min="9" max="12" width="8.453125" style="94" customWidth="1"/>
    <col min="13" max="13" width="8.453125" style="93" customWidth="1"/>
    <col min="14" max="16384" width="8.81640625" style="93"/>
  </cols>
  <sheetData>
    <row r="1" spans="1:13">
      <c r="A1" s="150" t="s">
        <v>67</v>
      </c>
      <c r="B1" s="150"/>
      <c r="C1" s="150"/>
      <c r="E1" s="150" t="s">
        <v>68</v>
      </c>
      <c r="F1" s="150"/>
      <c r="G1" s="150"/>
      <c r="H1" s="116" t="s">
        <v>88</v>
      </c>
      <c r="I1" s="116"/>
      <c r="J1" s="116"/>
      <c r="K1" s="116"/>
    </row>
    <row r="2" spans="1:13" ht="84">
      <c r="A2" s="92">
        <v>1</v>
      </c>
      <c r="B2" s="93" t="s">
        <v>5</v>
      </c>
      <c r="C2" s="64" t="s">
        <v>61</v>
      </c>
      <c r="D2" s="92"/>
      <c r="E2" s="93" t="s">
        <v>69</v>
      </c>
      <c r="F2" s="64" t="s">
        <v>83</v>
      </c>
      <c r="G2" s="94" t="s">
        <v>74</v>
      </c>
      <c r="I2" s="94" t="s">
        <v>91</v>
      </c>
      <c r="J2" s="94" t="s">
        <v>101</v>
      </c>
      <c r="K2" s="94" t="s">
        <v>90</v>
      </c>
      <c r="L2" s="94" t="s">
        <v>102</v>
      </c>
      <c r="M2" s="94" t="s">
        <v>89</v>
      </c>
    </row>
    <row r="3" spans="1:13" ht="56">
      <c r="A3" s="92">
        <v>3</v>
      </c>
      <c r="B3" s="93" t="s">
        <v>4</v>
      </c>
      <c r="C3" s="64" t="s">
        <v>62</v>
      </c>
      <c r="D3" s="92"/>
      <c r="E3" s="93" t="s">
        <v>70</v>
      </c>
      <c r="F3" s="64" t="s">
        <v>82</v>
      </c>
      <c r="G3" s="94" t="s">
        <v>75</v>
      </c>
      <c r="H3" s="64" t="s">
        <v>84</v>
      </c>
      <c r="I3" s="64" t="s">
        <v>95</v>
      </c>
      <c r="J3" s="64" t="s">
        <v>98</v>
      </c>
      <c r="K3" s="64" t="s">
        <v>99</v>
      </c>
      <c r="L3" s="64" t="s">
        <v>100</v>
      </c>
      <c r="M3" s="64" t="s">
        <v>69</v>
      </c>
    </row>
    <row r="4" spans="1:13" ht="84">
      <c r="A4" s="92">
        <v>4</v>
      </c>
      <c r="B4" s="93" t="s">
        <v>2</v>
      </c>
      <c r="D4" s="92"/>
      <c r="E4" s="93" t="s">
        <v>71</v>
      </c>
      <c r="F4" s="64" t="s">
        <v>81</v>
      </c>
      <c r="G4" s="94" t="s">
        <v>76</v>
      </c>
      <c r="H4" s="64" t="s">
        <v>85</v>
      </c>
      <c r="I4" s="112" t="s">
        <v>92</v>
      </c>
      <c r="J4" s="112" t="s">
        <v>93</v>
      </c>
      <c r="K4" s="112" t="s">
        <v>94</v>
      </c>
      <c r="L4" s="112" t="s">
        <v>96</v>
      </c>
      <c r="M4" s="112" t="s">
        <v>97</v>
      </c>
    </row>
    <row r="5" spans="1:13" ht="70">
      <c r="A5" s="92">
        <v>2</v>
      </c>
      <c r="B5" s="93" t="s">
        <v>3</v>
      </c>
      <c r="D5" s="92"/>
      <c r="E5" s="95" t="s">
        <v>72</v>
      </c>
      <c r="F5" s="64" t="s">
        <v>80</v>
      </c>
      <c r="G5" s="94" t="s">
        <v>77</v>
      </c>
      <c r="H5" s="64" t="s">
        <v>86</v>
      </c>
      <c r="I5" s="112"/>
      <c r="J5" s="112" t="s">
        <v>93</v>
      </c>
      <c r="K5" s="112" t="s">
        <v>94</v>
      </c>
      <c r="L5" s="112" t="s">
        <v>96</v>
      </c>
      <c r="M5" s="112" t="s">
        <v>97</v>
      </c>
    </row>
    <row r="6" spans="1:13" ht="112">
      <c r="A6" s="92">
        <v>5</v>
      </c>
      <c r="B6" s="93" t="s">
        <v>7</v>
      </c>
      <c r="D6" s="92"/>
      <c r="E6" s="93" t="s">
        <v>73</v>
      </c>
      <c r="F6" s="64" t="s">
        <v>79</v>
      </c>
      <c r="G6" s="94" t="s">
        <v>78</v>
      </c>
      <c r="H6" s="64" t="s">
        <v>87</v>
      </c>
      <c r="I6" s="112"/>
      <c r="J6" s="112" t="s">
        <v>93</v>
      </c>
      <c r="K6" s="112" t="s">
        <v>94</v>
      </c>
      <c r="L6" s="112" t="s">
        <v>96</v>
      </c>
      <c r="M6" s="112" t="s">
        <v>97</v>
      </c>
    </row>
    <row r="7" spans="1:13">
      <c r="A7" s="92">
        <v>0</v>
      </c>
      <c r="B7" s="93" t="s">
        <v>8</v>
      </c>
      <c r="D7" s="92"/>
      <c r="M7" s="94"/>
    </row>
    <row r="8" spans="1:13">
      <c r="A8" s="92">
        <v>6</v>
      </c>
      <c r="B8" s="93" t="s">
        <v>6</v>
      </c>
      <c r="D8" s="92"/>
      <c r="M8" s="94"/>
    </row>
    <row r="9" spans="1:13">
      <c r="A9" s="92">
        <v>7</v>
      </c>
      <c r="B9" s="93" t="s">
        <v>9</v>
      </c>
      <c r="D9" s="92"/>
      <c r="F9" s="94" t="s">
        <v>103</v>
      </c>
      <c r="M9" s="94"/>
    </row>
    <row r="10" spans="1:13">
      <c r="F10" s="94" t="s">
        <v>104</v>
      </c>
      <c r="M10" s="94"/>
    </row>
    <row r="11" spans="1:13" ht="28">
      <c r="A11" s="92">
        <v>3</v>
      </c>
      <c r="B11" s="93" t="s">
        <v>2</v>
      </c>
      <c r="C11" s="92">
        <v>1</v>
      </c>
      <c r="F11" s="94" t="s">
        <v>105</v>
      </c>
    </row>
    <row r="12" spans="1:13">
      <c r="A12" s="92">
        <v>4</v>
      </c>
      <c r="B12" s="93" t="s">
        <v>3</v>
      </c>
      <c r="C12" s="92">
        <v>2</v>
      </c>
      <c r="F12" s="94" t="s">
        <v>106</v>
      </c>
    </row>
    <row r="13" spans="1:13">
      <c r="A13" s="92">
        <v>2</v>
      </c>
      <c r="B13" s="93" t="s">
        <v>4</v>
      </c>
      <c r="C13" s="92">
        <v>3</v>
      </c>
    </row>
    <row r="14" spans="1:13">
      <c r="A14" s="92">
        <v>5</v>
      </c>
      <c r="B14" s="93" t="s">
        <v>7</v>
      </c>
      <c r="C14" s="92">
        <v>4</v>
      </c>
    </row>
    <row r="15" spans="1:13">
      <c r="A15" s="92">
        <v>1</v>
      </c>
      <c r="B15" s="93" t="s">
        <v>5</v>
      </c>
      <c r="C15" s="92">
        <v>5</v>
      </c>
    </row>
    <row r="16" spans="1:13">
      <c r="A16" s="92">
        <v>6</v>
      </c>
      <c r="B16" s="93" t="s">
        <v>8</v>
      </c>
      <c r="C16" s="92">
        <v>6</v>
      </c>
    </row>
    <row r="17" spans="1:3">
      <c r="A17" s="92">
        <v>0</v>
      </c>
      <c r="B17" s="93" t="s">
        <v>6</v>
      </c>
      <c r="C17" s="92">
        <v>7</v>
      </c>
    </row>
    <row r="18" spans="1:3">
      <c r="A18" s="92">
        <v>7</v>
      </c>
      <c r="B18" s="93" t="s">
        <v>9</v>
      </c>
      <c r="C18" s="92">
        <v>8</v>
      </c>
    </row>
    <row r="19" spans="1:3" ht="62">
      <c r="A19" s="93" t="s">
        <v>25</v>
      </c>
      <c r="B19" s="96" t="s">
        <v>26</v>
      </c>
      <c r="C19" s="93" t="s">
        <v>56</v>
      </c>
    </row>
    <row r="20" spans="1:3" ht="108.5">
      <c r="A20" s="93" t="s">
        <v>27</v>
      </c>
      <c r="B20" s="96" t="s">
        <v>28</v>
      </c>
      <c r="C20" s="93" t="s">
        <v>57</v>
      </c>
    </row>
    <row r="21" spans="1:3" ht="124">
      <c r="A21" s="93" t="s">
        <v>29</v>
      </c>
      <c r="B21" s="96" t="s">
        <v>30</v>
      </c>
      <c r="C21" s="94" t="s">
        <v>58</v>
      </c>
    </row>
    <row r="22" spans="1:3" ht="124">
      <c r="A22" s="93" t="s">
        <v>31</v>
      </c>
      <c r="B22" s="96" t="s">
        <v>32</v>
      </c>
      <c r="C22" s="93" t="s">
        <v>55</v>
      </c>
    </row>
    <row r="23" spans="1:3">
      <c r="B23" s="94"/>
    </row>
    <row r="24" spans="1:3" ht="70">
      <c r="A24" s="97" t="s">
        <v>33</v>
      </c>
      <c r="B24" s="94" t="s">
        <v>34</v>
      </c>
      <c r="C24" s="93" t="s">
        <v>53</v>
      </c>
    </row>
    <row r="25" spans="1:3" ht="42">
      <c r="A25" s="97" t="s">
        <v>35</v>
      </c>
      <c r="B25" s="94" t="s">
        <v>36</v>
      </c>
      <c r="C25" s="93" t="s">
        <v>52</v>
      </c>
    </row>
    <row r="26" spans="1:3" ht="42">
      <c r="A26" s="97" t="s">
        <v>37</v>
      </c>
      <c r="B26" s="94" t="s">
        <v>38</v>
      </c>
      <c r="C26" s="93" t="s">
        <v>54</v>
      </c>
    </row>
  </sheetData>
  <mergeCells count="8">
    <mergeCell ref="L4:L6"/>
    <mergeCell ref="M4:M6"/>
    <mergeCell ref="A1:C1"/>
    <mergeCell ref="E1:G1"/>
    <mergeCell ref="H1:K1"/>
    <mergeCell ref="I4:I6"/>
    <mergeCell ref="J4:J6"/>
    <mergeCell ref="K4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F846-06DA-4D42-B1F1-033F31534552}">
  <dimension ref="A1:G45"/>
  <sheetViews>
    <sheetView topLeftCell="A28" workbookViewId="0">
      <selection activeCell="E40" sqref="E40"/>
    </sheetView>
  </sheetViews>
  <sheetFormatPr defaultColWidth="8.81640625" defaultRowHeight="14.5"/>
  <cols>
    <col min="1" max="1" width="27.36328125" customWidth="1"/>
    <col min="2" max="2" width="5.36328125" hidden="1" customWidth="1"/>
    <col min="3" max="3" width="15.1796875" customWidth="1"/>
    <col min="4" max="4" width="0" hidden="1" customWidth="1"/>
    <col min="5" max="5" width="19.36328125" customWidth="1"/>
  </cols>
  <sheetData>
    <row r="1" spans="1:3">
      <c r="A1" s="153" t="s">
        <v>136</v>
      </c>
      <c r="B1" s="154"/>
      <c r="C1" s="155"/>
    </row>
    <row r="2" spans="1:3">
      <c r="A2" s="3" t="s">
        <v>56</v>
      </c>
      <c r="B2" s="3">
        <f>COUNTIF(ИТОГ!$F$3:$F$89,Диаграммы!A2)</f>
        <v>0</v>
      </c>
      <c r="C2" s="40">
        <f>B2/$B$9</f>
        <v>0</v>
      </c>
    </row>
    <row r="3" spans="1:3">
      <c r="A3" s="3" t="s">
        <v>57</v>
      </c>
      <c r="B3" s="3">
        <f>COUNTIF(ИТОГ!$F$3:$F$89,Диаграммы!A3)</f>
        <v>9</v>
      </c>
      <c r="C3" s="40">
        <f t="shared" ref="C3:C5" si="0">B3/$B$9</f>
        <v>0.40909090909090912</v>
      </c>
    </row>
    <row r="4" spans="1:3" ht="29">
      <c r="A4" s="14" t="s">
        <v>58</v>
      </c>
      <c r="B4" s="3">
        <f>COUNTIF(ИТОГ!$F$3:$F$89,Диаграммы!A4)</f>
        <v>13</v>
      </c>
      <c r="C4" s="40">
        <f t="shared" si="0"/>
        <v>0.59090909090909094</v>
      </c>
    </row>
    <row r="5" spans="1:3">
      <c r="A5" s="3" t="s">
        <v>55</v>
      </c>
      <c r="B5" s="3">
        <f>COUNTIF(ИТОГ!$F$3:$F$89,Диаграммы!A5)</f>
        <v>0</v>
      </c>
      <c r="C5" s="40">
        <f t="shared" si="0"/>
        <v>0</v>
      </c>
    </row>
    <row r="6" spans="1:3">
      <c r="C6" s="41"/>
    </row>
    <row r="7" spans="1:3">
      <c r="C7" s="41"/>
    </row>
    <row r="8" spans="1:3">
      <c r="C8" s="41"/>
    </row>
    <row r="9" spans="1:3">
      <c r="B9">
        <f>SUM(B2:B5)</f>
        <v>22</v>
      </c>
      <c r="C9" s="41"/>
    </row>
    <row r="10" spans="1:3">
      <c r="A10" s="152" t="s">
        <v>137</v>
      </c>
      <c r="B10" s="152"/>
      <c r="C10" s="152"/>
    </row>
    <row r="11" spans="1:3">
      <c r="A11" s="3" t="s">
        <v>53</v>
      </c>
      <c r="B11" s="3">
        <f>COUNTIF(ИТОГ!$E$3:$E$89,Диаграммы!A11)</f>
        <v>8</v>
      </c>
      <c r="C11" s="40">
        <f>B11/$B$14</f>
        <v>0.32</v>
      </c>
    </row>
    <row r="12" spans="1:3">
      <c r="A12" s="3" t="s">
        <v>52</v>
      </c>
      <c r="B12" s="3">
        <f>COUNTIF(ИТОГ!$E$3:$E$89,Диаграммы!A12)</f>
        <v>14</v>
      </c>
      <c r="C12" s="40">
        <f t="shared" ref="C12:C13" si="1">B12/$B$14</f>
        <v>0.56000000000000005</v>
      </c>
    </row>
    <row r="13" spans="1:3">
      <c r="A13" s="3" t="s">
        <v>54</v>
      </c>
      <c r="B13" s="3">
        <f>COUNTIF(ИТОГ!$E$3:$E$89,Диаграммы!A13)</f>
        <v>3</v>
      </c>
      <c r="C13" s="40">
        <f t="shared" si="1"/>
        <v>0.12</v>
      </c>
    </row>
    <row r="14" spans="1:3">
      <c r="B14">
        <f>SUM(B11:B13)</f>
        <v>25</v>
      </c>
    </row>
    <row r="15" spans="1:3">
      <c r="A15" s="152" t="s">
        <v>138</v>
      </c>
      <c r="B15" s="152"/>
      <c r="C15" s="152"/>
    </row>
    <row r="16" spans="1:3">
      <c r="A16" s="3" t="s">
        <v>141</v>
      </c>
      <c r="B16" s="3">
        <f>COUNTIF(ИТОГ!$G$3:$G$89,Диаграммы!A16)</f>
        <v>17</v>
      </c>
      <c r="C16" s="40">
        <f>B16/$B$19</f>
        <v>0.77272727272727271</v>
      </c>
    </row>
    <row r="17" spans="1:7">
      <c r="A17" s="3" t="s">
        <v>140</v>
      </c>
      <c r="B17" s="3">
        <f>COUNTIF(ИТОГ!$G$3:$G$89,Диаграммы!A17)</f>
        <v>2</v>
      </c>
      <c r="C17" s="40">
        <f t="shared" ref="C17:C18" si="2">B17/$B$19</f>
        <v>9.0909090909090912E-2</v>
      </c>
    </row>
    <row r="18" spans="1:7">
      <c r="A18" s="3" t="s">
        <v>139</v>
      </c>
      <c r="B18" s="3">
        <f>COUNTIF(ИТОГ!$G$3:$G$89,Диаграммы!A18)</f>
        <v>3</v>
      </c>
      <c r="C18" s="40">
        <f t="shared" si="2"/>
        <v>0.13636363636363635</v>
      </c>
    </row>
    <row r="19" spans="1:7">
      <c r="B19">
        <f>SUM(B16:B18)</f>
        <v>22</v>
      </c>
    </row>
    <row r="20" spans="1:7">
      <c r="A20" s="151" t="s">
        <v>142</v>
      </c>
      <c r="B20" s="151"/>
      <c r="C20" s="151"/>
      <c r="D20" s="151"/>
      <c r="E20" s="151"/>
    </row>
    <row r="21" spans="1:7">
      <c r="A21" s="3"/>
      <c r="B21" s="151" t="s">
        <v>61</v>
      </c>
      <c r="C21" s="151"/>
      <c r="D21" s="151" t="s">
        <v>62</v>
      </c>
      <c r="E21" s="151"/>
    </row>
    <row r="22" spans="1:7" hidden="1">
      <c r="A22" s="14" t="s">
        <v>130</v>
      </c>
      <c r="B22" s="3">
        <f>COUNTIF(ИТОГ!$M$3:$M$89,$B$21)</f>
        <v>25</v>
      </c>
      <c r="C22" s="40">
        <f>B22/(B22+D22)</f>
        <v>1</v>
      </c>
      <c r="D22" s="3">
        <f>COUNTIF(ИТОГ!$M$3:$M$89,$D$21)</f>
        <v>0</v>
      </c>
      <c r="E22" s="40">
        <f>D22/(D22+B22)</f>
        <v>0</v>
      </c>
      <c r="G22" s="42"/>
    </row>
    <row r="23" spans="1:7" hidden="1">
      <c r="A23" s="14" t="s">
        <v>109</v>
      </c>
      <c r="B23" s="3">
        <f>COUNTIF(ИТОГ!$N$3:$N$89,"Отклонений нет")</f>
        <v>13</v>
      </c>
      <c r="C23" s="40">
        <f t="shared" ref="C23:C36" si="3">B23/(B23+D23)</f>
        <v>0.52</v>
      </c>
      <c r="D23" s="3">
        <f>COUNTIF(ИТОГ!$N$3:$N$89,"Обратить внимание")</f>
        <v>12</v>
      </c>
      <c r="E23" s="40">
        <f t="shared" ref="E23:E36" si="4">D23/(D23+B23)</f>
        <v>0.48</v>
      </c>
      <c r="G23" s="42"/>
    </row>
    <row r="24" spans="1:7" hidden="1">
      <c r="A24" s="14" t="s">
        <v>110</v>
      </c>
      <c r="B24" s="3">
        <f>COUNTIF(ИТОГ!$O$3:$O$89,"Отклонений нет")</f>
        <v>18</v>
      </c>
      <c r="C24" s="40">
        <f t="shared" si="3"/>
        <v>0.72</v>
      </c>
      <c r="D24" s="3">
        <f>COUNTIF(ИТОГ!$O$3:$O$89,"Обратить внимание")</f>
        <v>7</v>
      </c>
      <c r="E24" s="40">
        <f t="shared" si="4"/>
        <v>0.28000000000000003</v>
      </c>
      <c r="G24" s="42"/>
    </row>
    <row r="25" spans="1:7">
      <c r="A25" s="14" t="s">
        <v>111</v>
      </c>
      <c r="B25" s="3">
        <f>COUNTIF(ИТОГ!$P$3:$P$89,"Отклонений нет")</f>
        <v>19</v>
      </c>
      <c r="C25" s="40">
        <f t="shared" si="3"/>
        <v>0.76</v>
      </c>
      <c r="D25" s="3">
        <f>COUNTIF(ИТОГ!$P$3:$P$89,"Обратить внимание")</f>
        <v>6</v>
      </c>
      <c r="E25" s="40">
        <f t="shared" si="4"/>
        <v>0.24</v>
      </c>
      <c r="G25" s="42"/>
    </row>
    <row r="26" spans="1:7">
      <c r="A26" s="14" t="s">
        <v>112</v>
      </c>
      <c r="B26" s="3">
        <f>COUNTIF(ИТОГ!$Q$3:$Q$89,"Отклонений нет")</f>
        <v>14</v>
      </c>
      <c r="C26" s="40">
        <f t="shared" si="3"/>
        <v>0.56000000000000005</v>
      </c>
      <c r="D26" s="3">
        <f>COUNTIF(ИТОГ!$Q$3:$Q$89,"Обратить внимание")</f>
        <v>11</v>
      </c>
      <c r="E26" s="40">
        <f t="shared" si="4"/>
        <v>0.44</v>
      </c>
      <c r="G26" s="42"/>
    </row>
    <row r="27" spans="1:7">
      <c r="A27" s="14" t="s">
        <v>113</v>
      </c>
      <c r="B27" s="3">
        <f>COUNTIF(ИТОГ!$R$3:$R$89,"Отклонений нет")</f>
        <v>9</v>
      </c>
      <c r="C27" s="40">
        <f t="shared" si="3"/>
        <v>0.36</v>
      </c>
      <c r="D27" s="3">
        <f>COUNTIF(ИТОГ!$R$3:$R$89,"Обратить внимание")</f>
        <v>16</v>
      </c>
      <c r="E27" s="40">
        <f t="shared" si="4"/>
        <v>0.64</v>
      </c>
      <c r="G27" s="42"/>
    </row>
    <row r="28" spans="1:7">
      <c r="A28" s="14" t="s">
        <v>114</v>
      </c>
      <c r="B28" s="3">
        <f>COUNTIF(ИТОГ!$S$3:$S$89,"Отклонений нет")</f>
        <v>22</v>
      </c>
      <c r="C28" s="40">
        <f t="shared" si="3"/>
        <v>0.88</v>
      </c>
      <c r="D28" s="3">
        <f>COUNTIF(ИТОГ!$S$3:$S$89,"Обратить внимание")</f>
        <v>3</v>
      </c>
      <c r="E28" s="40">
        <f t="shared" si="4"/>
        <v>0.12</v>
      </c>
      <c r="G28" s="42"/>
    </row>
    <row r="29" spans="1:7">
      <c r="A29" s="14" t="s">
        <v>115</v>
      </c>
      <c r="B29" s="3">
        <f>COUNTIF(ИТОГ!$T$3:$T$89,"Отклонений нет")</f>
        <v>23</v>
      </c>
      <c r="C29" s="40">
        <f t="shared" si="3"/>
        <v>0.92</v>
      </c>
      <c r="D29" s="3">
        <f>COUNTIF(ИТОГ!$T$3:$T$89,"Обратить внимание")</f>
        <v>2</v>
      </c>
      <c r="E29" s="40">
        <f t="shared" si="4"/>
        <v>0.08</v>
      </c>
      <c r="G29" s="42"/>
    </row>
    <row r="30" spans="1:7">
      <c r="A30" s="14" t="s">
        <v>116</v>
      </c>
      <c r="B30" s="3">
        <f>COUNTIF(ИТОГ!$U$3:$U$89,"Отклонений нет")</f>
        <v>24</v>
      </c>
      <c r="C30" s="40">
        <f t="shared" si="3"/>
        <v>0.96</v>
      </c>
      <c r="D30" s="3">
        <f>COUNTIF(ИТОГ!$U$3:$U$89,"Обратить внимание")</f>
        <v>1</v>
      </c>
      <c r="E30" s="40">
        <f t="shared" si="4"/>
        <v>0.04</v>
      </c>
      <c r="G30" s="42"/>
    </row>
    <row r="31" spans="1:7">
      <c r="A31" s="14" t="s">
        <v>117</v>
      </c>
      <c r="B31" s="3">
        <f>COUNTIF(ИТОГ!$V$3:$V$89,"Отклонений нет")</f>
        <v>23</v>
      </c>
      <c r="C31" s="40">
        <f t="shared" si="3"/>
        <v>0.92</v>
      </c>
      <c r="D31" s="3">
        <f>COUNTIF(ИТОГ!$V$3:$V$89,"Обратить внимание")</f>
        <v>2</v>
      </c>
      <c r="E31" s="40">
        <f t="shared" si="4"/>
        <v>0.08</v>
      </c>
      <c r="G31" s="42"/>
    </row>
    <row r="32" spans="1:7" ht="29">
      <c r="A32" s="14" t="s">
        <v>118</v>
      </c>
      <c r="B32" s="3">
        <f>COUNTIF(ИТОГ!$W$3:$W$89,"Отклонений нет")</f>
        <v>9</v>
      </c>
      <c r="C32" s="40">
        <f t="shared" si="3"/>
        <v>0.36</v>
      </c>
      <c r="D32" s="3">
        <f>COUNTIF(ИТОГ!$W$3:$W$89,"Обратить внимание")</f>
        <v>16</v>
      </c>
      <c r="E32" s="40">
        <f t="shared" si="4"/>
        <v>0.64</v>
      </c>
      <c r="G32" s="42"/>
    </row>
    <row r="33" spans="1:7" ht="29">
      <c r="A33" s="14" t="s">
        <v>119</v>
      </c>
      <c r="B33" s="3">
        <f>COUNTIF(ИТОГ!$X$3:$X$89,"Отклонений нет")</f>
        <v>21</v>
      </c>
      <c r="C33" s="40">
        <f t="shared" si="3"/>
        <v>0.84</v>
      </c>
      <c r="D33" s="3">
        <f>COUNTIF(ИТОГ!$X$3:$X$89,"Обратить внимание")</f>
        <v>4</v>
      </c>
      <c r="E33" s="40">
        <f t="shared" si="4"/>
        <v>0.16</v>
      </c>
      <c r="G33" s="42"/>
    </row>
    <row r="34" spans="1:7">
      <c r="A34" s="14" t="s">
        <v>120</v>
      </c>
      <c r="B34" s="3">
        <f>COUNTIF(ИТОГ!$Y$3:$Y$89,"Отклонений нет")</f>
        <v>25</v>
      </c>
      <c r="C34" s="40">
        <f t="shared" si="3"/>
        <v>1</v>
      </c>
      <c r="D34" s="3">
        <f>COUNTIF(ИТОГ!$Y$3:$Y$89,"Обратить внимание")</f>
        <v>0</v>
      </c>
      <c r="E34" s="40">
        <f t="shared" si="4"/>
        <v>0</v>
      </c>
      <c r="G34" s="42"/>
    </row>
    <row r="35" spans="1:7" hidden="1">
      <c r="A35" s="14" t="s">
        <v>121</v>
      </c>
      <c r="B35" s="3">
        <f>COUNTIF(ИТОГ!$Z$3:$Z$89,"Отклонений нет")</f>
        <v>25</v>
      </c>
      <c r="C35" s="40">
        <f t="shared" si="3"/>
        <v>1</v>
      </c>
      <c r="D35" s="3">
        <f>COUNTIF(ИТОГ!$Z$3:$Z$89,"Обратить внимание")</f>
        <v>0</v>
      </c>
      <c r="E35" s="40">
        <f t="shared" si="4"/>
        <v>0</v>
      </c>
      <c r="G35" s="42"/>
    </row>
    <row r="36" spans="1:7">
      <c r="A36" s="14" t="s">
        <v>122</v>
      </c>
      <c r="B36" s="3">
        <f>COUNTIF(ИТОГ!$AA$3:$AA$89,"Отклонений нет")</f>
        <v>25</v>
      </c>
      <c r="C36" s="40">
        <f t="shared" si="3"/>
        <v>1</v>
      </c>
      <c r="D36" s="3">
        <f>COUNTIF(ИТОГ!$AA$3:$AA$89,"Обратить внимание")</f>
        <v>0</v>
      </c>
      <c r="E36" s="40">
        <f t="shared" si="4"/>
        <v>0</v>
      </c>
      <c r="G36" s="42"/>
    </row>
    <row r="38" spans="1:7">
      <c r="A38" s="152" t="s">
        <v>128</v>
      </c>
      <c r="B38" s="152"/>
      <c r="C38" s="152"/>
    </row>
    <row r="39" spans="1:7">
      <c r="A39" s="3" t="s">
        <v>135</v>
      </c>
      <c r="B39" s="3">
        <f>COUNTIF(ИТОГ!$AB$3:$AB$89,Диаграммы!A39)</f>
        <v>4</v>
      </c>
      <c r="C39" s="40">
        <f>B39/$B$45</f>
        <v>4.878048780487805E-2</v>
      </c>
    </row>
    <row r="40" spans="1:7">
      <c r="A40" s="3" t="s">
        <v>133</v>
      </c>
      <c r="B40" s="3">
        <f>COUNTIF(ИТОГ!$AB$3:$AB$89,Диаграммы!A40)</f>
        <v>12</v>
      </c>
      <c r="C40" s="40">
        <f t="shared" ref="C40:C44" si="5">B40/$B$45</f>
        <v>0.14634146341463414</v>
      </c>
    </row>
    <row r="41" spans="1:7">
      <c r="A41" s="3" t="s">
        <v>134</v>
      </c>
      <c r="B41" s="3">
        <f>COUNTIF(ИТОГ!$AB$3:$AB$89,Диаграммы!A41)</f>
        <v>37</v>
      </c>
      <c r="C41" s="40">
        <f t="shared" si="5"/>
        <v>0.45121951219512196</v>
      </c>
    </row>
    <row r="42" spans="1:7">
      <c r="A42" s="3" t="s">
        <v>131</v>
      </c>
      <c r="B42" s="3">
        <f>COUNTIF(ИТОГ!$AB$3:$AB$89,Диаграммы!A42)</f>
        <v>21</v>
      </c>
      <c r="C42" s="40">
        <f t="shared" si="5"/>
        <v>0.25609756097560976</v>
      </c>
    </row>
    <row r="43" spans="1:7">
      <c r="A43" s="3" t="s">
        <v>132</v>
      </c>
      <c r="B43" s="3">
        <f>COUNTIF(ИТОГ!$AB$3:$AB$89,Диаграммы!A43)</f>
        <v>8</v>
      </c>
      <c r="C43" s="40">
        <f t="shared" si="5"/>
        <v>9.7560975609756101E-2</v>
      </c>
    </row>
    <row r="44" spans="1:7">
      <c r="A44" s="3" t="s">
        <v>143</v>
      </c>
      <c r="B44" s="3">
        <f>COUNTIF(ИТОГ!$AB$3:$AB$89,Диаграммы!A44)</f>
        <v>0</v>
      </c>
      <c r="C44" s="40">
        <f t="shared" si="5"/>
        <v>0</v>
      </c>
    </row>
    <row r="45" spans="1:7">
      <c r="B45">
        <f>SUM(B39:B44)</f>
        <v>82</v>
      </c>
    </row>
  </sheetData>
  <mergeCells count="7">
    <mergeCell ref="B21:C21"/>
    <mergeCell ref="D21:E21"/>
    <mergeCell ref="A20:E20"/>
    <mergeCell ref="A38:C38"/>
    <mergeCell ref="A1:C1"/>
    <mergeCell ref="A10:C10"/>
    <mergeCell ref="A15:C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ЦТО</vt:lpstr>
      <vt:lpstr>1_обработка CО,ВК,ЭК</vt:lpstr>
      <vt:lpstr>2-3_обработка</vt:lpstr>
      <vt:lpstr>ИТОГ</vt:lpstr>
      <vt:lpstr>Результат</vt:lpstr>
      <vt:lpstr>вспомогательные данные</vt:lpstr>
      <vt:lpstr>Диаграммы</vt:lpstr>
      <vt:lpstr>Результат!Область_печати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Romanova Elena</dc:creator>
  <cp:lastModifiedBy>Romanova Elena</cp:lastModifiedBy>
  <cp:lastPrinted>2024-03-30T15:52:09Z</cp:lastPrinted>
  <dcterms:created xsi:type="dcterms:W3CDTF">2024-03-30T06:54:58Z</dcterms:created>
  <dcterms:modified xsi:type="dcterms:W3CDTF">2026-03-16T14:55:22Z</dcterms:modified>
</cp:coreProperties>
</file>